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8001_{E9EDE8BF-3C1F-4443-BEAA-D535B75B3278}" xr6:coauthVersionLast="47" xr6:coauthVersionMax="47" xr10:uidLastSave="{00000000-0000-0000-0000-000000000000}"/>
  <bookViews>
    <workbookView xWindow="-120" yWindow="-120" windowWidth="20730" windowHeight="11160" activeTab="2" xr2:uid="{1AA60374-26C7-47F9-B442-99E8B7E508F7}"/>
  </bookViews>
  <sheets>
    <sheet name="pivottable" sheetId="3" r:id="rId1"/>
    <sheet name="onlinedataset" sheetId="1" r:id="rId2"/>
    <sheet name="online retaildashboard" sheetId="11" r:id="rId3"/>
  </sheets>
  <definedNames>
    <definedName name="_xlnm.Print_Area" localSheetId="2">'online retaildashboard'!$A$1:$R$29</definedName>
    <definedName name="Slicer_OrderID">#N/A</definedName>
    <definedName name="Slicer_PaymentMethod">#N/A</definedName>
    <definedName name="Slicer_purchases_type">#N/A</definedName>
    <definedName name="Slicer_Region">#N/A</definedName>
    <definedName name="Slicer_Region1">#N/A</definedName>
    <definedName name="Slicer_UnitPrice">#N/A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1" l="1"/>
  <c r="M7" i="1"/>
  <c r="M6" i="1"/>
  <c r="J1065" i="1"/>
  <c r="J1399" i="1"/>
  <c r="J1066" i="1"/>
  <c r="J963" i="1"/>
  <c r="J1171" i="1"/>
  <c r="J913" i="1"/>
  <c r="J202" i="1"/>
  <c r="J937" i="1"/>
  <c r="J417" i="1"/>
  <c r="J151" i="1"/>
  <c r="J543" i="1"/>
  <c r="J366" i="1"/>
  <c r="J1494" i="1"/>
  <c r="J127" i="1"/>
  <c r="J967" i="1"/>
  <c r="J1373" i="1"/>
  <c r="J8" i="1"/>
  <c r="J1294" i="1"/>
  <c r="J1256" i="1"/>
  <c r="J624" i="1"/>
  <c r="J331" i="1"/>
  <c r="J544" i="1"/>
  <c r="J1312" i="1"/>
  <c r="J1413" i="1"/>
  <c r="J181" i="1"/>
  <c r="J550" i="1"/>
  <c r="J1213" i="1"/>
  <c r="J1035" i="1"/>
  <c r="J855" i="1"/>
  <c r="J1067" i="1"/>
  <c r="J134" i="1"/>
  <c r="J1026" i="1"/>
  <c r="J964" i="1"/>
  <c r="J1425" i="1"/>
  <c r="J1487" i="1"/>
  <c r="J1281" i="1"/>
  <c r="J186" i="1"/>
  <c r="J1463" i="1"/>
  <c r="J1495" i="1"/>
  <c r="J619" i="1"/>
  <c r="J196" i="1"/>
  <c r="J1376" i="1"/>
  <c r="J938" i="1"/>
  <c r="J1414" i="1"/>
  <c r="J271" i="1"/>
  <c r="J525" i="1"/>
  <c r="J1068" i="1"/>
  <c r="J1119" i="1"/>
  <c r="J1400" i="1"/>
  <c r="J107" i="1"/>
  <c r="J638" i="1"/>
  <c r="J616" i="1"/>
  <c r="J1036" i="1"/>
  <c r="J1198" i="1"/>
  <c r="J589" i="1"/>
  <c r="J187" i="1"/>
  <c r="J299" i="1"/>
  <c r="J1094" i="1"/>
  <c r="J1479" i="1"/>
  <c r="J920" i="1"/>
  <c r="J757" i="1"/>
  <c r="J1415" i="1"/>
  <c r="J1020" i="1"/>
  <c r="J1185" i="1"/>
  <c r="J216" i="1"/>
  <c r="J608" i="1"/>
  <c r="J122" i="1"/>
  <c r="J1475" i="1"/>
  <c r="J272" i="1"/>
  <c r="J1428" i="1"/>
  <c r="J1288" i="1"/>
  <c r="J660" i="1"/>
  <c r="J699" i="1"/>
  <c r="J811" i="1"/>
  <c r="J551" i="1"/>
  <c r="J161" i="1"/>
  <c r="J1227" i="1"/>
  <c r="J1251" i="1"/>
  <c r="J1021" i="1"/>
  <c r="J1444" i="1"/>
  <c r="J473" i="1"/>
  <c r="J851" i="1"/>
  <c r="J1199" i="1"/>
  <c r="J103" i="1"/>
  <c r="J324" i="1"/>
  <c r="J932" i="1"/>
  <c r="J281" i="1"/>
  <c r="J507" i="1"/>
  <c r="J309" i="1"/>
  <c r="J1295" i="1"/>
  <c r="J1093" i="1"/>
  <c r="J1377" i="1"/>
  <c r="J633" i="1"/>
  <c r="J852" i="1"/>
  <c r="J889" i="1"/>
  <c r="J1313" i="1"/>
  <c r="J1218" i="1"/>
  <c r="J574" i="1"/>
  <c r="J1416" i="1"/>
  <c r="J1151" i="1"/>
  <c r="J310" i="1"/>
  <c r="J256" i="1"/>
  <c r="J1363" i="1"/>
  <c r="J1260" i="1"/>
  <c r="J858" i="1"/>
  <c r="J1008" i="1"/>
  <c r="J1445" i="1"/>
  <c r="J1328" i="1"/>
  <c r="J1464" i="1"/>
  <c r="J674" i="1"/>
  <c r="J9" i="1"/>
  <c r="J598" i="1"/>
  <c r="J675" i="1"/>
  <c r="J1390" i="1"/>
  <c r="J422" i="1"/>
  <c r="J317" i="1"/>
  <c r="J206" i="1"/>
  <c r="J233" i="1"/>
  <c r="J445" i="1"/>
  <c r="J1261" i="1"/>
  <c r="J414" i="1"/>
  <c r="J1152" i="1"/>
  <c r="J1384" i="1"/>
  <c r="J1120" i="1"/>
  <c r="J1246" i="1"/>
  <c r="J791" i="1"/>
  <c r="J1176" i="1"/>
  <c r="J1243" i="1"/>
  <c r="J1298" i="1"/>
  <c r="J10" i="1"/>
  <c r="J1132" i="1"/>
  <c r="J816" i="1"/>
  <c r="J804" i="1"/>
  <c r="J325" i="1"/>
  <c r="J1338" i="1"/>
  <c r="J1200" i="1"/>
  <c r="J1364" i="1"/>
  <c r="J609" i="1"/>
  <c r="J257" i="1"/>
  <c r="J152" i="1"/>
  <c r="J1450" i="1"/>
  <c r="J1269" i="1"/>
  <c r="J21" i="1"/>
  <c r="J871" i="1"/>
  <c r="J765" i="1"/>
  <c r="J1468" i="1"/>
  <c r="J700" i="1"/>
  <c r="J594" i="1"/>
  <c r="J245" i="1"/>
  <c r="J337" i="1"/>
  <c r="J338" i="1"/>
  <c r="J1237" i="1"/>
  <c r="J582" i="1"/>
  <c r="J999" i="1"/>
  <c r="J1498" i="1"/>
  <c r="J1437" i="1"/>
  <c r="J1029" i="1"/>
  <c r="J300" i="1"/>
  <c r="J939" i="1"/>
  <c r="J1257" i="1"/>
  <c r="J564" i="1"/>
  <c r="J1391" i="1"/>
  <c r="J1153" i="1"/>
  <c r="J844" i="1"/>
  <c r="J558" i="1"/>
  <c r="J370" i="1"/>
  <c r="J339" i="1"/>
  <c r="J446" i="1"/>
  <c r="J1219" i="1"/>
  <c r="J113" i="1"/>
  <c r="J1009" i="1"/>
  <c r="J817" i="1"/>
  <c r="J1348" i="1"/>
  <c r="J1408" i="1"/>
  <c r="J1154" i="1"/>
  <c r="J651" i="1"/>
  <c r="J217" i="1"/>
  <c r="J1438" i="1"/>
  <c r="J139" i="1"/>
  <c r="J1238" i="1"/>
  <c r="J706" i="1"/>
  <c r="J79" i="1"/>
  <c r="J17" i="1"/>
  <c r="J85" i="1"/>
  <c r="J404" i="1"/>
  <c r="J399" i="1"/>
  <c r="J1076" i="1"/>
  <c r="J872" i="1"/>
  <c r="J123" i="1"/>
  <c r="J766" i="1"/>
  <c r="J18" i="1"/>
  <c r="J191" i="1"/>
  <c r="J1476" i="1"/>
  <c r="J1022" i="1"/>
  <c r="J226" i="1"/>
  <c r="J1000" i="1"/>
  <c r="J1349" i="1"/>
  <c r="J610" i="1"/>
  <c r="J456" i="1"/>
  <c r="J800" i="1"/>
  <c r="J153" i="1"/>
  <c r="J155" i="1"/>
  <c r="J1493" i="1"/>
  <c r="J1220" i="1"/>
  <c r="J218" i="1"/>
  <c r="J921" i="1"/>
  <c r="J174" i="1"/>
  <c r="J383" i="1"/>
  <c r="J993" i="1"/>
  <c r="J833" i="1"/>
  <c r="J914" i="1"/>
  <c r="J583" i="1"/>
  <c r="J340" i="1"/>
  <c r="J114" i="1"/>
  <c r="J1139" i="1"/>
  <c r="J1469" i="1"/>
  <c r="J515" i="1"/>
  <c r="J1417" i="1"/>
  <c r="J691" i="1"/>
  <c r="J1144" i="1"/>
  <c r="J982" i="1"/>
  <c r="J371" i="1"/>
  <c r="J1140" i="1"/>
  <c r="J384" i="1"/>
  <c r="J767" i="1"/>
  <c r="J284" i="1"/>
  <c r="J736" i="1"/>
  <c r="J219" i="1"/>
  <c r="J1201" i="1"/>
  <c r="J182" i="1"/>
  <c r="J115" i="1"/>
  <c r="J474" i="1"/>
  <c r="J521" i="1"/>
  <c r="J1392" i="1"/>
  <c r="J128" i="1"/>
  <c r="J1109" i="1"/>
  <c r="J1317" i="1"/>
  <c r="J1401" i="1"/>
  <c r="J1133" i="1"/>
  <c r="J108" i="1"/>
  <c r="J1023" i="1"/>
  <c r="J1103" i="1"/>
  <c r="J1455" i="1"/>
  <c r="J1129" i="1"/>
  <c r="J707" i="1"/>
  <c r="J1439" i="1"/>
  <c r="J1262" i="1"/>
  <c r="J1130" i="1"/>
  <c r="J405" i="1"/>
  <c r="J516" i="1"/>
  <c r="J1192" i="1"/>
  <c r="J1006" i="1"/>
  <c r="J805" i="1"/>
  <c r="J1409" i="1"/>
  <c r="J318" i="1"/>
  <c r="J875" i="1"/>
  <c r="J326" i="1"/>
  <c r="J438" i="1"/>
  <c r="J80" i="1"/>
  <c r="J1470" i="1"/>
  <c r="J1244" i="1"/>
  <c r="J1110" i="1"/>
  <c r="J812" i="1"/>
  <c r="J625" i="1"/>
  <c r="J135" i="1"/>
  <c r="J829" i="1"/>
  <c r="J1273" i="1"/>
  <c r="J559" i="1"/>
  <c r="J724" i="1"/>
  <c r="J927" i="1"/>
  <c r="J1418" i="1"/>
  <c r="J332" i="1"/>
  <c r="J508" i="1"/>
  <c r="J357" i="1"/>
  <c r="J1307" i="1"/>
  <c r="J758" i="1"/>
  <c r="J1221" i="1"/>
  <c r="J74" i="1"/>
  <c r="J1496" i="1"/>
  <c r="J628" i="1"/>
  <c r="J1111" i="1"/>
  <c r="J162" i="1"/>
  <c r="J1339" i="1"/>
  <c r="J676" i="1"/>
  <c r="J584" i="1"/>
  <c r="J881" i="1"/>
  <c r="J873" i="1"/>
  <c r="J654" i="1"/>
  <c r="J358" i="1"/>
  <c r="J1350" i="1"/>
  <c r="J258" i="1"/>
  <c r="J1222" i="1"/>
  <c r="J157" i="1"/>
  <c r="J457" i="1"/>
  <c r="J22" i="1"/>
  <c r="J1393" i="1"/>
  <c r="J494" i="1"/>
  <c r="J39" i="1"/>
  <c r="J1082" i="1"/>
  <c r="J1228" i="1"/>
  <c r="J678" i="1"/>
  <c r="J904" i="1"/>
  <c r="J412" i="1"/>
  <c r="J933" i="1"/>
  <c r="J1155" i="1"/>
  <c r="J636" i="1"/>
  <c r="J198" i="1"/>
  <c r="J423" i="1"/>
  <c r="J1303" i="1"/>
  <c r="J1446" i="1"/>
  <c r="J652" i="1"/>
  <c r="J167" i="1"/>
  <c r="J725" i="1"/>
  <c r="J1141" i="1"/>
  <c r="J304" i="1"/>
  <c r="J66" i="1"/>
  <c r="J595" i="1"/>
  <c r="J90" i="1"/>
  <c r="J183" i="1"/>
  <c r="J116" i="1"/>
  <c r="J1282" i="1"/>
  <c r="J617" i="1"/>
  <c r="J759" i="1"/>
  <c r="J1426" i="1"/>
  <c r="J1030" i="1"/>
  <c r="J585" i="1"/>
  <c r="J1429" i="1"/>
  <c r="J203" i="1"/>
  <c r="J960" i="1"/>
  <c r="J1234" i="1"/>
  <c r="J305" i="1"/>
  <c r="J1410" i="1"/>
  <c r="J666" i="1"/>
  <c r="J813" i="1"/>
  <c r="J44" i="1"/>
  <c r="J393" i="1"/>
  <c r="J1405" i="1"/>
  <c r="J434" i="1"/>
  <c r="J1385" i="1"/>
  <c r="J1046" i="1"/>
  <c r="J1289" i="1"/>
  <c r="J45" i="1"/>
  <c r="J1374" i="1"/>
  <c r="J246" i="1"/>
  <c r="J679" i="1"/>
  <c r="J586" i="1"/>
  <c r="J965" i="1"/>
  <c r="J1274" i="1"/>
  <c r="J545" i="1"/>
  <c r="J1394" i="1"/>
  <c r="J367" i="1"/>
  <c r="J1456" i="1"/>
  <c r="J141" i="1"/>
  <c r="J830" i="1"/>
  <c r="J894" i="1"/>
  <c r="J747" i="1"/>
  <c r="J990" i="1"/>
  <c r="J905" i="1"/>
  <c r="J1430" i="1"/>
  <c r="J1419" i="1"/>
  <c r="J737" i="1"/>
  <c r="J966" i="1"/>
  <c r="J168" i="1"/>
  <c r="J906" i="1"/>
  <c r="J273" i="1"/>
  <c r="J834" i="1"/>
  <c r="J818" i="1"/>
  <c r="J738" i="1"/>
  <c r="J710" i="1"/>
  <c r="J1406" i="1"/>
  <c r="J188" i="1"/>
  <c r="J394" i="1"/>
  <c r="J1365" i="1"/>
  <c r="J639" i="1"/>
  <c r="J838" i="1"/>
  <c r="J1134" i="1"/>
  <c r="J70" i="1"/>
  <c r="J882" i="1"/>
  <c r="J1223" i="1"/>
  <c r="J760" i="1"/>
  <c r="J629" i="1"/>
  <c r="J599" i="1"/>
  <c r="J509" i="1"/>
  <c r="J708" i="1"/>
  <c r="J825" i="1"/>
  <c r="J994" i="1"/>
  <c r="J220" i="1"/>
  <c r="J475" i="1"/>
  <c r="J1069" i="1"/>
  <c r="J728" i="1"/>
  <c r="J23" i="1"/>
  <c r="J1263" i="1"/>
  <c r="J739" i="1"/>
  <c r="J1451" i="1"/>
  <c r="J1395" i="1"/>
  <c r="J1077" i="1"/>
  <c r="J883" i="1"/>
  <c r="J885" i="1"/>
  <c r="J530" i="1"/>
  <c r="J740" i="1"/>
  <c r="J1037" i="1"/>
  <c r="J372" i="1"/>
  <c r="J1480" i="1"/>
  <c r="J240" i="1"/>
  <c r="J831" i="1"/>
  <c r="J169" i="1"/>
  <c r="J683" i="1"/>
  <c r="J864" i="1"/>
  <c r="J406" i="1"/>
  <c r="J768" i="1"/>
  <c r="J942" i="1"/>
  <c r="J234" i="1"/>
  <c r="J587" i="1"/>
  <c r="J341" i="1"/>
  <c r="J796" i="1"/>
  <c r="J1351" i="1"/>
  <c r="J552" i="1"/>
  <c r="J223" i="1"/>
  <c r="J1086" i="1"/>
  <c r="J75" i="1"/>
  <c r="J748" i="1"/>
  <c r="J291" i="1"/>
  <c r="J806" i="1"/>
  <c r="J1402" i="1"/>
  <c r="J40" i="1"/>
  <c r="J1279" i="1"/>
  <c r="J210" i="1"/>
  <c r="J995" i="1"/>
  <c r="J634" i="1"/>
  <c r="J447" i="1"/>
  <c r="J876" i="1"/>
  <c r="J327" i="1"/>
  <c r="J692" i="1"/>
  <c r="J1160" i="1"/>
  <c r="J407" i="1"/>
  <c r="J117" i="1"/>
  <c r="J461" i="1"/>
  <c r="J640" i="1"/>
  <c r="J1283" i="1"/>
  <c r="J189" i="1"/>
  <c r="J1420" i="1"/>
  <c r="J1180" i="1"/>
  <c r="J19" i="1"/>
  <c r="J2" i="1"/>
  <c r="J1352" i="1"/>
  <c r="J241" i="1"/>
  <c r="J1167" i="1"/>
  <c r="J1457" i="1"/>
  <c r="J667" i="1"/>
  <c r="J693" i="1"/>
  <c r="J274" i="1"/>
  <c r="J533" i="1"/>
  <c r="J775" i="1"/>
  <c r="J641" i="1"/>
  <c r="J86" i="1"/>
  <c r="J1177" i="1"/>
  <c r="J510" i="1"/>
  <c r="J67" i="1"/>
  <c r="J839" i="1"/>
  <c r="J1001" i="1"/>
  <c r="J553" i="1"/>
  <c r="J749" i="1"/>
  <c r="J711" i="1"/>
  <c r="J968" i="1"/>
  <c r="J986" i="1"/>
  <c r="J712" i="1"/>
  <c r="J259" i="1"/>
  <c r="J890" i="1"/>
  <c r="J887" i="1"/>
  <c r="J448" i="1"/>
  <c r="J1340" i="1"/>
  <c r="J859" i="1"/>
  <c r="J1341" i="1"/>
  <c r="J769" i="1"/>
  <c r="J449" i="1"/>
  <c r="J450" i="1"/>
  <c r="J3" i="1"/>
  <c r="J807" i="1"/>
  <c r="J840" i="1"/>
  <c r="J848" i="1"/>
  <c r="J655" i="1"/>
  <c r="J1047" i="1"/>
  <c r="J1481" i="1"/>
  <c r="J56" i="1"/>
  <c r="J952" i="1"/>
  <c r="J87" i="1"/>
  <c r="J260" i="1"/>
  <c r="J753" i="1"/>
  <c r="J142" i="1"/>
  <c r="J247" i="1"/>
  <c r="J301" i="1"/>
  <c r="J477" i="1"/>
  <c r="J1112" i="1"/>
  <c r="J248" i="1"/>
  <c r="J987" i="1"/>
  <c r="J761" i="1"/>
  <c r="J1142" i="1"/>
  <c r="J1070" i="1"/>
  <c r="J184" i="1"/>
  <c r="J1323" i="1"/>
  <c r="J1053" i="1"/>
  <c r="J1447" i="1"/>
  <c r="J977" i="1"/>
  <c r="J703" i="1"/>
  <c r="J841" i="1"/>
  <c r="J57" i="1"/>
  <c r="J347" i="1"/>
  <c r="J227" i="1"/>
  <c r="J154" i="1"/>
  <c r="J1333" i="1"/>
  <c r="J91" i="1"/>
  <c r="J1181" i="1"/>
  <c r="J943" i="1"/>
  <c r="J418" i="1"/>
  <c r="J1471" i="1"/>
  <c r="J1304" i="1"/>
  <c r="J579" i="1"/>
  <c r="J953" i="1"/>
  <c r="J1499" i="1"/>
  <c r="J282" i="1"/>
  <c r="J668" i="1"/>
  <c r="J1016" i="1"/>
  <c r="J661" i="1"/>
  <c r="J575" i="1"/>
  <c r="J439" i="1"/>
  <c r="J662" i="1"/>
  <c r="J891" i="1"/>
  <c r="J1500" i="1"/>
  <c r="J1207" i="1"/>
  <c r="J143" i="1"/>
  <c r="J368" i="1"/>
  <c r="J797" i="1"/>
  <c r="J1482" i="1"/>
  <c r="J1087" i="1"/>
  <c r="J1366" i="1"/>
  <c r="J14" i="1"/>
  <c r="J264" i="1"/>
  <c r="J754" i="1"/>
  <c r="J348" i="1"/>
  <c r="J47" i="1"/>
  <c r="J1290" i="1"/>
  <c r="J1367" i="1"/>
  <c r="J129" i="1"/>
  <c r="J1214" i="1"/>
  <c r="J261" i="1"/>
  <c r="J267" i="1"/>
  <c r="J511" i="1"/>
  <c r="J1031" i="1"/>
  <c r="J842" i="1"/>
  <c r="J385" i="1"/>
  <c r="J1161" i="1"/>
  <c r="J732" i="1"/>
  <c r="J24" i="1"/>
  <c r="J944" i="1"/>
  <c r="J983" i="1"/>
  <c r="J158" i="1"/>
  <c r="J465" i="1"/>
  <c r="J1245" i="1"/>
  <c r="J669" i="1"/>
  <c r="J1318" i="1"/>
  <c r="J984" i="1"/>
  <c r="J408" i="1"/>
  <c r="J819" i="1"/>
  <c r="J1017" i="1"/>
  <c r="J1275" i="1"/>
  <c r="J1018" i="1"/>
  <c r="J1299" i="1"/>
  <c r="J144" i="1"/>
  <c r="J1146" i="1"/>
  <c r="J892" i="1"/>
  <c r="J424" i="1"/>
  <c r="J504" i="1"/>
  <c r="J491" i="1"/>
  <c r="J1168" i="1"/>
  <c r="J1353" i="1"/>
  <c r="J1488" i="1"/>
  <c r="J1060" i="1"/>
  <c r="J349" i="1"/>
  <c r="J1421" i="1"/>
  <c r="J342" i="1"/>
  <c r="J1440" i="1"/>
  <c r="J35" i="1"/>
  <c r="J517" i="1"/>
  <c r="J750" i="1"/>
  <c r="J1441" i="1"/>
  <c r="J988" i="1"/>
  <c r="J522" i="1"/>
  <c r="J742" i="1"/>
  <c r="J1308" i="1"/>
  <c r="J415" i="1"/>
  <c r="J395" i="1"/>
  <c r="J1473" i="1"/>
  <c r="J1324" i="1"/>
  <c r="J884" i="1"/>
  <c r="J565" i="1"/>
  <c r="J877" i="1"/>
  <c r="J820" i="1"/>
  <c r="J1314" i="1"/>
  <c r="J751" i="1"/>
  <c r="J1378" i="1"/>
  <c r="J268" i="1"/>
  <c r="J71" i="1"/>
  <c r="J645" i="1"/>
  <c r="J989" i="1"/>
  <c r="J1368" i="1"/>
  <c r="J900" i="1"/>
  <c r="J1104" i="1"/>
  <c r="J1369" i="1"/>
  <c r="J755" i="1"/>
  <c r="J109" i="1"/>
  <c r="J535" i="1"/>
  <c r="J478" i="1"/>
  <c r="J1458" i="1"/>
  <c r="J185" i="1"/>
  <c r="J895" i="1"/>
  <c r="J808" i="1"/>
  <c r="J801" i="1"/>
  <c r="J704" i="1"/>
  <c r="J1135" i="1"/>
  <c r="J713" i="1"/>
  <c r="J1296" i="1"/>
  <c r="J98" i="1"/>
  <c r="J928" i="1"/>
  <c r="J1182" i="1"/>
  <c r="J425" i="1"/>
  <c r="J901" i="1"/>
  <c r="J940" i="1"/>
  <c r="J1202" i="1"/>
  <c r="J673" i="1"/>
  <c r="J199" i="1"/>
  <c r="J874" i="1"/>
  <c r="J426" i="1"/>
  <c r="J483" i="1"/>
  <c r="J843" i="1"/>
  <c r="J1038" i="1"/>
  <c r="J1305" i="1"/>
  <c r="J1315" i="1"/>
  <c r="J560" i="1"/>
  <c r="J1039" i="1"/>
  <c r="J865" i="1"/>
  <c r="J343" i="1"/>
  <c r="J249" i="1"/>
  <c r="J242" i="1"/>
  <c r="J1329" i="1"/>
  <c r="J1239" i="1"/>
  <c r="J350" i="1"/>
  <c r="J656" i="1"/>
  <c r="J954" i="1"/>
  <c r="J275" i="1"/>
  <c r="J1452" i="1"/>
  <c r="J1411" i="1"/>
  <c r="J784" i="1"/>
  <c r="J596" i="1"/>
  <c r="J1407" i="1"/>
  <c r="J1208" i="1"/>
  <c r="J204" i="1"/>
  <c r="J451" i="1"/>
  <c r="J96" i="1"/>
  <c r="J907" i="1"/>
  <c r="J888" i="1"/>
  <c r="J235" i="1"/>
  <c r="J705" i="1"/>
  <c r="J670" i="1"/>
  <c r="J860" i="1"/>
  <c r="J961" i="1"/>
  <c r="J81" i="1"/>
  <c r="J802" i="1"/>
  <c r="J729" i="1"/>
  <c r="J1224" i="1"/>
  <c r="J492" i="1"/>
  <c r="J597" i="1"/>
  <c r="J311" i="1"/>
  <c r="J945" i="1"/>
  <c r="J476" i="1"/>
  <c r="J1342" i="1"/>
  <c r="J452" i="1"/>
  <c r="J36" i="1"/>
  <c r="J663" i="1"/>
  <c r="J929" i="1"/>
  <c r="J1010" i="1"/>
  <c r="J687" i="1"/>
  <c r="J386" i="1"/>
  <c r="J1252" i="1"/>
  <c r="J253" i="1"/>
  <c r="J1145" i="1"/>
  <c r="J58" i="1"/>
  <c r="J720" i="1"/>
  <c r="J969" i="1"/>
  <c r="J1062" i="1"/>
  <c r="J866" i="1"/>
  <c r="J688" i="1"/>
  <c r="J429" i="1"/>
  <c r="J536" i="1"/>
  <c r="J76" i="1"/>
  <c r="J400" i="1"/>
  <c r="J328" i="1"/>
  <c r="J826" i="1"/>
  <c r="J355" i="1"/>
  <c r="J1334" i="1"/>
  <c r="J228" i="1"/>
  <c r="J30" i="1"/>
  <c r="J1203" i="1"/>
  <c r="J25" i="1"/>
  <c r="J1040" i="1"/>
  <c r="J569" i="1"/>
  <c r="J1356" i="1"/>
  <c r="J733" i="1"/>
  <c r="J821" i="1"/>
  <c r="J265" i="1"/>
  <c r="J236" i="1"/>
  <c r="J1276" i="1"/>
  <c r="J373" i="1"/>
  <c r="J495" i="1"/>
  <c r="J1121" i="1"/>
  <c r="J991" i="1"/>
  <c r="J647" i="1"/>
  <c r="J611" i="1"/>
  <c r="J1002" i="1"/>
  <c r="J946" i="1"/>
  <c r="J159" i="1"/>
  <c r="J603" i="1"/>
  <c r="J59" i="1"/>
  <c r="J1247" i="1"/>
  <c r="J1459" i="1"/>
  <c r="J190" i="1"/>
  <c r="J4" i="1"/>
  <c r="J620" i="1"/>
  <c r="J1335" i="1"/>
  <c r="J1032" i="1"/>
  <c r="J336" i="1"/>
  <c r="J92" i="1"/>
  <c r="J930" i="1"/>
  <c r="J205" i="1"/>
  <c r="J680" i="1"/>
  <c r="J1319" i="1"/>
  <c r="J496" i="1"/>
  <c r="J1483" i="1"/>
  <c r="J466" i="1"/>
  <c r="J803" i="1"/>
  <c r="J626" i="1"/>
  <c r="J1147" i="1"/>
  <c r="J1320" i="1"/>
  <c r="J68" i="1"/>
  <c r="J101" i="1"/>
  <c r="J604" i="1"/>
  <c r="J827" i="1"/>
  <c r="J102" i="1"/>
  <c r="J1095" i="1"/>
  <c r="J145" i="1"/>
  <c r="J1284" i="1"/>
  <c r="J576" i="1"/>
  <c r="J211" i="1"/>
  <c r="J221" i="1"/>
  <c r="J1432" i="1"/>
  <c r="J630" i="1"/>
  <c r="J1048" i="1"/>
  <c r="J780" i="1"/>
  <c r="J118" i="1"/>
  <c r="J146" i="1"/>
  <c r="J285" i="1"/>
  <c r="J526" i="1"/>
  <c r="J48" i="1"/>
  <c r="J440" i="1"/>
  <c r="J1186" i="1"/>
  <c r="J49" i="1"/>
  <c r="J1248" i="1"/>
  <c r="J104" i="1"/>
  <c r="J50" i="1"/>
  <c r="J163" i="1"/>
  <c r="J391" i="1"/>
  <c r="J1056" i="1"/>
  <c r="J1386" i="1"/>
  <c r="J787" i="1"/>
  <c r="J809" i="1"/>
  <c r="J374" i="1"/>
  <c r="J1122" i="1"/>
  <c r="J479" i="1"/>
  <c r="J600" i="1"/>
  <c r="J948" i="1"/>
  <c r="J588" i="1"/>
  <c r="J577" i="1"/>
  <c r="J1258" i="1"/>
  <c r="J110" i="1"/>
  <c r="J1148" i="1"/>
  <c r="J1431" i="1"/>
  <c r="J1113" i="1"/>
  <c r="J1071" i="1"/>
  <c r="J1149" i="1"/>
  <c r="J1049" i="1"/>
  <c r="J237" i="1"/>
  <c r="J294" i="1"/>
  <c r="J962" i="1"/>
  <c r="J419" i="1"/>
  <c r="J788" i="1"/>
  <c r="J11" i="1"/>
  <c r="J1267" i="1"/>
  <c r="J1123" i="1"/>
  <c r="J136" i="1"/>
  <c r="J93" i="1"/>
  <c r="J137" i="1"/>
  <c r="J1162" i="1"/>
  <c r="J934" i="1"/>
  <c r="J1209" i="1"/>
  <c r="J1336" i="1"/>
  <c r="J730" i="1"/>
  <c r="J1448" i="1"/>
  <c r="J605" i="1"/>
  <c r="J1187" i="1"/>
  <c r="J124" i="1"/>
  <c r="J718" i="1"/>
  <c r="J295" i="1"/>
  <c r="J500" i="1"/>
  <c r="J356" i="1"/>
  <c r="J1050" i="1"/>
  <c r="J1484" i="1"/>
  <c r="J714" i="1"/>
  <c r="J484" i="1"/>
  <c r="J694" i="1"/>
  <c r="J770" i="1"/>
  <c r="J523" i="1"/>
  <c r="J861" i="1"/>
  <c r="J1316" i="1"/>
  <c r="J1330" i="1"/>
  <c r="J1193" i="1"/>
  <c r="J537" i="1"/>
  <c r="J306" i="1"/>
  <c r="J531" i="1"/>
  <c r="J1474" i="1"/>
  <c r="J138" i="1"/>
  <c r="J147" i="1"/>
  <c r="J792" i="1"/>
  <c r="J1460" i="1"/>
  <c r="J789" i="1"/>
  <c r="J922" i="1"/>
  <c r="J1253" i="1"/>
  <c r="J441" i="1"/>
  <c r="J276" i="1"/>
  <c r="J1051" i="1"/>
  <c r="J175" i="1"/>
  <c r="J1461" i="1"/>
  <c r="J296" i="1"/>
  <c r="J458" i="1"/>
  <c r="J1268" i="1"/>
  <c r="J387" i="1"/>
  <c r="J532" i="1"/>
  <c r="J229" i="1"/>
  <c r="J743" i="1"/>
  <c r="J286" i="1"/>
  <c r="J970" i="1"/>
  <c r="J362" i="1"/>
  <c r="J731" i="1"/>
  <c r="J1254" i="1"/>
  <c r="J1054" i="1"/>
  <c r="J1300" i="1"/>
  <c r="J485" i="1"/>
  <c r="J1041" i="1"/>
  <c r="J292" i="1"/>
  <c r="J1188" i="1"/>
  <c r="J1210" i="1"/>
  <c r="J867" i="1"/>
  <c r="J1063" i="1"/>
  <c r="J164" i="1"/>
  <c r="J77" i="1"/>
  <c r="J648" i="1"/>
  <c r="J453" i="1"/>
  <c r="J612" i="1"/>
  <c r="J375" i="1"/>
  <c r="J1114" i="1"/>
  <c r="J302" i="1"/>
  <c r="J1357" i="1"/>
  <c r="J376" i="1"/>
  <c r="J1354" i="1"/>
  <c r="J695" i="1"/>
  <c r="J1178" i="1"/>
  <c r="J467" i="1"/>
  <c r="J1042" i="1"/>
  <c r="J721" i="1"/>
  <c r="J566" i="1"/>
  <c r="J955" i="1"/>
  <c r="J649" i="1"/>
  <c r="J1083" i="1"/>
  <c r="J971" i="1"/>
  <c r="J1115" i="1"/>
  <c r="J1264" i="1"/>
  <c r="J1124" i="1"/>
  <c r="J51" i="1"/>
  <c r="J681" i="1"/>
  <c r="J1229" i="1"/>
  <c r="J978" i="1"/>
  <c r="J776" i="1"/>
  <c r="J207" i="1"/>
  <c r="J493" i="1"/>
  <c r="J1105" i="1"/>
  <c r="J992" i="1"/>
  <c r="J99" i="1"/>
  <c r="J546" i="1"/>
  <c r="J192" i="1"/>
  <c r="J631" i="1"/>
  <c r="J1163" i="1"/>
  <c r="J1270" i="1"/>
  <c r="J1011" i="1"/>
  <c r="J554" i="1"/>
  <c r="J364" i="1"/>
  <c r="J632" i="1"/>
  <c r="J46" i="1"/>
  <c r="J1057" i="1"/>
  <c r="J1331" i="1"/>
  <c r="J1277" i="1"/>
  <c r="J15" i="1"/>
  <c r="J1381" i="1"/>
  <c r="J501" i="1"/>
  <c r="J413" i="1"/>
  <c r="J1096" i="1"/>
  <c r="J140" i="1"/>
  <c r="J193" i="1"/>
  <c r="J828" i="1"/>
  <c r="J518" i="1"/>
  <c r="J1100" i="1"/>
  <c r="J949" i="1"/>
  <c r="J849" i="1"/>
  <c r="J287" i="1"/>
  <c r="J409" i="1"/>
  <c r="J1043" i="1"/>
  <c r="J709" i="1"/>
  <c r="J1097" i="1"/>
  <c r="J1058" i="1"/>
  <c r="J1355" i="1"/>
  <c r="J627" i="1"/>
  <c r="J902" i="1"/>
  <c r="J781" i="1"/>
  <c r="J1183" i="1"/>
  <c r="J194" i="1"/>
  <c r="J1387" i="1"/>
  <c r="J1309" i="1"/>
  <c r="J1189" i="1"/>
  <c r="J359" i="1"/>
  <c r="J822" i="1"/>
  <c r="J170" i="1"/>
  <c r="J1358" i="1"/>
  <c r="J487" i="1"/>
  <c r="J283" i="1"/>
  <c r="J527" i="1"/>
  <c r="J878" i="1"/>
  <c r="J171" i="1"/>
  <c r="J1489" i="1"/>
  <c r="J777" i="1"/>
  <c r="J590" i="1"/>
  <c r="J722" i="1"/>
  <c r="J454" i="1"/>
  <c r="J1477" i="1"/>
  <c r="J810" i="1"/>
  <c r="J313" i="1"/>
  <c r="J401" i="1"/>
  <c r="J734" i="1"/>
  <c r="J1235" i="1"/>
  <c r="J1012" i="1"/>
  <c r="J502" i="1"/>
  <c r="J212" i="1"/>
  <c r="J1265" i="1"/>
  <c r="J379" i="1"/>
  <c r="J886" i="1"/>
  <c r="J1055" i="1"/>
  <c r="J224" i="1"/>
  <c r="J956" i="1"/>
  <c r="J1427" i="1"/>
  <c r="J972" i="1"/>
  <c r="J1433" i="1"/>
  <c r="J762" i="1"/>
  <c r="J1266" i="1"/>
  <c r="J915" i="1"/>
  <c r="J950" i="1"/>
  <c r="J377" i="1"/>
  <c r="J148" i="1"/>
  <c r="J741" i="1"/>
  <c r="J1396" i="1"/>
  <c r="J250" i="1"/>
  <c r="J1321" i="1"/>
  <c r="J266" i="1"/>
  <c r="J1172" i="1"/>
  <c r="J793" i="1"/>
  <c r="J778" i="1"/>
  <c r="J329" i="1"/>
  <c r="J52" i="1"/>
  <c r="J1204" i="1"/>
  <c r="J319" i="1"/>
  <c r="J82" i="1"/>
  <c r="J416" i="1"/>
  <c r="J1490" i="1"/>
  <c r="J1379" i="1"/>
  <c r="J480" i="1"/>
  <c r="J555" i="1"/>
  <c r="J288" i="1"/>
  <c r="J213" i="1"/>
  <c r="J1131" i="1"/>
  <c r="J1225" i="1"/>
  <c r="J1106" i="1"/>
  <c r="J435" i="1"/>
  <c r="J314" i="1"/>
  <c r="J896" i="1"/>
  <c r="J1156" i="1"/>
  <c r="J88" i="1"/>
  <c r="J973" i="1"/>
  <c r="J1325" i="1"/>
  <c r="J1388" i="1"/>
  <c r="J979" i="1"/>
  <c r="J94" i="1"/>
  <c r="J1091" i="1"/>
  <c r="J1422" i="1"/>
  <c r="J996" i="1"/>
  <c r="J823" i="1"/>
  <c r="J1497" i="1"/>
  <c r="J1044" i="1"/>
  <c r="J222" i="1"/>
  <c r="J60" i="1"/>
  <c r="J61" i="1"/>
  <c r="J824" i="1"/>
  <c r="J1271" i="1"/>
  <c r="J524" i="1"/>
  <c r="J677" i="1"/>
  <c r="J1491" i="1"/>
  <c r="J538" i="1"/>
  <c r="J1382" i="1"/>
  <c r="J53" i="1"/>
  <c r="J1194" i="1"/>
  <c r="J923" i="1"/>
  <c r="J814" i="1"/>
  <c r="J657" i="1"/>
  <c r="J497" i="1"/>
  <c r="J1434" i="1"/>
  <c r="J696" i="1"/>
  <c r="J1249" i="1"/>
  <c r="J172" i="1"/>
  <c r="J613" i="1"/>
  <c r="J238" i="1"/>
  <c r="J614" i="1"/>
  <c r="J1116" i="1"/>
  <c r="J293" i="1"/>
  <c r="J916" i="1"/>
  <c r="J621" i="1"/>
  <c r="J1125" i="1"/>
  <c r="J239" i="1"/>
  <c r="J1027" i="1"/>
  <c r="J845" i="1"/>
  <c r="J1064" i="1"/>
  <c r="J481" i="1"/>
  <c r="J519" i="1"/>
  <c r="J642" i="1"/>
  <c r="J1230" i="1"/>
  <c r="J512" i="1"/>
  <c r="J62" i="1"/>
  <c r="J513" i="1"/>
  <c r="J388" i="1"/>
  <c r="J1343" i="1"/>
  <c r="J528" i="1"/>
  <c r="J1092" i="1"/>
  <c r="J468" i="1"/>
  <c r="J643" i="1"/>
  <c r="J1205" i="1"/>
  <c r="J1072" i="1"/>
  <c r="J846" i="1"/>
  <c r="J650" i="1"/>
  <c r="J1435" i="1"/>
  <c r="J1195" i="1"/>
  <c r="J671" i="1"/>
  <c r="J908" i="1"/>
  <c r="J1101" i="1"/>
  <c r="J149" i="1"/>
  <c r="J672" i="1"/>
  <c r="J897" i="1"/>
  <c r="J320" i="1"/>
  <c r="J1301" i="1"/>
  <c r="J1344" i="1"/>
  <c r="J243" i="1"/>
  <c r="J277" i="1"/>
  <c r="J684" i="1"/>
  <c r="J1465" i="1"/>
  <c r="J195" i="1"/>
  <c r="J622" i="1"/>
  <c r="J1019" i="1"/>
  <c r="J344" i="1"/>
  <c r="J1136" i="1"/>
  <c r="J1073" i="1"/>
  <c r="J1306" i="1"/>
  <c r="J735" i="1"/>
  <c r="J333" i="1"/>
  <c r="J1466" i="1"/>
  <c r="J1052" i="1"/>
  <c r="J653" i="1"/>
  <c r="J462" i="1"/>
  <c r="J1157" i="1"/>
  <c r="J547" i="1"/>
  <c r="J1098" i="1"/>
  <c r="J1231" i="1"/>
  <c r="J909" i="1"/>
  <c r="J41" i="1"/>
  <c r="J1240" i="1"/>
  <c r="J771" i="1"/>
  <c r="J396" i="1"/>
  <c r="J1501" i="1"/>
  <c r="J26" i="1"/>
  <c r="J1255" i="1"/>
  <c r="J165" i="1"/>
  <c r="J1059" i="1"/>
  <c r="J63" i="1"/>
  <c r="J601" i="1"/>
  <c r="J744" i="1"/>
  <c r="J534" i="1"/>
  <c r="J410" i="1"/>
  <c r="J615" i="1"/>
  <c r="J898" i="1"/>
  <c r="J853" i="1"/>
  <c r="J664" i="1"/>
  <c r="J1310" i="1"/>
  <c r="J278" i="1"/>
  <c r="J430" i="1"/>
  <c r="J1126" i="1"/>
  <c r="J850" i="1"/>
  <c r="J635" i="1"/>
  <c r="J947" i="1"/>
  <c r="J591" i="1"/>
  <c r="J89" i="1"/>
  <c r="J856" i="1"/>
  <c r="J998" i="1"/>
  <c r="J1013" i="1"/>
  <c r="J715" i="1"/>
  <c r="J1397" i="1"/>
  <c r="J772" i="1"/>
  <c r="J556" i="1"/>
  <c r="J69" i="1"/>
  <c r="J1291" i="1"/>
  <c r="J130" i="1"/>
  <c r="J857" i="1"/>
  <c r="J763" i="1"/>
  <c r="J832" i="1"/>
  <c r="J380" i="1"/>
  <c r="J1078" i="1"/>
  <c r="J1436" i="1"/>
  <c r="J1117" i="1"/>
  <c r="J1292" i="1"/>
  <c r="J1164" i="1"/>
  <c r="J1033" i="1"/>
  <c r="J307" i="1"/>
  <c r="J83" i="1"/>
  <c r="J723" i="1"/>
  <c r="J1404" i="1"/>
  <c r="J1453" i="1"/>
  <c r="J1293" i="1"/>
  <c r="J230" i="1"/>
  <c r="J1383" i="1"/>
  <c r="J1472" i="1"/>
  <c r="J1389" i="1"/>
  <c r="J1285" i="1"/>
  <c r="J701" i="1"/>
  <c r="J1370" i="1"/>
  <c r="J862" i="1"/>
  <c r="J658" i="1"/>
  <c r="J369" i="1"/>
  <c r="J436" i="1"/>
  <c r="J756" i="1"/>
  <c r="J957" i="1"/>
  <c r="J1302" i="1"/>
  <c r="J1184" i="1"/>
  <c r="J54" i="1"/>
  <c r="J779" i="1"/>
  <c r="J951" i="1"/>
  <c r="J111" i="1"/>
  <c r="J5" i="1"/>
  <c r="J548" i="1"/>
  <c r="J231" i="1"/>
  <c r="J539" i="1"/>
  <c r="J1150" i="1"/>
  <c r="J1173" i="1"/>
  <c r="J16" i="1"/>
  <c r="J200" i="1"/>
  <c r="J958" i="1"/>
  <c r="J941" i="1"/>
  <c r="J498" i="1"/>
  <c r="J917" i="1"/>
  <c r="J505" i="1"/>
  <c r="J1412" i="1"/>
  <c r="J334" i="1"/>
  <c r="J499" i="1"/>
  <c r="J12" i="1"/>
  <c r="J702" i="1"/>
  <c r="J131" i="1"/>
  <c r="J503" i="1"/>
  <c r="J197" i="1"/>
  <c r="J84" i="1"/>
  <c r="J637" i="1"/>
  <c r="J1326" i="1"/>
  <c r="J1137" i="1"/>
  <c r="J798" i="1"/>
  <c r="J773" i="1"/>
  <c r="J974" i="1"/>
  <c r="J1158" i="1"/>
  <c r="J78" i="1"/>
  <c r="J37" i="1"/>
  <c r="J893" i="1"/>
  <c r="J360" i="1"/>
  <c r="J794" i="1"/>
  <c r="J868" i="1"/>
  <c r="J618" i="1"/>
  <c r="J520" i="1"/>
  <c r="J1196" i="1"/>
  <c r="J1061" i="1"/>
  <c r="J13" i="1"/>
  <c r="J1241" i="1"/>
  <c r="J31" i="1"/>
  <c r="J1118" i="1"/>
  <c r="J514" i="1"/>
  <c r="J1423" i="1"/>
  <c r="J64" i="1"/>
  <c r="J782" i="1"/>
  <c r="J176" i="1"/>
  <c r="J1359" i="1"/>
  <c r="J488" i="1"/>
  <c r="J716" i="1"/>
  <c r="J1206" i="1"/>
  <c r="J1278" i="1"/>
  <c r="J1215" i="1"/>
  <c r="J570" i="1"/>
  <c r="J1079" i="1"/>
  <c r="J351" i="1"/>
  <c r="J1190" i="1"/>
  <c r="J1034" i="1"/>
  <c r="J1127" i="1"/>
  <c r="J1280" i="1"/>
  <c r="J308" i="1"/>
  <c r="J835" i="1"/>
  <c r="J1398" i="1"/>
  <c r="J1024" i="1"/>
  <c r="J592" i="1"/>
  <c r="J863" i="1"/>
  <c r="J1107" i="1"/>
  <c r="J27" i="1"/>
  <c r="J1380" i="1"/>
  <c r="J397" i="1"/>
  <c r="J529" i="1"/>
  <c r="J836" i="1"/>
  <c r="J269" i="1"/>
  <c r="J486" i="1"/>
  <c r="J606" i="1"/>
  <c r="J442" i="1"/>
  <c r="J1232" i="1"/>
  <c r="J790" i="1"/>
  <c r="J1286" i="1"/>
  <c r="J173" i="1"/>
  <c r="J1174" i="1"/>
  <c r="J879" i="1"/>
  <c r="J463" i="1"/>
  <c r="J119" i="1"/>
  <c r="J567" i="1"/>
  <c r="J201" i="1"/>
  <c r="J427" i="1"/>
  <c r="J1179" i="1"/>
  <c r="J32" i="1"/>
  <c r="J1250" i="1"/>
  <c r="J1211" i="1"/>
  <c r="J745" i="1"/>
  <c r="J697" i="1"/>
  <c r="J1128" i="1"/>
  <c r="J785" i="1"/>
  <c r="J644" i="1"/>
  <c r="J42" i="1"/>
  <c r="J431" i="1"/>
  <c r="J1442" i="1"/>
  <c r="J312" i="1"/>
  <c r="J1014" i="1"/>
  <c r="J177" i="1"/>
  <c r="J568" i="1"/>
  <c r="J646" i="1"/>
  <c r="J455" i="1"/>
  <c r="J55" i="1"/>
  <c r="J607" i="1"/>
  <c r="J1088" i="1"/>
  <c r="J752" i="1"/>
  <c r="J837" i="1"/>
  <c r="J72" i="1"/>
  <c r="J578" i="1"/>
  <c r="J178" i="1"/>
  <c r="J330" i="1"/>
  <c r="J1084" i="1"/>
  <c r="J459" i="1"/>
  <c r="J698" i="1"/>
  <c r="J432" i="1"/>
  <c r="J1242" i="1"/>
  <c r="J1424" i="1"/>
  <c r="J959" i="1"/>
  <c r="J506" i="1"/>
  <c r="J1025" i="1"/>
  <c r="J786" i="1"/>
  <c r="J1454" i="1"/>
  <c r="J935" i="1"/>
  <c r="J1233" i="1"/>
  <c r="J1165" i="1"/>
  <c r="J303" i="1"/>
  <c r="J1074" i="1"/>
  <c r="J1045" i="1"/>
  <c r="J540" i="1"/>
  <c r="J251" i="1"/>
  <c r="J460" i="1"/>
  <c r="J1287" i="1"/>
  <c r="J160" i="1"/>
  <c r="J433" i="1"/>
  <c r="J869" i="1"/>
  <c r="J166" i="1"/>
  <c r="J1332" i="1"/>
  <c r="J854" i="1"/>
  <c r="J910" i="1"/>
  <c r="J262" i="1"/>
  <c r="J315" i="1"/>
  <c r="J1226" i="1"/>
  <c r="J911" i="1"/>
  <c r="J208" i="1"/>
  <c r="J746" i="1"/>
  <c r="J1272" i="1"/>
  <c r="J1138" i="1"/>
  <c r="J443" i="1"/>
  <c r="J980" i="1"/>
  <c r="J1371" i="1"/>
  <c r="J870" i="1"/>
  <c r="J580" i="1"/>
  <c r="J489" i="1"/>
  <c r="J795" i="1"/>
  <c r="J924" i="1"/>
  <c r="J1003" i="1"/>
  <c r="J571" i="1"/>
  <c r="J815" i="1"/>
  <c r="J561" i="1"/>
  <c r="J398" i="1"/>
  <c r="J997" i="1"/>
  <c r="J1075" i="1"/>
  <c r="J1345" i="1"/>
  <c r="J345" i="1"/>
  <c r="J420" i="1"/>
  <c r="J541" i="1"/>
  <c r="J381" i="1"/>
  <c r="J899" i="1"/>
  <c r="J389" i="1"/>
  <c r="J1259" i="1"/>
  <c r="J975" i="1"/>
  <c r="J316" i="1"/>
  <c r="J244" i="1"/>
  <c r="J254" i="1"/>
  <c r="J65" i="1"/>
  <c r="J1322" i="1"/>
  <c r="J469" i="1"/>
  <c r="J105" i="1"/>
  <c r="J97" i="1"/>
  <c r="J6" i="1"/>
  <c r="J363" i="1"/>
  <c r="J255" i="1"/>
  <c r="J562" i="1"/>
  <c r="J335" i="1"/>
  <c r="J421" i="1"/>
  <c r="J1375" i="1"/>
  <c r="J1449" i="1"/>
  <c r="J1099" i="1"/>
  <c r="J321" i="1"/>
  <c r="J232" i="1"/>
  <c r="J33" i="1"/>
  <c r="J322" i="1"/>
  <c r="J1346" i="1"/>
  <c r="J132" i="1"/>
  <c r="J1360" i="1"/>
  <c r="J665" i="1"/>
  <c r="J1462" i="1"/>
  <c r="J1169" i="1"/>
  <c r="J1089" i="1"/>
  <c r="J799" i="1"/>
  <c r="J1478" i="1"/>
  <c r="J1080" i="1"/>
  <c r="J1311" i="1"/>
  <c r="J20" i="1"/>
  <c r="J437" i="1"/>
  <c r="J352" i="1"/>
  <c r="J444" i="1"/>
  <c r="J764" i="1"/>
  <c r="J783" i="1"/>
  <c r="J156" i="1"/>
  <c r="J279" i="1"/>
  <c r="J28" i="1"/>
  <c r="J323" i="1"/>
  <c r="J1004" i="1"/>
  <c r="J1108" i="1"/>
  <c r="J903" i="1"/>
  <c r="J1005" i="1"/>
  <c r="J682" i="1"/>
  <c r="J1007" i="1"/>
  <c r="J402" i="1"/>
  <c r="J1090" i="1"/>
  <c r="J214" i="1"/>
  <c r="J717" i="1"/>
  <c r="J1216" i="1"/>
  <c r="J390" i="1"/>
  <c r="J378" i="1"/>
  <c r="J1028" i="1"/>
  <c r="J1085" i="1"/>
  <c r="J685" i="1"/>
  <c r="J133" i="1"/>
  <c r="J1212" i="1"/>
  <c r="J925" i="1"/>
  <c r="J912" i="1"/>
  <c r="J542" i="1"/>
  <c r="J112" i="1"/>
  <c r="J1403" i="1"/>
  <c r="J120" i="1"/>
  <c r="J1143" i="1"/>
  <c r="J1337" i="1"/>
  <c r="J125" i="1"/>
  <c r="J1361" i="1"/>
  <c r="J1015" i="1"/>
  <c r="J29" i="1"/>
  <c r="J572" i="1"/>
  <c r="J1372" i="1"/>
  <c r="J689" i="1"/>
  <c r="J880" i="1"/>
  <c r="J353" i="1"/>
  <c r="J573" i="1"/>
  <c r="J659" i="1"/>
  <c r="J686" i="1"/>
  <c r="J602" i="1"/>
  <c r="J470" i="1"/>
  <c r="J471" i="1"/>
  <c r="J490" i="1"/>
  <c r="J263" i="1"/>
  <c r="J981" i="1"/>
  <c r="J215" i="1"/>
  <c r="J280" i="1"/>
  <c r="J1236" i="1"/>
  <c r="J403" i="1"/>
  <c r="J121" i="1"/>
  <c r="J7" i="1"/>
  <c r="J726" i="1"/>
  <c r="J289" i="1"/>
  <c r="J847" i="1"/>
  <c r="J464" i="1"/>
  <c r="J774" i="1"/>
  <c r="J936" i="1"/>
  <c r="J382" i="1"/>
  <c r="J1485" i="1"/>
  <c r="J985" i="1"/>
  <c r="J361" i="1"/>
  <c r="J1362" i="1"/>
  <c r="J225" i="1"/>
  <c r="J354" i="1"/>
  <c r="J1175" i="1"/>
  <c r="J581" i="1"/>
  <c r="J1081" i="1"/>
  <c r="J411" i="1"/>
  <c r="J38" i="1"/>
  <c r="J1347" i="1"/>
  <c r="J727" i="1"/>
  <c r="J34" i="1"/>
  <c r="J593" i="1"/>
  <c r="J549" i="1"/>
  <c r="J1197" i="1"/>
  <c r="J150" i="1"/>
  <c r="J918" i="1"/>
  <c r="J179" i="1"/>
  <c r="J95" i="1"/>
  <c r="J126" i="1"/>
  <c r="J719" i="1"/>
  <c r="J252" i="1"/>
  <c r="J73" i="1"/>
  <c r="J392" i="1"/>
  <c r="J365" i="1"/>
  <c r="J346" i="1"/>
  <c r="J623" i="1"/>
  <c r="J43" i="1"/>
  <c r="J1159" i="1"/>
  <c r="J1486" i="1"/>
  <c r="J1217" i="1"/>
  <c r="J106" i="1"/>
  <c r="J931" i="1"/>
  <c r="J1297" i="1"/>
  <c r="J1443" i="1"/>
  <c r="J1467" i="1"/>
  <c r="J1191" i="1"/>
  <c r="J472" i="1"/>
  <c r="J180" i="1"/>
  <c r="J297" i="1"/>
  <c r="J557" i="1"/>
  <c r="J919" i="1"/>
  <c r="J690" i="1"/>
  <c r="J209" i="1"/>
  <c r="J482" i="1"/>
  <c r="J428" i="1"/>
  <c r="J1102" i="1"/>
  <c r="J1492" i="1"/>
  <c r="J1170" i="1"/>
  <c r="J1327" i="1"/>
  <c r="J100" i="1"/>
  <c r="J563" i="1"/>
  <c r="J926" i="1"/>
  <c r="J1166" i="1"/>
  <c r="J298" i="1"/>
  <c r="J976" i="1"/>
  <c r="J270" i="1"/>
  <c r="J290" i="1"/>
</calcChain>
</file>

<file path=xl/sharedStrings.xml><?xml version="1.0" encoding="utf-8"?>
<sst xmlns="http://schemas.openxmlformats.org/spreadsheetml/2006/main" count="6052" uniqueCount="338">
  <si>
    <t>OrderID</t>
  </si>
  <si>
    <t>CustomerID</t>
  </si>
  <si>
    <t>OrderDate</t>
  </si>
  <si>
    <t>Category</t>
  </si>
  <si>
    <t>Region</t>
  </si>
  <si>
    <t>Quantity</t>
  </si>
  <si>
    <t>UnitPrice</t>
  </si>
  <si>
    <t>Revenue</t>
  </si>
  <si>
    <t>PaymentMethod</t>
  </si>
  <si>
    <t>CUST157</t>
  </si>
  <si>
    <t>Fashion</t>
  </si>
  <si>
    <t>North</t>
  </si>
  <si>
    <t>Credit Card</t>
  </si>
  <si>
    <t>CUST316</t>
  </si>
  <si>
    <t>UPI</t>
  </si>
  <si>
    <t>CUST379</t>
  </si>
  <si>
    <t>Home</t>
  </si>
  <si>
    <t>CUST294</t>
  </si>
  <si>
    <t>Sports</t>
  </si>
  <si>
    <t>East</t>
  </si>
  <si>
    <t>CUST335</t>
  </si>
  <si>
    <t>Beauty</t>
  </si>
  <si>
    <t>Net Banking</t>
  </si>
  <si>
    <t>CUST285</t>
  </si>
  <si>
    <t>Electronics</t>
  </si>
  <si>
    <t>South</t>
  </si>
  <si>
    <t>CUST140</t>
  </si>
  <si>
    <t>CUST289</t>
  </si>
  <si>
    <t>CUST183</t>
  </si>
  <si>
    <t>CUST128</t>
  </si>
  <si>
    <t>CUST208</t>
  </si>
  <si>
    <t>West</t>
  </si>
  <si>
    <t>Wallet</t>
  </si>
  <si>
    <t>CUST173</t>
  </si>
  <si>
    <t>CUST398</t>
  </si>
  <si>
    <t>CUST124</t>
  </si>
  <si>
    <t>CUST295</t>
  </si>
  <si>
    <t>CUST374</t>
  </si>
  <si>
    <t>CUST101</t>
  </si>
  <si>
    <t>CUST359</t>
  </si>
  <si>
    <t>CUST350</t>
  </si>
  <si>
    <t>CUST223</t>
  </si>
  <si>
    <t>CUST165</t>
  </si>
  <si>
    <t>CUST364</t>
  </si>
  <si>
    <t>CUST383</t>
  </si>
  <si>
    <t>CUST134</t>
  </si>
  <si>
    <t>CUST209</t>
  </si>
  <si>
    <t>CUST342</t>
  </si>
  <si>
    <t>CUST310</t>
  </si>
  <si>
    <t>CUST273</t>
  </si>
  <si>
    <t>CUST125</t>
  </si>
  <si>
    <t>CUST308</t>
  </si>
  <si>
    <t>CUST384</t>
  </si>
  <si>
    <t>CUST396</t>
  </si>
  <si>
    <t>CUST357</t>
  </si>
  <si>
    <t>CUST135</t>
  </si>
  <si>
    <t>CUST391</t>
  </si>
  <si>
    <t>CUST222</t>
  </si>
  <si>
    <t>CUST137</t>
  </si>
  <si>
    <t>CUST375</t>
  </si>
  <si>
    <t>CUST154</t>
  </si>
  <si>
    <t>CUST204</t>
  </si>
  <si>
    <t>CUST326</t>
  </si>
  <si>
    <t>CUST121</t>
  </si>
  <si>
    <t>CUST227</t>
  </si>
  <si>
    <t>CUST221</t>
  </si>
  <si>
    <t>CUST340</t>
  </si>
  <si>
    <t>CUST216</t>
  </si>
  <si>
    <t>CUST159</t>
  </si>
  <si>
    <t>CUST322</t>
  </si>
  <si>
    <t>CUST395</t>
  </si>
  <si>
    <t>CUST286</t>
  </si>
  <si>
    <t>CUST253</t>
  </si>
  <si>
    <t>CUST307</t>
  </si>
  <si>
    <t>CUST338</t>
  </si>
  <si>
    <t>CUST143</t>
  </si>
  <si>
    <t>CUST220</t>
  </si>
  <si>
    <t>CUST123</t>
  </si>
  <si>
    <t>CUST394</t>
  </si>
  <si>
    <t>CUST385</t>
  </si>
  <si>
    <t>CUST358</t>
  </si>
  <si>
    <t>CUST232</t>
  </si>
  <si>
    <t>CUST240</t>
  </si>
  <si>
    <t>CUST263</t>
  </si>
  <si>
    <t>CUST131</t>
  </si>
  <si>
    <t>CUST344</t>
  </si>
  <si>
    <t>CUST349</t>
  </si>
  <si>
    <t>CUST388</t>
  </si>
  <si>
    <t>CUST193</t>
  </si>
  <si>
    <t>CUST272</t>
  </si>
  <si>
    <t>CUST120</t>
  </si>
  <si>
    <t>CUST164</t>
  </si>
  <si>
    <t>CUST288</t>
  </si>
  <si>
    <t>CUST155</t>
  </si>
  <si>
    <t>CUST201</t>
  </si>
  <si>
    <t>CUST161</t>
  </si>
  <si>
    <t>CUST321</t>
  </si>
  <si>
    <t>CUST225</t>
  </si>
  <si>
    <t>CUST281</t>
  </si>
  <si>
    <t>CUST343</t>
  </si>
  <si>
    <t>CUST213</t>
  </si>
  <si>
    <t>CUST332</t>
  </si>
  <si>
    <t>CUST151</t>
  </si>
  <si>
    <t>CUST373</t>
  </si>
  <si>
    <t>CUST351</t>
  </si>
  <si>
    <t>CUST274</t>
  </si>
  <si>
    <t>CUST305</t>
  </si>
  <si>
    <t>CUST367</t>
  </si>
  <si>
    <t>CUST235</t>
  </si>
  <si>
    <t>CUST218</t>
  </si>
  <si>
    <t>CUST378</t>
  </si>
  <si>
    <t>CUST184</t>
  </si>
  <si>
    <t>CUST163</t>
  </si>
  <si>
    <t>CUST141</t>
  </si>
  <si>
    <t>CUST146</t>
  </si>
  <si>
    <t>CUST189</t>
  </si>
  <si>
    <t>CUST182</t>
  </si>
  <si>
    <t>CUST377</t>
  </si>
  <si>
    <t>CUST348</t>
  </si>
  <si>
    <t>CUST259</t>
  </si>
  <si>
    <t>CUST336</t>
  </si>
  <si>
    <t>CUST347</t>
  </si>
  <si>
    <t>CUST360</t>
  </si>
  <si>
    <t>CUST328</t>
  </si>
  <si>
    <t>CUST264</t>
  </si>
  <si>
    <t>CUST262</t>
  </si>
  <si>
    <t>CUST369</t>
  </si>
  <si>
    <t>CUST389</t>
  </si>
  <si>
    <t>CUST354</t>
  </si>
  <si>
    <t>CUST104</t>
  </si>
  <si>
    <t>CUST276</t>
  </si>
  <si>
    <t>CUST254</t>
  </si>
  <si>
    <t>CUST392</t>
  </si>
  <si>
    <t>CUST217</t>
  </si>
  <si>
    <t>CUST149</t>
  </si>
  <si>
    <t>CUST167</t>
  </si>
  <si>
    <t>CUST346</t>
  </si>
  <si>
    <t>CUST215</t>
  </si>
  <si>
    <t>CUST302</t>
  </si>
  <si>
    <t>CUST399</t>
  </si>
  <si>
    <t>CUST387</t>
  </si>
  <si>
    <t>CUST309</t>
  </si>
  <si>
    <t>CUST211</t>
  </si>
  <si>
    <t>CUST270</t>
  </si>
  <si>
    <t>CUST210</t>
  </si>
  <si>
    <t>CUST174</t>
  </si>
  <si>
    <t>CUST122</t>
  </si>
  <si>
    <t>CUST371</t>
  </si>
  <si>
    <t>CUST382</t>
  </si>
  <si>
    <t>CUST230</t>
  </si>
  <si>
    <t>CUST126</t>
  </si>
  <si>
    <t>CUST242</t>
  </si>
  <si>
    <t>CUST114</t>
  </si>
  <si>
    <t>CUST103</t>
  </si>
  <si>
    <t>CUST115</t>
  </si>
  <si>
    <t>CUST180</t>
  </si>
  <si>
    <t>CUST179</t>
  </si>
  <si>
    <t>CUST317</t>
  </si>
  <si>
    <t>CUST136</t>
  </si>
  <si>
    <t>CUST145</t>
  </si>
  <si>
    <t>CUST190</t>
  </si>
  <si>
    <t>CUST261</t>
  </si>
  <si>
    <t>CUST129</t>
  </si>
  <si>
    <t>CUST397</t>
  </si>
  <si>
    <t>CUST133</t>
  </si>
  <si>
    <t>CUST176</t>
  </si>
  <si>
    <t>CUST300</t>
  </si>
  <si>
    <t>CUST268</t>
  </si>
  <si>
    <t>CUST329</t>
  </si>
  <si>
    <t>CUST202</t>
  </si>
  <si>
    <t>CUST239</t>
  </si>
  <si>
    <t>CUST330</t>
  </si>
  <si>
    <t>CUST297</t>
  </si>
  <si>
    <t>CUST156</t>
  </si>
  <si>
    <t>CUST249</t>
  </si>
  <si>
    <t>CUST203</t>
  </si>
  <si>
    <t>CUST325</t>
  </si>
  <si>
    <t>CUST365</t>
  </si>
  <si>
    <t>CUST324</t>
  </si>
  <si>
    <t>CUST390</t>
  </si>
  <si>
    <t>CUST327</t>
  </si>
  <si>
    <t>CUST339</t>
  </si>
  <si>
    <t>CUST303</t>
  </si>
  <si>
    <t>CUST277</t>
  </si>
  <si>
    <t>CUST187</t>
  </si>
  <si>
    <t>CUST267</t>
  </si>
  <si>
    <t>CUST355</t>
  </si>
  <si>
    <t>CUST246</t>
  </si>
  <si>
    <t>CUST287</t>
  </si>
  <si>
    <t>CUST170</t>
  </si>
  <si>
    <t>CUST363</t>
  </si>
  <si>
    <t>CUST113</t>
  </si>
  <si>
    <t>CUST224</t>
  </si>
  <si>
    <t>CUST278</t>
  </si>
  <si>
    <t>CUST231</t>
  </si>
  <si>
    <t>CUST130</t>
  </si>
  <si>
    <t>CUST198</t>
  </si>
  <si>
    <t>CUST107</t>
  </si>
  <si>
    <t>CUST318</t>
  </si>
  <si>
    <t>CUST236</t>
  </si>
  <si>
    <t>CUST284</t>
  </si>
  <si>
    <t>CUST181</t>
  </si>
  <si>
    <t>CUST226</t>
  </si>
  <si>
    <t>CUST139</t>
  </si>
  <si>
    <t>CUST361</t>
  </si>
  <si>
    <t>CUST132</t>
  </si>
  <si>
    <t>CUST160</t>
  </si>
  <si>
    <t>CUST111</t>
  </si>
  <si>
    <t>CUST116</t>
  </si>
  <si>
    <t>CUST293</t>
  </si>
  <si>
    <t>CUST345</t>
  </si>
  <si>
    <t>CUST233</t>
  </si>
  <si>
    <t>CUST108</t>
  </si>
  <si>
    <t>CUST178</t>
  </si>
  <si>
    <t>CUST381</t>
  </si>
  <si>
    <t>CUST186</t>
  </si>
  <si>
    <t>CUST311</t>
  </si>
  <si>
    <t>CUST127</t>
  </si>
  <si>
    <t>CUST282</t>
  </si>
  <si>
    <t>CUST251</t>
  </si>
  <si>
    <t>CUST299</t>
  </si>
  <si>
    <t>CUST243</t>
  </si>
  <si>
    <t>CUST269</t>
  </si>
  <si>
    <t>CUST112</t>
  </si>
  <si>
    <t>CUST266</t>
  </si>
  <si>
    <t>CUST247</t>
  </si>
  <si>
    <t>CUST279</t>
  </si>
  <si>
    <t>CUST205</t>
  </si>
  <si>
    <t>CUST147</t>
  </si>
  <si>
    <t>CUST237</t>
  </si>
  <si>
    <t>CUST275</t>
  </si>
  <si>
    <t>CUST290</t>
  </si>
  <si>
    <t>CUST260</t>
  </si>
  <si>
    <t>CUST144</t>
  </si>
  <si>
    <t>CUST319</t>
  </si>
  <si>
    <t>CUST356</t>
  </si>
  <si>
    <t>CUST142</t>
  </si>
  <si>
    <t>CUST333</t>
  </si>
  <si>
    <t>CUST191</t>
  </si>
  <si>
    <t>CUST337</t>
  </si>
  <si>
    <t>CUST100</t>
  </si>
  <si>
    <t>CUST334</t>
  </si>
  <si>
    <t>CUST206</t>
  </si>
  <si>
    <t>CUST255</t>
  </si>
  <si>
    <t>CUST298</t>
  </si>
  <si>
    <t>CUST280</t>
  </si>
  <si>
    <t>CUST271</t>
  </si>
  <si>
    <t>CUST110</t>
  </si>
  <si>
    <t>CUST292</t>
  </si>
  <si>
    <t>CUST252</t>
  </si>
  <si>
    <t>CUST194</t>
  </si>
  <si>
    <t>CUST366</t>
  </si>
  <si>
    <t>CUST312</t>
  </si>
  <si>
    <t>CUST296</t>
  </si>
  <si>
    <t>CUST241</t>
  </si>
  <si>
    <t>CUST168</t>
  </si>
  <si>
    <t>CUST368</t>
  </si>
  <si>
    <t>CUST362</t>
  </si>
  <si>
    <t>CUST214</t>
  </si>
  <si>
    <t>CUST306</t>
  </si>
  <si>
    <t>CUST341</t>
  </si>
  <si>
    <t>CUST102</t>
  </si>
  <si>
    <t>CUST152</t>
  </si>
  <si>
    <t>CUST109</t>
  </si>
  <si>
    <t>CUST153</t>
  </si>
  <si>
    <t>CUST248</t>
  </si>
  <si>
    <t>CUST192</t>
  </si>
  <si>
    <t>CUST331</t>
  </si>
  <si>
    <t>CUST200</t>
  </si>
  <si>
    <t>CUST197</t>
  </si>
  <si>
    <t>CUST314</t>
  </si>
  <si>
    <t>CUST106</t>
  </si>
  <si>
    <t>CUST250</t>
  </si>
  <si>
    <t>CUST393</t>
  </si>
  <si>
    <t>CUST228</t>
  </si>
  <si>
    <t>CUST283</t>
  </si>
  <si>
    <t>CUST207</t>
  </si>
  <si>
    <t>CUST118</t>
  </si>
  <si>
    <t>CUST234</t>
  </si>
  <si>
    <t>CUST195</t>
  </si>
  <si>
    <t>CUST257</t>
  </si>
  <si>
    <t>CUST117</t>
  </si>
  <si>
    <t>CUST238</t>
  </si>
  <si>
    <t>CUST150</t>
  </si>
  <si>
    <t>CUST245</t>
  </si>
  <si>
    <t>CUST315</t>
  </si>
  <si>
    <t>CUST185</t>
  </si>
  <si>
    <t>CUST169</t>
  </si>
  <si>
    <t>CUST105</t>
  </si>
  <si>
    <t>CUST212</t>
  </si>
  <si>
    <t>CUST372</t>
  </si>
  <si>
    <t>CUST229</t>
  </si>
  <si>
    <t>CUST219</t>
  </si>
  <si>
    <t>CUST166</t>
  </si>
  <si>
    <t>CUST119</t>
  </si>
  <si>
    <t>CUST386</t>
  </si>
  <si>
    <t>CUST256</t>
  </si>
  <si>
    <t>CUST177</t>
  </si>
  <si>
    <t>CUST313</t>
  </si>
  <si>
    <t>CUST258</t>
  </si>
  <si>
    <t>CUST291</t>
  </si>
  <si>
    <t>CUST158</t>
  </si>
  <si>
    <t>CUST352</t>
  </si>
  <si>
    <t>CUST244</t>
  </si>
  <si>
    <t>CUST199</t>
  </si>
  <si>
    <t>CUST353</t>
  </si>
  <si>
    <t>CUST171</t>
  </si>
  <si>
    <t>CUST172</t>
  </si>
  <si>
    <t>CUST376</t>
  </si>
  <si>
    <t>CUST323</t>
  </si>
  <si>
    <t>CUST196</t>
  </si>
  <si>
    <t>CUST162</t>
  </si>
  <si>
    <t>CUST175</t>
  </si>
  <si>
    <t>CUST320</t>
  </si>
  <si>
    <t>CUST265</t>
  </si>
  <si>
    <t>CUST148</t>
  </si>
  <si>
    <t>CUST301</t>
  </si>
  <si>
    <t>CUST380</t>
  </si>
  <si>
    <t>CUST138</t>
  </si>
  <si>
    <t>CUST370</t>
  </si>
  <si>
    <t>CUST304</t>
  </si>
  <si>
    <t>purchases type</t>
  </si>
  <si>
    <t>Row Labels</t>
  </si>
  <si>
    <t>Grand Total</t>
  </si>
  <si>
    <t>Sum of Revenue</t>
  </si>
  <si>
    <t>Sum of UnitPrice</t>
  </si>
  <si>
    <t>Count of OrderID</t>
  </si>
  <si>
    <t>Sum of OrderID</t>
  </si>
  <si>
    <t>Column Labels</t>
  </si>
  <si>
    <t>New Customer</t>
  </si>
  <si>
    <t>Repeat Customer</t>
  </si>
  <si>
    <t>KPI</t>
  </si>
  <si>
    <t>Value</t>
  </si>
  <si>
    <t>Total Revenue</t>
  </si>
  <si>
    <t>Total Orders</t>
  </si>
  <si>
    <t>Average Revenue per Order</t>
  </si>
  <si>
    <t>Total Categories</t>
  </si>
  <si>
    <t>total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</si>
</sst>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8" fontId="0" fillId="0" borderId="0" xfId="0" applyNumberFormat="1" applyAlignment="1">
      <alignment vertical="center" wrapText="1"/>
    </xf>
    <xf numFmtId="3" fontId="0" fillId="0" borderId="0" xfId="0" applyNumberFormat="1" applyAlignment="1">
      <alignment vertical="center" wrapText="1"/>
    </xf>
    <xf numFmtId="0" fontId="0" fillId="2" borderId="0" xfId="0" applyFill="1"/>
    <xf numFmtId="0" fontId="0" fillId="3" borderId="0" xfId="0" applyFill="1"/>
    <xf numFmtId="0" fontId="0" fillId="0" borderId="0" xfId="0" applyAlignment="1">
      <alignment horizontal="right"/>
    </xf>
    <xf numFmtId="0" fontId="1" fillId="4" borderId="1" xfId="0" applyFont="1" applyFill="1" applyBorder="1" applyAlignment="1">
      <alignment horizontal="center" vertical="center" wrapText="1"/>
    </xf>
    <xf numFmtId="0" fontId="0" fillId="5" borderId="1" xfId="0" applyFill="1" applyBorder="1" applyAlignment="1">
      <alignment horizontal="left" wrapText="1"/>
    </xf>
    <xf numFmtId="1" fontId="0" fillId="5" borderId="1" xfId="0" applyNumberFormat="1" applyFill="1" applyBorder="1" applyAlignment="1">
      <alignment horizontal="right"/>
    </xf>
    <xf numFmtId="0" fontId="0" fillId="5" borderId="1" xfId="0" applyFill="1" applyBorder="1" applyAlignment="1">
      <alignment horizontal="right"/>
    </xf>
    <xf numFmtId="1" fontId="0" fillId="5" borderId="1" xfId="0" applyNumberFormat="1" applyFill="1" applyBorder="1" applyAlignment="1">
      <alignment horizontal="right" wrapText="1"/>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 online retail dataset (1).xlsx]pivottable!PivotTable3</c:name>
    <c:fmtId val="6"/>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solidFill>
          <a:schemeClr val="bg2"/>
        </a:solidFill>
        <a:ln>
          <a:noFill/>
        </a:ln>
        <a:effectLst/>
        <a:sp3d/>
      </c:spPr>
    </c:sideWall>
    <c:backWall>
      <c:thickness val="0"/>
      <c:spPr>
        <a:solidFill>
          <a:schemeClr val="bg2"/>
        </a:solidFill>
        <a:ln>
          <a:noFill/>
        </a:ln>
        <a:effectLst/>
        <a:sp3d/>
      </c:spPr>
    </c:backWall>
    <c:plotArea>
      <c:layout>
        <c:manualLayout>
          <c:layoutTarget val="inner"/>
          <c:xMode val="edge"/>
          <c:yMode val="edge"/>
          <c:x val="0.27556905722277242"/>
          <c:y val="0.21829439979091986"/>
          <c:w val="0.39947760952747319"/>
          <c:h val="0.47689871173356135"/>
        </c:manualLayout>
      </c:layout>
      <c:bar3DChart>
        <c:barDir val="col"/>
        <c:grouping val="clustered"/>
        <c:varyColors val="0"/>
        <c:ser>
          <c:idx val="0"/>
          <c:order val="0"/>
          <c:tx>
            <c:strRef>
              <c:f>pivottable!$B$3:$B$4</c:f>
              <c:strCache>
                <c:ptCount val="1"/>
                <c:pt idx="0">
                  <c:v>New Customer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pivottable!$A$5:$A$15</c:f>
              <c:strCache>
                <c:ptCount val="10"/>
                <c:pt idx="0">
                  <c:v>1</c:v>
                </c:pt>
                <c:pt idx="1">
                  <c:v>2</c:v>
                </c:pt>
                <c:pt idx="2">
                  <c:v>3</c:v>
                </c:pt>
                <c:pt idx="3">
                  <c:v>4</c:v>
                </c:pt>
                <c:pt idx="4">
                  <c:v>5</c:v>
                </c:pt>
                <c:pt idx="5">
                  <c:v>6</c:v>
                </c:pt>
                <c:pt idx="6">
                  <c:v>7</c:v>
                </c:pt>
                <c:pt idx="7">
                  <c:v>8</c:v>
                </c:pt>
                <c:pt idx="8">
                  <c:v>9</c:v>
                </c:pt>
                <c:pt idx="9">
                  <c:v>10</c:v>
                </c:pt>
              </c:strCache>
            </c:strRef>
          </c:cat>
          <c:val>
            <c:numRef>
              <c:f>pivottable!$B$5:$B$15</c:f>
              <c:numCache>
                <c:formatCode>General</c:formatCode>
                <c:ptCount val="10"/>
                <c:pt idx="0">
                  <c:v>42089</c:v>
                </c:pt>
                <c:pt idx="1">
                  <c:v>22163</c:v>
                </c:pt>
                <c:pt idx="2">
                  <c:v>11124</c:v>
                </c:pt>
                <c:pt idx="3">
                  <c:v>21985</c:v>
                </c:pt>
                <c:pt idx="6">
                  <c:v>11390</c:v>
                </c:pt>
                <c:pt idx="7">
                  <c:v>20134</c:v>
                </c:pt>
                <c:pt idx="8">
                  <c:v>20883</c:v>
                </c:pt>
              </c:numCache>
            </c:numRef>
          </c:val>
          <c:extLst>
            <c:ext xmlns:c16="http://schemas.microsoft.com/office/drawing/2014/chart" uri="{C3380CC4-5D6E-409C-BE32-E72D297353CC}">
              <c16:uniqueId val="{00000000-A621-4BF2-9DF8-17594C10D13B}"/>
            </c:ext>
          </c:extLst>
        </c:ser>
        <c:ser>
          <c:idx val="1"/>
          <c:order val="1"/>
          <c:tx>
            <c:strRef>
              <c:f>pivottable!$C$3:$C$4</c:f>
              <c:strCache>
                <c:ptCount val="1"/>
                <c:pt idx="0">
                  <c:v>Repeat Customer</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pivottable!$A$5:$A$15</c:f>
              <c:strCache>
                <c:ptCount val="10"/>
                <c:pt idx="0">
                  <c:v>1</c:v>
                </c:pt>
                <c:pt idx="1">
                  <c:v>2</c:v>
                </c:pt>
                <c:pt idx="2">
                  <c:v>3</c:v>
                </c:pt>
                <c:pt idx="3">
                  <c:v>4</c:v>
                </c:pt>
                <c:pt idx="4">
                  <c:v>5</c:v>
                </c:pt>
                <c:pt idx="5">
                  <c:v>6</c:v>
                </c:pt>
                <c:pt idx="6">
                  <c:v>7</c:v>
                </c:pt>
                <c:pt idx="7">
                  <c:v>8</c:v>
                </c:pt>
                <c:pt idx="8">
                  <c:v>9</c:v>
                </c:pt>
                <c:pt idx="9">
                  <c:v>10</c:v>
                </c:pt>
              </c:strCache>
            </c:strRef>
          </c:cat>
          <c:val>
            <c:numRef>
              <c:f>pivottable!$C$5:$C$15</c:f>
              <c:numCache>
                <c:formatCode>General</c:formatCode>
                <c:ptCount val="10"/>
                <c:pt idx="0">
                  <c:v>1436425</c:v>
                </c:pt>
                <c:pt idx="1">
                  <c:v>1655332</c:v>
                </c:pt>
                <c:pt idx="2">
                  <c:v>1759439</c:v>
                </c:pt>
                <c:pt idx="3">
                  <c:v>1393146</c:v>
                </c:pt>
                <c:pt idx="4">
                  <c:v>1568830</c:v>
                </c:pt>
                <c:pt idx="5">
                  <c:v>1808826</c:v>
                </c:pt>
                <c:pt idx="6">
                  <c:v>1625667</c:v>
                </c:pt>
                <c:pt idx="7">
                  <c:v>1662528</c:v>
                </c:pt>
                <c:pt idx="8">
                  <c:v>1542453</c:v>
                </c:pt>
                <c:pt idx="9">
                  <c:v>1523336</c:v>
                </c:pt>
              </c:numCache>
            </c:numRef>
          </c:val>
          <c:extLst>
            <c:ext xmlns:c16="http://schemas.microsoft.com/office/drawing/2014/chart" uri="{C3380CC4-5D6E-409C-BE32-E72D297353CC}">
              <c16:uniqueId val="{00000004-D58C-48CC-BDEA-AEB50A11D756}"/>
            </c:ext>
          </c:extLst>
        </c:ser>
        <c:dLbls>
          <c:showLegendKey val="0"/>
          <c:showVal val="0"/>
          <c:showCatName val="0"/>
          <c:showSerName val="0"/>
          <c:showPercent val="0"/>
          <c:showBubbleSize val="0"/>
        </c:dLbls>
        <c:gapWidth val="65"/>
        <c:shape val="box"/>
        <c:axId val="674171599"/>
        <c:axId val="674171119"/>
        <c:axId val="0"/>
      </c:bar3DChart>
      <c:catAx>
        <c:axId val="674171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4171119"/>
        <c:crosses val="autoZero"/>
        <c:auto val="1"/>
        <c:lblAlgn val="ctr"/>
        <c:lblOffset val="100"/>
        <c:noMultiLvlLbl val="0"/>
      </c:catAx>
      <c:valAx>
        <c:axId val="6741711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4171599"/>
        <c:crosses val="autoZero"/>
        <c:crossBetween val="between"/>
      </c:valAx>
      <c:spPr>
        <a:noFill/>
        <a:ln>
          <a:noFill/>
        </a:ln>
        <a:effectLst/>
      </c:spPr>
    </c:plotArea>
    <c:legend>
      <c:legendPos val="r"/>
      <c:layout>
        <c:manualLayout>
          <c:xMode val="edge"/>
          <c:yMode val="edge"/>
          <c:x val="0.7057174103237096"/>
          <c:y val="0.28460379952505943"/>
          <c:w val="0.2942827612686173"/>
          <c:h val="0.342409480979795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 online retail dataset (1).xlsx]pivottable!PivotTable15</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pivottable!$G$3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0BC-446B-973A-5F93C2E1FE3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0BC-446B-973A-5F93C2E1FE3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0BC-446B-973A-5F93C2E1FE3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30BC-446B-973A-5F93C2E1F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pivottable!$F$4:$F$8</c:f>
              <c:strCache>
                <c:ptCount val="4"/>
                <c:pt idx="0">
                  <c:v>East</c:v>
                </c:pt>
                <c:pt idx="1">
                  <c:v>North</c:v>
                </c:pt>
                <c:pt idx="2">
                  <c:v>South</c:v>
                </c:pt>
                <c:pt idx="3">
                  <c:v>West</c:v>
                </c:pt>
              </c:strCache>
            </c:strRef>
          </c:cat>
          <c:val>
            <c:numRef>
              <c:f>pivottable!$G$4:$G$8</c:f>
              <c:numCache>
                <c:formatCode>General</c:formatCode>
                <c:ptCount val="4"/>
                <c:pt idx="0">
                  <c:v>482526.12000000017</c:v>
                </c:pt>
                <c:pt idx="1">
                  <c:v>544442.20000000007</c:v>
                </c:pt>
                <c:pt idx="2">
                  <c:v>549225.4099999998</c:v>
                </c:pt>
                <c:pt idx="3">
                  <c:v>541985.99999999977</c:v>
                </c:pt>
              </c:numCache>
            </c:numRef>
          </c:val>
          <c:extLst>
            <c:ext xmlns:c16="http://schemas.microsoft.com/office/drawing/2014/chart" uri="{C3380CC4-5D6E-409C-BE32-E72D297353CC}">
              <c16:uniqueId val="{00000008-30BC-446B-973A-5F93C2E1FE3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538745387453864"/>
          <c:y val="0.48694371536891223"/>
          <c:w val="0.21033210332103322"/>
          <c:h val="0.357627879848352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 online retail dataset (1).xlsx]pivottable!PivotTable17</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pivottable!$J$3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pivottable!$I$4:$I$8</c:f>
              <c:strCache>
                <c:ptCount val="4"/>
                <c:pt idx="0">
                  <c:v>Credit Card</c:v>
                </c:pt>
                <c:pt idx="1">
                  <c:v>Net Banking</c:v>
                </c:pt>
                <c:pt idx="2">
                  <c:v>UPI</c:v>
                </c:pt>
                <c:pt idx="3">
                  <c:v>Wallet</c:v>
                </c:pt>
              </c:strCache>
            </c:strRef>
          </c:cat>
          <c:val>
            <c:numRef>
              <c:f>pivottable!$J$4:$J$8</c:f>
              <c:numCache>
                <c:formatCode>General</c:formatCode>
                <c:ptCount val="4"/>
                <c:pt idx="0">
                  <c:v>90964.520000000091</c:v>
                </c:pt>
                <c:pt idx="1">
                  <c:v>98975.989999999991</c:v>
                </c:pt>
                <c:pt idx="2">
                  <c:v>96901.909999999931</c:v>
                </c:pt>
                <c:pt idx="3">
                  <c:v>95504.780000000101</c:v>
                </c:pt>
              </c:numCache>
            </c:numRef>
          </c:val>
          <c:smooth val="0"/>
          <c:extLst>
            <c:ext xmlns:c16="http://schemas.microsoft.com/office/drawing/2014/chart" uri="{C3380CC4-5D6E-409C-BE32-E72D297353CC}">
              <c16:uniqueId val="{00000000-9A19-40EE-BF58-7E0FD6BFDA15}"/>
            </c:ext>
          </c:extLst>
        </c:ser>
        <c:dLbls>
          <c:dLblPos val="ctr"/>
          <c:showLegendKey val="0"/>
          <c:showVal val="1"/>
          <c:showCatName val="0"/>
          <c:showSerName val="0"/>
          <c:showPercent val="0"/>
          <c:showBubbleSize val="0"/>
        </c:dLbls>
        <c:marker val="1"/>
        <c:smooth val="0"/>
        <c:axId val="731434447"/>
        <c:axId val="789404607"/>
      </c:lineChart>
      <c:catAx>
        <c:axId val="7314344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404607"/>
        <c:crosses val="autoZero"/>
        <c:auto val="1"/>
        <c:lblAlgn val="ctr"/>
        <c:lblOffset val="100"/>
        <c:noMultiLvlLbl val="0"/>
      </c:catAx>
      <c:valAx>
        <c:axId val="7894046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43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 online retail dataset (1).xlsx]pivottable!PivotTable16</c:name>
    <c:fmtId val="4"/>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pivottable!$G$10</c:f>
              <c:strCache>
                <c:ptCount val="1"/>
                <c:pt idx="0">
                  <c:v>Total</c:v>
                </c:pt>
              </c:strCache>
            </c:strRef>
          </c:tx>
          <c:spPr>
            <a:solidFill>
              <a:schemeClr val="accent1"/>
            </a:solidFill>
            <a:ln>
              <a:noFill/>
            </a:ln>
            <a:effectLst/>
          </c:spPr>
          <c:invertIfNegative val="0"/>
          <c:cat>
            <c:strRef>
              <c:f>pivottable!$F$11:$F$15</c:f>
              <c:strCache>
                <c:ptCount val="4"/>
                <c:pt idx="0">
                  <c:v>East</c:v>
                </c:pt>
                <c:pt idx="1">
                  <c:v>North</c:v>
                </c:pt>
                <c:pt idx="2">
                  <c:v>South</c:v>
                </c:pt>
                <c:pt idx="3">
                  <c:v>West</c:v>
                </c:pt>
              </c:strCache>
            </c:strRef>
          </c:cat>
          <c:val>
            <c:numRef>
              <c:f>pivottable!$G$11:$G$15</c:f>
              <c:numCache>
                <c:formatCode>General</c:formatCode>
                <c:ptCount val="4"/>
                <c:pt idx="0">
                  <c:v>90954.820000000094</c:v>
                </c:pt>
                <c:pt idx="1">
                  <c:v>95540.760000000009</c:v>
                </c:pt>
                <c:pt idx="2">
                  <c:v>98618.770000000019</c:v>
                </c:pt>
                <c:pt idx="3">
                  <c:v>97232.849999999991</c:v>
                </c:pt>
              </c:numCache>
            </c:numRef>
          </c:val>
          <c:extLst>
            <c:ext xmlns:c16="http://schemas.microsoft.com/office/drawing/2014/chart" uri="{C3380CC4-5D6E-409C-BE32-E72D297353CC}">
              <c16:uniqueId val="{00000000-57EA-4853-8D60-071A14664591}"/>
            </c:ext>
          </c:extLst>
        </c:ser>
        <c:dLbls>
          <c:showLegendKey val="0"/>
          <c:showVal val="0"/>
          <c:showCatName val="0"/>
          <c:showSerName val="0"/>
          <c:showPercent val="0"/>
          <c:showBubbleSize val="0"/>
        </c:dLbls>
        <c:gapWidth val="247"/>
        <c:overlap val="-20"/>
        <c:axId val="831412287"/>
        <c:axId val="831413727"/>
      </c:barChart>
      <c:catAx>
        <c:axId val="8314122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31413727"/>
        <c:crosses val="autoZero"/>
        <c:auto val="1"/>
        <c:lblAlgn val="ctr"/>
        <c:lblOffset val="100"/>
        <c:noMultiLvlLbl val="0"/>
      </c:catAx>
      <c:valAx>
        <c:axId val="8314137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3141228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 online retail dataset (1).xlsx]pivottable!PivotTable21</c:name>
    <c:fmtId val="15"/>
  </c:pivotSource>
  <c:chart>
    <c:title>
      <c:layout>
        <c:manualLayout>
          <c:xMode val="edge"/>
          <c:yMode val="edge"/>
          <c:x val="0.43019851412254967"/>
          <c:y val="0.1019340667522942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40082422953101"/>
          <c:y val="0.43375439772156138"/>
          <c:w val="0.57806254060426387"/>
          <c:h val="0.23394128925373689"/>
        </c:manualLayout>
      </c:layout>
      <c:area3DChart>
        <c:grouping val="standard"/>
        <c:varyColors val="0"/>
        <c:ser>
          <c:idx val="0"/>
          <c:order val="0"/>
          <c:tx>
            <c:strRef>
              <c:f>pivottable!$J$10</c:f>
              <c:strCache>
                <c:ptCount val="1"/>
                <c:pt idx="0">
                  <c:v>Total</c:v>
                </c:pt>
              </c:strCache>
            </c:strRef>
          </c:tx>
          <c:spPr>
            <a:solidFill>
              <a:schemeClr val="accent1"/>
            </a:solidFill>
            <a:ln>
              <a:noFill/>
            </a:ln>
            <a:effectLst>
              <a:innerShdw dist="12700" dir="16200000">
                <a:schemeClr val="lt1"/>
              </a:innerShdw>
            </a:effectLst>
            <a:sp3d/>
          </c:spPr>
          <c:cat>
            <c:strRef>
              <c:f>pivottable!$I$11:$I$15</c:f>
              <c:strCache>
                <c:ptCount val="4"/>
                <c:pt idx="0">
                  <c:v>East</c:v>
                </c:pt>
                <c:pt idx="1">
                  <c:v>North</c:v>
                </c:pt>
                <c:pt idx="2">
                  <c:v>South</c:v>
                </c:pt>
                <c:pt idx="3">
                  <c:v>West</c:v>
                </c:pt>
              </c:strCache>
            </c:strRef>
          </c:cat>
          <c:val>
            <c:numRef>
              <c:f>pivottable!$J$11:$J$15</c:f>
              <c:numCache>
                <c:formatCode>General</c:formatCode>
                <c:ptCount val="4"/>
                <c:pt idx="0">
                  <c:v>354</c:v>
                </c:pt>
                <c:pt idx="1">
                  <c:v>376</c:v>
                </c:pt>
                <c:pt idx="2">
                  <c:v>382</c:v>
                </c:pt>
                <c:pt idx="3">
                  <c:v>388</c:v>
                </c:pt>
              </c:numCache>
            </c:numRef>
          </c:val>
          <c:extLst>
            <c:ext xmlns:c16="http://schemas.microsoft.com/office/drawing/2014/chart" uri="{C3380CC4-5D6E-409C-BE32-E72D297353CC}">
              <c16:uniqueId val="{00000000-4879-426D-829F-2AACB15CDECA}"/>
            </c:ext>
          </c:extLst>
        </c:ser>
        <c:dLbls>
          <c:showLegendKey val="0"/>
          <c:showVal val="0"/>
          <c:showCatName val="0"/>
          <c:showSerName val="0"/>
          <c:showPercent val="0"/>
          <c:showBubbleSize val="0"/>
        </c:dLbls>
        <c:axId val="833273199"/>
        <c:axId val="833273679"/>
        <c:axId val="277493855"/>
      </c:area3DChart>
      <c:catAx>
        <c:axId val="833273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3273679"/>
        <c:crosses val="autoZero"/>
        <c:auto val="1"/>
        <c:lblAlgn val="ctr"/>
        <c:lblOffset val="100"/>
        <c:noMultiLvlLbl val="0"/>
      </c:catAx>
      <c:valAx>
        <c:axId val="833273679"/>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33273199"/>
        <c:crosses val="autoZero"/>
        <c:crossBetween val="midCat"/>
      </c:valAx>
      <c:serAx>
        <c:axId val="2774938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33273679"/>
        <c:crosses val="autoZero"/>
      </c:serAx>
      <c:spPr>
        <a:solidFill>
          <a:schemeClr val="bg1"/>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57150</xdr:colOff>
      <xdr:row>1</xdr:row>
      <xdr:rowOff>66675</xdr:rowOff>
    </xdr:from>
    <xdr:to>
      <xdr:col>16</xdr:col>
      <xdr:colOff>419100</xdr:colOff>
      <xdr:row>5</xdr:row>
      <xdr:rowOff>104775</xdr:rowOff>
    </xdr:to>
    <xdr:sp macro="" textlink="">
      <xdr:nvSpPr>
        <xdr:cNvPr id="2" name="Rectangle: Rounded Corners 1">
          <a:extLst>
            <a:ext uri="{FF2B5EF4-FFF2-40B4-BE49-F238E27FC236}">
              <a16:creationId xmlns:a16="http://schemas.microsoft.com/office/drawing/2014/main" id="{8312946A-10AE-7DD1-CD50-DDFE2667EB1B}"/>
            </a:ext>
          </a:extLst>
        </xdr:cNvPr>
        <xdr:cNvSpPr/>
      </xdr:nvSpPr>
      <xdr:spPr>
        <a:xfrm>
          <a:off x="666750" y="257175"/>
          <a:ext cx="9505950" cy="800100"/>
        </a:xfrm>
        <a:prstGeom prst="round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447675</xdr:colOff>
      <xdr:row>2</xdr:row>
      <xdr:rowOff>123825</xdr:rowOff>
    </xdr:from>
    <xdr:to>
      <xdr:col>16</xdr:col>
      <xdr:colOff>19050</xdr:colOff>
      <xdr:row>4</xdr:row>
      <xdr:rowOff>47625</xdr:rowOff>
    </xdr:to>
    <xdr:sp macro="" textlink="">
      <xdr:nvSpPr>
        <xdr:cNvPr id="3" name="TextBox 2">
          <a:extLst>
            <a:ext uri="{FF2B5EF4-FFF2-40B4-BE49-F238E27FC236}">
              <a16:creationId xmlns:a16="http://schemas.microsoft.com/office/drawing/2014/main" id="{BA6201EF-DC2B-F1E5-9509-672F5C47128F}"/>
            </a:ext>
          </a:extLst>
        </xdr:cNvPr>
        <xdr:cNvSpPr txBox="1"/>
      </xdr:nvSpPr>
      <xdr:spPr>
        <a:xfrm>
          <a:off x="1057275" y="504825"/>
          <a:ext cx="871537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F0000"/>
              </a:solidFill>
            </a:rPr>
            <a:t>ONLINE</a:t>
          </a:r>
          <a:r>
            <a:rPr lang="en-IN" sz="1200" baseline="0">
              <a:solidFill>
                <a:srgbClr val="FF0000"/>
              </a:solidFill>
            </a:rPr>
            <a:t> RETAIL DASHBOARD</a:t>
          </a:r>
          <a:endParaRPr lang="en-IN" sz="1200">
            <a:solidFill>
              <a:srgbClr val="FF0000"/>
            </a:solidFill>
          </a:endParaRPr>
        </a:p>
      </xdr:txBody>
    </xdr:sp>
    <xdr:clientData/>
  </xdr:twoCellAnchor>
  <xdr:twoCellAnchor>
    <xdr:from>
      <xdr:col>2</xdr:col>
      <xdr:colOff>57150</xdr:colOff>
      <xdr:row>6</xdr:row>
      <xdr:rowOff>38100</xdr:rowOff>
    </xdr:from>
    <xdr:to>
      <xdr:col>4</xdr:col>
      <xdr:colOff>76200</xdr:colOff>
      <xdr:row>9</xdr:row>
      <xdr:rowOff>104775</xdr:rowOff>
    </xdr:to>
    <xdr:sp macro="" textlink="onlinedataset!M6">
      <xdr:nvSpPr>
        <xdr:cNvPr id="4" name="Rectangle: Rounded Corners 3">
          <a:extLst>
            <a:ext uri="{FF2B5EF4-FFF2-40B4-BE49-F238E27FC236}">
              <a16:creationId xmlns:a16="http://schemas.microsoft.com/office/drawing/2014/main" id="{3648BF04-0A06-4208-0C4C-14F37D0E5625}"/>
            </a:ext>
          </a:extLst>
        </xdr:cNvPr>
        <xdr:cNvSpPr/>
      </xdr:nvSpPr>
      <xdr:spPr>
        <a:xfrm>
          <a:off x="1276350" y="1181100"/>
          <a:ext cx="1238250"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accent4"/>
              </a:solidFill>
              <a:latin typeface="Calibri"/>
              <a:cs typeface="Calibri"/>
            </a:rPr>
            <a:t> TOTAL REVENUE</a:t>
          </a:r>
        </a:p>
        <a:p>
          <a:pPr algn="ctr"/>
          <a:fld id="{EC3DBBAA-629D-470A-8F45-9F7DAE9E1663}" type="TxLink">
            <a:rPr lang="en-US" sz="1100" b="0" i="0" u="none" strike="noStrike">
              <a:solidFill>
                <a:schemeClr val="bg1"/>
              </a:solidFill>
              <a:latin typeface="Calibri"/>
              <a:cs typeface="Calibri"/>
            </a:rPr>
            <a:pPr algn="ctr"/>
            <a:t>2118179.73</a:t>
          </a:fld>
          <a:endParaRPr lang="en-IN" sz="1100">
            <a:solidFill>
              <a:schemeClr val="bg1"/>
            </a:solidFill>
          </a:endParaRPr>
        </a:p>
      </xdr:txBody>
    </xdr:sp>
    <xdr:clientData/>
  </xdr:twoCellAnchor>
  <xdr:twoCellAnchor>
    <xdr:from>
      <xdr:col>4</xdr:col>
      <xdr:colOff>552450</xdr:colOff>
      <xdr:row>6</xdr:row>
      <xdr:rowOff>1732</xdr:rowOff>
    </xdr:from>
    <xdr:to>
      <xdr:col>6</xdr:col>
      <xdr:colOff>458932</xdr:colOff>
      <xdr:row>9</xdr:row>
      <xdr:rowOff>96982</xdr:rowOff>
    </xdr:to>
    <xdr:sp macro="" textlink="onlinedataset!M7">
      <xdr:nvSpPr>
        <xdr:cNvPr id="9" name="Rectangle: Rounded Corners 8">
          <a:extLst>
            <a:ext uri="{FF2B5EF4-FFF2-40B4-BE49-F238E27FC236}">
              <a16:creationId xmlns:a16="http://schemas.microsoft.com/office/drawing/2014/main" id="{03E7F762-6F79-4F64-9AC5-1E87BA25A20B}"/>
            </a:ext>
          </a:extLst>
        </xdr:cNvPr>
        <xdr:cNvSpPr/>
      </xdr:nvSpPr>
      <xdr:spPr>
        <a:xfrm>
          <a:off x="2976995" y="1144732"/>
          <a:ext cx="1118755"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accent4"/>
              </a:solidFill>
              <a:latin typeface="Calibri"/>
              <a:cs typeface="Calibri"/>
            </a:rPr>
            <a:t> TOTAL ORDER</a:t>
          </a:r>
          <a:r>
            <a:rPr lang="en-US" sz="1100" b="0" i="0" u="none" strike="noStrike">
              <a:solidFill>
                <a:srgbClr val="000000"/>
              </a:solidFill>
              <a:latin typeface="Calibri"/>
              <a:cs typeface="Calibri"/>
            </a:rPr>
            <a:t>                     </a:t>
          </a:r>
          <a:r>
            <a:rPr lang="en-US" sz="1100" b="0" i="0" u="none" strike="noStrike">
              <a:solidFill>
                <a:schemeClr val="bg1"/>
              </a:solidFill>
              <a:latin typeface="Calibri"/>
              <a:cs typeface="Calibri"/>
            </a:rPr>
            <a:t>  </a:t>
          </a:r>
          <a:fld id="{07532D52-DEF6-47B3-911D-F8C3DA52C0EB}" type="TxLink">
            <a:rPr lang="en-US" sz="1100" b="0" i="0" u="none" strike="noStrike">
              <a:solidFill>
                <a:schemeClr val="bg1"/>
              </a:solidFill>
              <a:latin typeface="Calibri"/>
              <a:cs typeface="Calibri"/>
            </a:rPr>
            <a:pPr algn="ctr"/>
            <a:t>8244</a:t>
          </a:fld>
          <a:endParaRPr lang="en-US" sz="1100" b="0" i="0" u="none" strike="noStrike">
            <a:solidFill>
              <a:schemeClr val="bg1"/>
            </a:solidFill>
            <a:latin typeface="Calibri"/>
            <a:cs typeface="Calibri"/>
          </a:endParaRPr>
        </a:p>
      </xdr:txBody>
    </xdr:sp>
    <xdr:clientData/>
  </xdr:twoCellAnchor>
  <xdr:twoCellAnchor>
    <xdr:from>
      <xdr:col>7</xdr:col>
      <xdr:colOff>190500</xdr:colOff>
      <xdr:row>6</xdr:row>
      <xdr:rowOff>9525</xdr:rowOff>
    </xdr:from>
    <xdr:to>
      <xdr:col>9</xdr:col>
      <xdr:colOff>209550</xdr:colOff>
      <xdr:row>9</xdr:row>
      <xdr:rowOff>123825</xdr:rowOff>
    </xdr:to>
    <xdr:sp macro="" textlink="onlinedataset!M8">
      <xdr:nvSpPr>
        <xdr:cNvPr id="10" name="Rectangle: Rounded Corners 9">
          <a:extLst>
            <a:ext uri="{FF2B5EF4-FFF2-40B4-BE49-F238E27FC236}">
              <a16:creationId xmlns:a16="http://schemas.microsoft.com/office/drawing/2014/main" id="{79D81AF6-2CC4-4480-9B88-F2692959BBE5}"/>
            </a:ext>
          </a:extLst>
        </xdr:cNvPr>
        <xdr:cNvSpPr/>
      </xdr:nvSpPr>
      <xdr:spPr>
        <a:xfrm>
          <a:off x="4457700" y="1152525"/>
          <a:ext cx="123825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4"/>
              </a:solidFill>
              <a:latin typeface="Calibri"/>
              <a:cs typeface="Calibri"/>
            </a:rPr>
            <a:t>AVG</a:t>
          </a:r>
          <a:r>
            <a:rPr lang="en-US" sz="1100" b="1" i="0" u="none" strike="noStrike" baseline="0">
              <a:solidFill>
                <a:schemeClr val="accent4"/>
              </a:solidFill>
              <a:latin typeface="Calibri"/>
              <a:cs typeface="Calibri"/>
            </a:rPr>
            <a:t> REVENUE</a:t>
          </a:r>
          <a:r>
            <a:rPr lang="en-US" sz="1100" b="1" i="0" u="none" strike="noStrike" baseline="0">
              <a:solidFill>
                <a:srgbClr val="000000"/>
              </a:solidFill>
              <a:latin typeface="Calibri"/>
              <a:cs typeface="Calibri"/>
            </a:rPr>
            <a:t> </a:t>
          </a:r>
          <a:r>
            <a:rPr lang="en-US" sz="1100" b="1" i="0" u="none" strike="noStrike" baseline="0">
              <a:solidFill>
                <a:schemeClr val="bg1"/>
              </a:solidFill>
              <a:latin typeface="Calibri"/>
              <a:cs typeface="Calibri"/>
            </a:rPr>
            <a:t> </a:t>
          </a:r>
          <a:fld id="{1D87C8DA-222A-430B-B54C-B4F100E5EBC1}" type="TxLink">
            <a:rPr lang="en-US" sz="1100" b="1" i="0" u="none" strike="noStrike">
              <a:solidFill>
                <a:schemeClr val="bg1"/>
              </a:solidFill>
              <a:latin typeface="Calibri"/>
              <a:cs typeface="Calibri"/>
            </a:rPr>
            <a:pPr algn="ctr"/>
            <a:t>1412.11982</a:t>
          </a:fld>
          <a:endParaRPr lang="en-IN" sz="1100">
            <a:solidFill>
              <a:schemeClr val="bg1"/>
            </a:solidFill>
          </a:endParaRPr>
        </a:p>
      </xdr:txBody>
    </xdr:sp>
    <xdr:clientData/>
  </xdr:twoCellAnchor>
  <xdr:twoCellAnchor>
    <xdr:from>
      <xdr:col>9</xdr:col>
      <xdr:colOff>571500</xdr:colOff>
      <xdr:row>6</xdr:row>
      <xdr:rowOff>19050</xdr:rowOff>
    </xdr:from>
    <xdr:to>
      <xdr:col>11</xdr:col>
      <xdr:colOff>590550</xdr:colOff>
      <xdr:row>9</xdr:row>
      <xdr:rowOff>133350</xdr:rowOff>
    </xdr:to>
    <xdr:sp macro="" textlink="">
      <xdr:nvSpPr>
        <xdr:cNvPr id="13" name="Rectangle: Rounded Corners 12">
          <a:extLst>
            <a:ext uri="{FF2B5EF4-FFF2-40B4-BE49-F238E27FC236}">
              <a16:creationId xmlns:a16="http://schemas.microsoft.com/office/drawing/2014/main" id="{6EFB6C5B-A0C4-4211-BD82-4C3F6976E947}"/>
            </a:ext>
          </a:extLst>
        </xdr:cNvPr>
        <xdr:cNvSpPr/>
      </xdr:nvSpPr>
      <xdr:spPr>
        <a:xfrm>
          <a:off x="6057900" y="1162050"/>
          <a:ext cx="123825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accent4"/>
              </a:solidFill>
            </a:rPr>
            <a:t>TOTAL REGION</a:t>
          </a:r>
          <a:r>
            <a:rPr lang="en-IN" sz="1100" baseline="0">
              <a:solidFill>
                <a:schemeClr val="accent4"/>
              </a:solidFill>
            </a:rPr>
            <a:t>       </a:t>
          </a:r>
          <a:r>
            <a:rPr lang="en-IN" sz="1100" baseline="0">
              <a:solidFill>
                <a:schemeClr val="bg1"/>
              </a:solidFill>
            </a:rPr>
            <a:t>4</a:t>
          </a:r>
          <a:endParaRPr lang="en-IN" sz="1100">
            <a:solidFill>
              <a:schemeClr val="bg1"/>
            </a:solidFill>
          </a:endParaRPr>
        </a:p>
      </xdr:txBody>
    </xdr:sp>
    <xdr:clientData/>
  </xdr:twoCellAnchor>
  <xdr:twoCellAnchor>
    <xdr:from>
      <xdr:col>12</xdr:col>
      <xdr:colOff>572366</xdr:colOff>
      <xdr:row>6</xdr:row>
      <xdr:rowOff>25977</xdr:rowOff>
    </xdr:from>
    <xdr:to>
      <xdr:col>14</xdr:col>
      <xdr:colOff>591416</xdr:colOff>
      <xdr:row>9</xdr:row>
      <xdr:rowOff>140277</xdr:rowOff>
    </xdr:to>
    <xdr:sp macro="" textlink="onlinedataset!M10">
      <xdr:nvSpPr>
        <xdr:cNvPr id="14" name="Rectangle: Rounded Corners 13">
          <a:extLst>
            <a:ext uri="{FF2B5EF4-FFF2-40B4-BE49-F238E27FC236}">
              <a16:creationId xmlns:a16="http://schemas.microsoft.com/office/drawing/2014/main" id="{59AD71A9-5FC8-411A-A168-E60BE82D119C}"/>
            </a:ext>
          </a:extLst>
        </xdr:cNvPr>
        <xdr:cNvSpPr/>
      </xdr:nvSpPr>
      <xdr:spPr>
        <a:xfrm>
          <a:off x="7846002" y="1168977"/>
          <a:ext cx="1231323"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accent4"/>
              </a:solidFill>
              <a:latin typeface="Calibri"/>
              <a:cs typeface="Calibri"/>
            </a:rPr>
            <a:t>TOTAL CATEGORY</a:t>
          </a:r>
          <a:r>
            <a:rPr lang="en-US" sz="1100" b="0" i="0" u="none" strike="noStrike" baseline="0">
              <a:solidFill>
                <a:srgbClr val="000000"/>
              </a:solidFill>
              <a:latin typeface="Calibri"/>
              <a:cs typeface="Calibri"/>
            </a:rPr>
            <a:t>           </a:t>
          </a:r>
          <a:r>
            <a:rPr lang="en-US" sz="1100" b="0" i="0" u="none" strike="noStrike" baseline="0">
              <a:solidFill>
                <a:schemeClr val="bg1"/>
              </a:solidFill>
              <a:latin typeface="Calibri"/>
              <a:cs typeface="Calibri"/>
            </a:rPr>
            <a:t>5</a:t>
          </a:r>
          <a:endParaRPr lang="en-IN" sz="1100">
            <a:solidFill>
              <a:schemeClr val="bg1"/>
            </a:solidFill>
          </a:endParaRPr>
        </a:p>
      </xdr:txBody>
    </xdr:sp>
    <xdr:clientData/>
  </xdr:twoCellAnchor>
  <xdr:twoCellAnchor>
    <xdr:from>
      <xdr:col>1</xdr:col>
      <xdr:colOff>106893</xdr:colOff>
      <xdr:row>9</xdr:row>
      <xdr:rowOff>119592</xdr:rowOff>
    </xdr:from>
    <xdr:to>
      <xdr:col>6</xdr:col>
      <xdr:colOff>68792</xdr:colOff>
      <xdr:row>19</xdr:row>
      <xdr:rowOff>5293</xdr:rowOff>
    </xdr:to>
    <xdr:graphicFrame macro="">
      <xdr:nvGraphicFramePr>
        <xdr:cNvPr id="15" name="Chart 14">
          <a:extLst>
            <a:ext uri="{FF2B5EF4-FFF2-40B4-BE49-F238E27FC236}">
              <a16:creationId xmlns:a16="http://schemas.microsoft.com/office/drawing/2014/main" id="{64277429-0879-42AE-87CB-20A05526C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10</xdr:row>
      <xdr:rowOff>0</xdr:rowOff>
    </xdr:from>
    <xdr:to>
      <xdr:col>10</xdr:col>
      <xdr:colOff>247650</xdr:colOff>
      <xdr:row>19</xdr:row>
      <xdr:rowOff>0</xdr:rowOff>
    </xdr:to>
    <xdr:graphicFrame macro="">
      <xdr:nvGraphicFramePr>
        <xdr:cNvPr id="16" name="Chart 15">
          <a:extLst>
            <a:ext uri="{FF2B5EF4-FFF2-40B4-BE49-F238E27FC236}">
              <a16:creationId xmlns:a16="http://schemas.microsoft.com/office/drawing/2014/main" id="{BAE8B4B1-9969-40C3-B888-AD44E6616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304800</xdr:colOff>
      <xdr:row>10</xdr:row>
      <xdr:rowOff>0</xdr:rowOff>
    </xdr:from>
    <xdr:to>
      <xdr:col>15</xdr:col>
      <xdr:colOff>66675</xdr:colOff>
      <xdr:row>18</xdr:row>
      <xdr:rowOff>161925</xdr:rowOff>
    </xdr:to>
    <xdr:graphicFrame macro="">
      <xdr:nvGraphicFramePr>
        <xdr:cNvPr id="17" name="Chart 16">
          <a:extLst>
            <a:ext uri="{FF2B5EF4-FFF2-40B4-BE49-F238E27FC236}">
              <a16:creationId xmlns:a16="http://schemas.microsoft.com/office/drawing/2014/main" id="{CC8907DA-D510-431D-98FA-F26A93775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590550</xdr:colOff>
      <xdr:row>19</xdr:row>
      <xdr:rowOff>28575</xdr:rowOff>
    </xdr:from>
    <xdr:to>
      <xdr:col>6</xdr:col>
      <xdr:colOff>66675</xdr:colOff>
      <xdr:row>25</xdr:row>
      <xdr:rowOff>85725</xdr:rowOff>
    </xdr:to>
    <xdr:graphicFrame macro="">
      <xdr:nvGraphicFramePr>
        <xdr:cNvPr id="18" name="Chart 17">
          <a:extLst>
            <a:ext uri="{FF2B5EF4-FFF2-40B4-BE49-F238E27FC236}">
              <a16:creationId xmlns:a16="http://schemas.microsoft.com/office/drawing/2014/main" id="{FEAC5672-B80B-4CEB-9FB6-66C531ACF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133351</xdr:colOff>
      <xdr:row>19</xdr:row>
      <xdr:rowOff>47625</xdr:rowOff>
    </xdr:from>
    <xdr:to>
      <xdr:col>11</xdr:col>
      <xdr:colOff>123825</xdr:colOff>
      <xdr:row>26</xdr:row>
      <xdr:rowOff>57150</xdr:rowOff>
    </xdr:to>
    <xdr:graphicFrame macro="">
      <xdr:nvGraphicFramePr>
        <xdr:cNvPr id="19" name="Chart 18">
          <a:extLst>
            <a:ext uri="{FF2B5EF4-FFF2-40B4-BE49-F238E27FC236}">
              <a16:creationId xmlns:a16="http://schemas.microsoft.com/office/drawing/2014/main" id="{D0DA6483-DB21-4944-8C25-6C43EDC23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158750</xdr:colOff>
      <xdr:row>19</xdr:row>
      <xdr:rowOff>9525</xdr:rowOff>
    </xdr:from>
    <xdr:to>
      <xdr:col>14</xdr:col>
      <xdr:colOff>533400</xdr:colOff>
      <xdr:row>22</xdr:row>
      <xdr:rowOff>76200</xdr:rowOff>
    </xdr:to>
    <mc:AlternateContent xmlns:mc="http://schemas.openxmlformats.org/markup-compatibility/2006" xmlns:a14="http://schemas.microsoft.com/office/drawing/2010/main">
      <mc:Choice Requires="a14">
        <xdr:graphicFrame macro="">
          <xdr:nvGraphicFramePr>
            <xdr:cNvPr id="20" name="OrderID">
              <a:extLst>
                <a:ext uri="{FF2B5EF4-FFF2-40B4-BE49-F238E27FC236}">
                  <a16:creationId xmlns:a16="http://schemas.microsoft.com/office/drawing/2014/main" id="{3E9AE6D9-CE65-1491-53D9-DC67B505FCB2}"/>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8038523" y="3629025"/>
              <a:ext cx="980786"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19</xdr:row>
      <xdr:rowOff>9526</xdr:rowOff>
    </xdr:from>
    <xdr:to>
      <xdr:col>13</xdr:col>
      <xdr:colOff>174625</xdr:colOff>
      <xdr:row>22</xdr:row>
      <xdr:rowOff>85726</xdr:rowOff>
    </xdr:to>
    <mc:AlternateContent xmlns:mc="http://schemas.openxmlformats.org/markup-compatibility/2006" xmlns:a14="http://schemas.microsoft.com/office/drawing/2010/main">
      <mc:Choice Requires="a14">
        <xdr:graphicFrame macro="">
          <xdr:nvGraphicFramePr>
            <xdr:cNvPr id="21" name="purchases type">
              <a:extLst>
                <a:ext uri="{FF2B5EF4-FFF2-40B4-BE49-F238E27FC236}">
                  <a16:creationId xmlns:a16="http://schemas.microsoft.com/office/drawing/2014/main" id="{B6521D9C-2CA4-828B-C113-0A9E01777705}"/>
                </a:ext>
              </a:extLst>
            </xdr:cNvPr>
            <xdr:cNvGraphicFramePr/>
          </xdr:nvGraphicFramePr>
          <xdr:xfrm>
            <a:off x="0" y="0"/>
            <a:ext cx="0" cy="0"/>
          </xdr:xfrm>
          <a:graphic>
            <a:graphicData uri="http://schemas.microsoft.com/office/drawing/2010/slicer">
              <sle:slicer xmlns:sle="http://schemas.microsoft.com/office/drawing/2010/slicer" name="purchases type"/>
            </a:graphicData>
          </a:graphic>
        </xdr:graphicFrame>
      </mc:Choice>
      <mc:Fallback xmlns="">
        <xdr:sp macro="" textlink="">
          <xdr:nvSpPr>
            <xdr:cNvPr id="0" name=""/>
            <xdr:cNvSpPr>
              <a:spLocks noTextEdit="1"/>
            </xdr:cNvSpPr>
          </xdr:nvSpPr>
          <xdr:spPr>
            <a:xfrm>
              <a:off x="6781800" y="3629026"/>
              <a:ext cx="1272598"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193675</xdr:colOff>
      <xdr:row>22</xdr:row>
      <xdr:rowOff>127000</xdr:rowOff>
    </xdr:from>
    <xdr:to>
      <xdr:col>13</xdr:col>
      <xdr:colOff>127000</xdr:colOff>
      <xdr:row>25</xdr:row>
      <xdr:rowOff>127000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8350DAE5-9EF7-D42C-E466-1F09DA48DB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61175" y="4318000"/>
              <a:ext cx="1145598"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146050</xdr:colOff>
      <xdr:row>22</xdr:row>
      <xdr:rowOff>95250</xdr:rowOff>
    </xdr:from>
    <xdr:to>
      <xdr:col>14</xdr:col>
      <xdr:colOff>571500</xdr:colOff>
      <xdr:row>25</xdr:row>
      <xdr:rowOff>127000</xdr:rowOff>
    </xdr:to>
    <mc:AlternateContent xmlns:mc="http://schemas.openxmlformats.org/markup-compatibility/2006" xmlns:a14="http://schemas.microsoft.com/office/drawing/2010/main">
      <mc:Choice Requires="a14">
        <xdr:graphicFrame macro="">
          <xdr:nvGraphicFramePr>
            <xdr:cNvPr id="23" name="PaymentMethod">
              <a:extLst>
                <a:ext uri="{FF2B5EF4-FFF2-40B4-BE49-F238E27FC236}">
                  <a16:creationId xmlns:a16="http://schemas.microsoft.com/office/drawing/2014/main" id="{035CBCAA-D4BC-1A57-0E02-EC5C881C42F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025823" y="4286250"/>
              <a:ext cx="1031586" cy="60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14</xdr:row>
      <xdr:rowOff>47625</xdr:rowOff>
    </xdr:from>
    <xdr:to>
      <xdr:col>17</xdr:col>
      <xdr:colOff>79375</xdr:colOff>
      <xdr:row>18</xdr:row>
      <xdr:rowOff>63500</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FF24770D-54B6-31BD-7AA6-FE8DC25185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58720" y="2714625"/>
              <a:ext cx="1224973" cy="77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10</xdr:row>
      <xdr:rowOff>31750</xdr:rowOff>
    </xdr:from>
    <xdr:to>
      <xdr:col>17</xdr:col>
      <xdr:colOff>31750</xdr:colOff>
      <xdr:row>13</xdr:row>
      <xdr:rowOff>158750</xdr:rowOff>
    </xdr:to>
    <mc:AlternateContent xmlns:mc="http://schemas.openxmlformats.org/markup-compatibility/2006" xmlns:a14="http://schemas.microsoft.com/office/drawing/2010/main">
      <mc:Choice Requires="a14">
        <xdr:graphicFrame macro="">
          <xdr:nvGraphicFramePr>
            <xdr:cNvPr id="25" name="UnitPrice">
              <a:extLst>
                <a:ext uri="{FF2B5EF4-FFF2-40B4-BE49-F238E27FC236}">
                  <a16:creationId xmlns:a16="http://schemas.microsoft.com/office/drawing/2014/main" id="{BA2F0F9F-F16B-E0B7-D68E-44921A16015D}"/>
                </a:ext>
              </a:extLst>
            </xdr:cNvPr>
            <xdr:cNvGraphicFramePr/>
          </xdr:nvGraphicFramePr>
          <xdr:xfrm>
            <a:off x="0" y="0"/>
            <a:ext cx="0" cy="0"/>
          </xdr:xfrm>
          <a:graphic>
            <a:graphicData uri="http://schemas.microsoft.com/office/drawing/2010/slicer">
              <sle:slicer xmlns:sle="http://schemas.microsoft.com/office/drawing/2010/slicer" name="UnitPrice"/>
            </a:graphicData>
          </a:graphic>
        </xdr:graphicFrame>
      </mc:Choice>
      <mc:Fallback xmlns="">
        <xdr:sp macro="" textlink="">
          <xdr:nvSpPr>
            <xdr:cNvPr id="0" name=""/>
            <xdr:cNvSpPr>
              <a:spLocks noTextEdit="1"/>
            </xdr:cNvSpPr>
          </xdr:nvSpPr>
          <xdr:spPr>
            <a:xfrm>
              <a:off x="9158720" y="1936750"/>
              <a:ext cx="1177348"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1743287039" createdVersion="8" refreshedVersion="8" minRefreshableVersion="3" recordCount="1500" xr:uid="{C6C8590B-97DF-49AA-A555-CB74130A6579}">
  <cacheSource type="worksheet">
    <worksheetSource ref="A1:J1501" sheet="onlinedataset"/>
  </cacheSource>
  <cacheFields count="10">
    <cacheField name="OrderID" numFmtId="0">
      <sharedItems containsSemiMixedTypes="0" containsString="0" containsNumber="1" containsInteger="1" minValue="10001" maxValue="11500" count="15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sharedItems>
    </cacheField>
    <cacheField name="CustomerID" numFmtId="0">
      <sharedItems/>
    </cacheField>
    <cacheField name="OrderDate" numFmtId="14">
      <sharedItems containsSemiMixedTypes="0" containsNonDate="0" containsDate="1" containsString="0" minDate="2024-01-01T00:00:00" maxDate="2026-01-01T00:00:00"/>
    </cacheField>
    <cacheField name="Category" numFmtId="0">
      <sharedItems/>
    </cacheField>
    <cacheField name="Region" numFmtId="0">
      <sharedItems/>
    </cacheField>
    <cacheField name="Quantity" numFmtId="0">
      <sharedItems containsSemiMixedTypes="0" containsString="0" containsNumber="1" containsInteger="1" minValue="1" maxValue="10" count="10">
        <n v="5"/>
        <n v="1"/>
        <n v="4"/>
        <n v="6"/>
        <n v="2"/>
        <n v="7"/>
        <n v="3"/>
        <n v="8"/>
        <n v="9"/>
        <n v="10"/>
      </sharedItems>
    </cacheField>
    <cacheField name="UnitPrice" numFmtId="0">
      <sharedItems containsSemiMixedTypes="0" containsString="0" containsNumber="1" minValue="5.0999999999999996" maxValue="499.08"/>
    </cacheField>
    <cacheField name="Revenue" numFmtId="0">
      <sharedItems containsSemiMixedTypes="0" containsString="0" containsNumber="1" minValue="5.27" maxValue="4990.8"/>
    </cacheField>
    <cacheField name="PaymentMethod" numFmtId="0">
      <sharedItems/>
    </cacheField>
    <cacheField name="purchases type" numFmtId="0">
      <sharedItems count="2">
        <s v="Repeat Customer"/>
        <s v="New Customer"/>
      </sharedItems>
    </cacheField>
  </cacheFields>
  <extLst>
    <ext xmlns:x14="http://schemas.microsoft.com/office/spreadsheetml/2009/9/main" uri="{725AE2AE-9491-48be-B2B4-4EB974FC3084}">
      <x14:pivotCacheDefinition pivotCacheId="1035149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1845717592" createdVersion="8" refreshedVersion="8" minRefreshableVersion="3" recordCount="1500" xr:uid="{F9ACF3AC-53B3-484F-BBA2-674D4CA993E0}">
  <cacheSource type="worksheet">
    <worksheetSource ref="A1:J1501" sheet="onlinedataset"/>
  </cacheSource>
  <cacheFields count="10">
    <cacheField name="OrderID" numFmtId="0">
      <sharedItems containsSemiMixedTypes="0" containsString="0" containsNumber="1" containsInteger="1" minValue="10001" maxValue="11500"/>
    </cacheField>
    <cacheField name="CustomerID" numFmtId="0">
      <sharedItems/>
    </cacheField>
    <cacheField name="OrderDate" numFmtId="14">
      <sharedItems containsSemiMixedTypes="0" containsNonDate="0" containsDate="1" containsString="0" minDate="2024-01-01T00:00:00" maxDate="2026-01-01T00:00:00"/>
    </cacheField>
    <cacheField name="Category" numFmtId="0">
      <sharedItems/>
    </cacheField>
    <cacheField name="Region" numFmtId="0">
      <sharedItems count="4">
        <s v="North"/>
        <s v="East"/>
        <s v="South"/>
        <s v="West"/>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999999999999996" maxValue="499.08"/>
    </cacheField>
    <cacheField name="Revenue" numFmtId="0">
      <sharedItems containsSemiMixedTypes="0" containsString="0" containsNumber="1" minValue="5.27" maxValue="4990.8"/>
    </cacheField>
    <cacheField name="PaymentMethod" numFmtId="0">
      <sharedItems/>
    </cacheField>
    <cacheField name="purchases type" numFmtId="0">
      <sharedItems/>
    </cacheField>
  </cacheFields>
  <extLst>
    <ext xmlns:x14="http://schemas.microsoft.com/office/spreadsheetml/2009/9/main" uri="{725AE2AE-9491-48be-B2B4-4EB974FC3084}">
      <x14:pivotCacheDefinition pivotCacheId="13644567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1919791664" createdVersion="8" refreshedVersion="8" minRefreshableVersion="3" recordCount="1500" xr:uid="{B0B8EC6C-8044-4320-9CF1-8D01B796C8F5}">
  <cacheSource type="worksheet">
    <worksheetSource ref="A1:J1501" sheet="onlinedataset"/>
  </cacheSource>
  <cacheFields count="10">
    <cacheField name="OrderID" numFmtId="0">
      <sharedItems containsSemiMixedTypes="0" containsString="0" containsNumber="1" containsInteger="1" minValue="10001" maxValue="11500"/>
    </cacheField>
    <cacheField name="CustomerID" numFmtId="0">
      <sharedItems/>
    </cacheField>
    <cacheField name="OrderDate" numFmtId="14">
      <sharedItems containsSemiMixedTypes="0" containsNonDate="0" containsDate="1" containsString="0" minDate="2024-01-01T00:00:00" maxDate="2026-01-01T00:00:00"/>
    </cacheField>
    <cacheField name="Category" numFmtId="0">
      <sharedItems/>
    </cacheField>
    <cacheField name="Region" numFmtId="0">
      <sharedItems count="4">
        <s v="North"/>
        <s v="East"/>
        <s v="South"/>
        <s v="West"/>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999999999999996" maxValue="499.08" count="1480">
        <n v="126.22"/>
        <n v="51.38"/>
        <n v="227.36"/>
        <n v="81.96"/>
        <n v="424.51"/>
        <n v="486.69"/>
        <n v="353.76"/>
        <n v="193.16"/>
        <n v="336.74"/>
        <n v="138.62"/>
        <n v="403.5"/>
        <n v="110.25"/>
        <n v="127.08"/>
        <n v="113.56"/>
        <n v="315.58999999999997"/>
        <n v="266.91000000000003"/>
        <n v="60.22"/>
        <n v="382.17"/>
        <n v="80.66"/>
        <n v="464.9"/>
        <n v="47.4"/>
        <n v="473.69"/>
        <n v="357.91"/>
        <n v="127.71"/>
        <n v="114.01"/>
        <n v="40.07"/>
        <n v="363.06"/>
        <n v="51.69"/>
        <n v="338.32"/>
        <n v="99.84"/>
        <n v="234"/>
        <n v="418.83"/>
        <n v="110.8"/>
        <n v="136.28"/>
        <n v="81.62"/>
        <n v="375.25"/>
        <n v="33.159999999999997"/>
        <n v="339.23"/>
        <n v="299.29000000000002"/>
        <n v="161.6"/>
        <n v="69.78"/>
        <n v="312.47000000000003"/>
        <n v="136.27000000000001"/>
        <n v="221.9"/>
        <n v="469.77"/>
        <n v="139.81"/>
        <n v="255.18"/>
        <n v="6.76"/>
        <n v="282.64999999999998"/>
        <n v="293.33999999999997"/>
        <n v="450"/>
        <n v="180.07"/>
        <n v="441.3"/>
        <n v="137.07"/>
        <n v="409.21"/>
        <n v="331.72"/>
        <n v="322.52999999999997"/>
        <n v="292.39"/>
        <n v="221.01"/>
        <n v="26.97"/>
        <n v="474.69"/>
        <n v="335.11"/>
        <n v="213.12"/>
        <n v="155.41999999999999"/>
        <n v="339.44"/>
        <n v="333.61"/>
        <n v="116.2"/>
        <n v="307.58"/>
        <n v="249.72"/>
        <n v="92.06"/>
        <n v="230.95"/>
        <n v="225.73"/>
        <n v="384.08"/>
        <n v="358.2"/>
        <n v="73.5"/>
        <n v="206.76"/>
        <n v="197.79"/>
        <n v="152.81"/>
        <n v="220.74"/>
        <n v="460.17"/>
        <n v="46.55"/>
        <n v="192.66"/>
        <n v="377.24"/>
        <n v="30.78"/>
        <n v="103.68"/>
        <n v="284.16000000000003"/>
        <n v="305.58999999999997"/>
        <n v="464.8"/>
        <n v="346.85"/>
        <n v="176.87"/>
        <n v="11.26"/>
        <n v="355.12"/>
        <n v="220.61"/>
        <n v="441.41"/>
        <n v="426.22"/>
        <n v="143.43"/>
        <n v="124.47"/>
        <n v="226.85"/>
        <n v="156.57"/>
        <n v="215.62"/>
        <n v="129.44"/>
        <n v="99.81"/>
        <n v="117.6"/>
        <n v="27.53"/>
        <n v="289.16000000000003"/>
        <n v="129.97999999999999"/>
        <n v="290.63"/>
        <n v="496.99"/>
        <n v="454.71"/>
        <n v="306.77"/>
        <n v="82.74"/>
        <n v="346.24"/>
        <n v="352.98"/>
        <n v="332.29"/>
        <n v="454.66"/>
        <n v="375.73"/>
        <n v="351.37"/>
        <n v="445.26"/>
        <n v="295.63"/>
        <n v="327.5"/>
        <n v="177.24"/>
        <n v="348.37"/>
        <n v="129.94"/>
        <n v="31.83"/>
        <n v="137.19"/>
        <n v="486.71"/>
        <n v="278.36"/>
        <n v="251.7"/>
        <n v="231.11"/>
        <n v="141.74"/>
        <n v="419.55"/>
        <n v="175.84"/>
        <n v="288.04000000000002"/>
        <n v="196.11"/>
        <n v="169.34"/>
        <n v="362.61"/>
        <n v="313.51"/>
        <n v="315.27"/>
        <n v="498.73"/>
        <n v="348.53"/>
        <n v="190.55"/>
        <n v="89.14"/>
        <n v="119.93"/>
        <n v="340.42"/>
        <n v="321.27"/>
        <n v="427.4"/>
        <n v="151.46"/>
        <n v="433.21"/>
        <n v="113.41"/>
        <n v="157.91999999999999"/>
        <n v="166.73"/>
        <n v="267.77"/>
        <n v="403.1"/>
        <n v="483.8"/>
        <n v="270.60000000000002"/>
        <n v="58.63"/>
        <n v="114.58"/>
        <n v="27.45"/>
        <n v="444.19"/>
        <n v="212.47"/>
        <n v="469.83"/>
        <n v="475.52"/>
        <n v="34.97"/>
        <n v="322.64"/>
        <n v="394.55"/>
        <n v="388.31"/>
        <n v="129.07"/>
        <n v="396.04"/>
        <n v="67.75"/>
        <n v="259.05"/>
        <n v="154.31"/>
        <n v="247.68"/>
        <n v="37.51"/>
        <n v="255.25"/>
        <n v="228.52"/>
        <n v="366.16"/>
        <n v="344.98"/>
        <n v="52.8"/>
        <n v="336.66"/>
        <n v="159.66"/>
        <n v="178.31"/>
        <n v="404.57"/>
        <n v="352.84"/>
        <n v="285.33"/>
        <n v="111.49"/>
        <n v="362.19"/>
        <n v="29.63"/>
        <n v="223.81"/>
        <n v="145.21"/>
        <n v="492.3"/>
        <n v="383.26"/>
        <n v="91.97"/>
        <n v="220.93"/>
        <n v="205.19"/>
        <n v="90.08"/>
        <n v="125.44"/>
        <n v="114.68"/>
        <n v="453.43"/>
        <n v="131.69999999999999"/>
        <n v="234.66"/>
        <n v="38.799999999999997"/>
        <n v="41.72"/>
        <n v="42.98"/>
        <n v="227.62"/>
        <n v="479.07"/>
        <n v="24.38"/>
        <n v="196.77"/>
        <n v="281.19"/>
        <n v="293.45999999999998"/>
        <n v="355.87"/>
        <n v="51.26"/>
        <n v="475.83"/>
        <n v="43.2"/>
        <n v="81.36"/>
        <n v="339.8"/>
        <n v="123.39"/>
        <n v="385.87"/>
        <n v="437.14"/>
        <n v="426.33"/>
        <n v="77.94"/>
        <n v="210.37"/>
        <n v="116.15"/>
        <n v="147.01"/>
        <n v="453.4"/>
        <n v="266.25"/>
        <n v="123.03"/>
        <n v="270.35000000000002"/>
        <n v="309.33"/>
        <n v="38.5"/>
        <n v="490.61"/>
        <n v="367.81"/>
        <n v="172.58"/>
        <n v="359.44"/>
        <n v="443.47"/>
        <n v="23.13"/>
        <n v="140.24"/>
        <n v="486.99"/>
        <n v="364.91"/>
        <n v="55.79"/>
        <n v="87.49"/>
        <n v="499.08"/>
        <n v="401.54"/>
        <n v="38.28"/>
        <n v="80.95"/>
        <n v="73.16"/>
        <n v="17.829999999999998"/>
        <n v="388.61"/>
        <n v="72.19"/>
        <n v="335.58"/>
        <n v="397.88"/>
        <n v="396.23"/>
        <n v="307.91000000000003"/>
        <n v="208.34"/>
        <n v="227.74"/>
        <n v="95.07"/>
        <n v="155.54"/>
        <n v="423.74"/>
        <n v="309.14"/>
        <n v="361.71"/>
        <n v="474.53"/>
        <n v="321.3"/>
        <n v="152.22999999999999"/>
        <n v="234.9"/>
        <n v="69.73"/>
        <n v="137.4"/>
        <n v="432.76"/>
        <n v="98.97"/>
        <n v="16.47"/>
        <n v="29.09"/>
        <n v="424.35"/>
        <n v="27.39"/>
        <n v="196.24"/>
        <n v="189.73"/>
        <n v="203.69"/>
        <n v="402.96"/>
        <n v="466.03"/>
        <n v="256.12"/>
        <n v="168.96"/>
        <n v="136.44"/>
        <n v="264.5"/>
        <n v="474.36"/>
        <n v="79.959999999999994"/>
        <n v="261.75"/>
        <n v="478.56"/>
        <n v="100.17"/>
        <n v="353.93"/>
        <n v="147.46"/>
        <n v="25.82"/>
        <n v="105.02"/>
        <n v="371.74"/>
        <n v="30.98"/>
        <n v="7.56"/>
        <n v="379.18"/>
        <n v="119.95"/>
        <n v="395.04"/>
        <n v="303.38"/>
        <n v="445.18"/>
        <n v="85.43"/>
        <n v="286.05"/>
        <n v="47.94"/>
        <n v="8.3800000000000008"/>
        <n v="293.32"/>
        <n v="35.75"/>
        <n v="461.94"/>
        <n v="113.47"/>
        <n v="210.84"/>
        <n v="437.2"/>
        <n v="35.57"/>
        <n v="223.71"/>
        <n v="229.45"/>
        <n v="233.88"/>
        <n v="291.26"/>
        <n v="467.62"/>
        <n v="385.64"/>
        <n v="44.72"/>
        <n v="199.56"/>
        <n v="338.38"/>
        <n v="176.35"/>
        <n v="309.39"/>
        <n v="21.62"/>
        <n v="121"/>
        <n v="408.81"/>
        <n v="492.92"/>
        <n v="280.58"/>
        <n v="486.28"/>
        <n v="191.35"/>
        <n v="403.86"/>
        <n v="197.27"/>
        <n v="50.77"/>
        <n v="303.45"/>
        <n v="155.08000000000001"/>
        <n v="349.34"/>
        <n v="193.43"/>
        <n v="441.99"/>
        <n v="159.9"/>
        <n v="467.71"/>
        <n v="118.86"/>
        <n v="132.38"/>
        <n v="74.28"/>
        <n v="264.35000000000002"/>
        <n v="38.64"/>
        <n v="34.92"/>
        <n v="278.06"/>
        <n v="253.6"/>
        <n v="124.28"/>
        <n v="189.66"/>
        <n v="328.6"/>
        <n v="240.62"/>
        <n v="285.10000000000002"/>
        <n v="240.37"/>
        <n v="93.78"/>
        <n v="464.79"/>
        <n v="169.21"/>
        <n v="119.91"/>
        <n v="392.86"/>
        <n v="218.76"/>
        <n v="45.61"/>
        <n v="57.74"/>
        <n v="70.59"/>
        <n v="206.98"/>
        <n v="301.02999999999997"/>
        <n v="390.69"/>
        <n v="138.11000000000001"/>
        <n v="141.6"/>
        <n v="361.85"/>
        <n v="8.35"/>
        <n v="218.16"/>
        <n v="242.11"/>
        <n v="484.04"/>
        <n v="61.37"/>
        <n v="471.77"/>
        <n v="73.89"/>
        <n v="41.61"/>
        <n v="274.10000000000002"/>
        <n v="87.34"/>
        <n v="10.220000000000001"/>
        <n v="234.22"/>
        <n v="151.24"/>
        <n v="230.39"/>
        <n v="362.39"/>
        <n v="16.18"/>
        <n v="278.2"/>
        <n v="97.26"/>
        <n v="217.63"/>
        <n v="290.79000000000002"/>
        <n v="61.41"/>
        <n v="177.22"/>
        <n v="160.03"/>
        <n v="257.86"/>
        <n v="319.57"/>
        <n v="160.72"/>
        <n v="101.59"/>
        <n v="246.91"/>
        <n v="116.3"/>
        <n v="257.85000000000002"/>
        <n v="412.19"/>
        <n v="152.37"/>
        <n v="433.32"/>
        <n v="318.22000000000003"/>
        <n v="178.65"/>
        <n v="137.33000000000001"/>
        <n v="434.19"/>
        <n v="415.1"/>
        <n v="315.77"/>
        <n v="376.15"/>
        <n v="435.11"/>
        <n v="112.83"/>
        <n v="172.19"/>
        <n v="27.74"/>
        <n v="5.33"/>
        <n v="51.2"/>
        <n v="30.63"/>
        <n v="5.54"/>
        <n v="9.6"/>
        <n v="118.33"/>
        <n v="72.88"/>
        <n v="307.11"/>
        <n v="460.35"/>
        <n v="377.46"/>
        <n v="127.65"/>
        <n v="106.7"/>
        <n v="392.98"/>
        <n v="320.85000000000002"/>
        <n v="431.1"/>
        <n v="382.55"/>
        <n v="24.71"/>
        <n v="352.4"/>
        <n v="258.10000000000002"/>
        <n v="158.53"/>
        <n v="62.41"/>
        <n v="355.41"/>
        <n v="392.58"/>
        <n v="386.86"/>
        <n v="135.16"/>
        <n v="32.44"/>
        <n v="447.66"/>
        <n v="27.76"/>
        <n v="402.54"/>
        <n v="139.27000000000001"/>
        <n v="387.9"/>
        <n v="187.62"/>
        <n v="486.07"/>
        <n v="120.33"/>
        <n v="425.26"/>
        <n v="248.55"/>
        <n v="449.16"/>
        <n v="52.31"/>
        <n v="332.91"/>
        <n v="351.86"/>
        <n v="472.06"/>
        <n v="235.7"/>
        <n v="234.36"/>
        <n v="24.96"/>
        <n v="259.16000000000003"/>
        <n v="280.2"/>
        <n v="65.12"/>
        <n v="344.71"/>
        <n v="451.74"/>
        <n v="471.43"/>
        <n v="194.45"/>
        <n v="143.53"/>
        <n v="441.98"/>
        <n v="212.52"/>
        <n v="242.44"/>
        <n v="17.899999999999999"/>
        <n v="267.07"/>
        <n v="136.93"/>
        <n v="122.09"/>
        <n v="75.34"/>
        <n v="49.68"/>
        <n v="34.479999999999997"/>
        <n v="189.93"/>
        <n v="488.05"/>
        <n v="348.31"/>
        <n v="368.33"/>
        <n v="198.84"/>
        <n v="321.63"/>
        <n v="176.67"/>
        <n v="28.83"/>
        <n v="178.86"/>
        <n v="85.51"/>
        <n v="476.07"/>
        <n v="275.79000000000002"/>
        <n v="305.62"/>
        <n v="487.33"/>
        <n v="29.57"/>
        <n v="216.66"/>
        <n v="89.56"/>
        <n v="238.12"/>
        <n v="187.85"/>
        <n v="116.99"/>
        <n v="405.05"/>
        <n v="482.99"/>
        <n v="451.87"/>
        <n v="486.22"/>
        <n v="104.95"/>
        <n v="280.39999999999998"/>
        <n v="394.34"/>
        <n v="285.45999999999998"/>
        <n v="434.4"/>
        <n v="288.14999999999998"/>
        <n v="311.02999999999997"/>
        <n v="29.4"/>
        <n v="158.91999999999999"/>
        <n v="388.15"/>
        <n v="109.64"/>
        <n v="37.479999999999997"/>
        <n v="91"/>
        <n v="459.43"/>
        <n v="319.52999999999997"/>
        <n v="225.82"/>
        <n v="146.11000000000001"/>
        <n v="325.45"/>
        <n v="239.68"/>
        <n v="403.52"/>
        <n v="129.74"/>
        <n v="258.2"/>
        <n v="171.46"/>
        <n v="98.24"/>
        <n v="341.97"/>
        <n v="197.2"/>
        <n v="320.97000000000003"/>
        <n v="94.66"/>
        <n v="473.73"/>
        <n v="213.13"/>
        <n v="426.35"/>
        <n v="64.31"/>
        <n v="496.21"/>
        <n v="390.58"/>
        <n v="7.33"/>
        <n v="393.68"/>
        <n v="482.84"/>
        <n v="475.28"/>
        <n v="117"/>
        <n v="296.39"/>
        <n v="365.28"/>
        <n v="182.83"/>
        <n v="364.95"/>
        <n v="186.46"/>
        <n v="298.99"/>
        <n v="211.3"/>
        <n v="106.72"/>
        <n v="138.63999999999999"/>
        <n v="63.28"/>
        <n v="390.09"/>
        <n v="24.51"/>
        <n v="11.31"/>
        <n v="42.15"/>
        <n v="234.82"/>
        <n v="215.87"/>
        <n v="167.69"/>
        <n v="61.35"/>
        <n v="400.95"/>
        <n v="210.93"/>
        <n v="444.36"/>
        <n v="11.12"/>
        <n v="52.14"/>
        <n v="446.57"/>
        <n v="426.68"/>
        <n v="485.22"/>
        <n v="232.25"/>
        <n v="63.76"/>
        <n v="280.77999999999997"/>
        <n v="329.03"/>
        <n v="169.33"/>
        <n v="380.86"/>
        <n v="276.11"/>
        <n v="411.81"/>
        <n v="465.46"/>
        <n v="379.79"/>
        <n v="478.31"/>
        <n v="467.98"/>
        <n v="56.26"/>
        <n v="140.43"/>
        <n v="303.25"/>
        <n v="104.44"/>
        <n v="254.43"/>
        <n v="287.47000000000003"/>
        <n v="17.510000000000002"/>
        <n v="491.85"/>
        <n v="20.99"/>
        <n v="257.91000000000003"/>
        <n v="483.09"/>
        <n v="415.84"/>
        <n v="491.81"/>
        <n v="25.11"/>
        <n v="7.79"/>
        <n v="30.17"/>
        <n v="41.08"/>
        <n v="83.89"/>
        <n v="333.35"/>
        <n v="240.05"/>
        <n v="452.73"/>
        <n v="196.01"/>
        <n v="402.39"/>
        <n v="163.55000000000001"/>
        <n v="315.33"/>
        <n v="415.23"/>
        <n v="23.75"/>
        <n v="289.61"/>
        <n v="219.35"/>
        <n v="36.299999999999997"/>
        <n v="148.47"/>
        <n v="411.95"/>
        <n v="374.64"/>
        <n v="478.91"/>
        <n v="300.33999999999997"/>
        <n v="209.26"/>
        <n v="418.2"/>
        <n v="233.33"/>
        <n v="102.72"/>
        <n v="54.52"/>
        <n v="167.53"/>
        <n v="7.39"/>
        <n v="341.39"/>
        <n v="246.05"/>
        <n v="102.23"/>
        <n v="407.26"/>
        <n v="274.02"/>
        <n v="446.26"/>
        <n v="49.82"/>
        <n v="225.88"/>
        <n v="381.93"/>
        <n v="335.95"/>
        <n v="24.75"/>
        <n v="287.23"/>
        <n v="191.28"/>
        <n v="444.15"/>
        <n v="259.7"/>
        <n v="303"/>
        <n v="339.24"/>
        <n v="26.36"/>
        <n v="77.7"/>
        <n v="484.78"/>
        <n v="496.42"/>
        <n v="398.33"/>
        <n v="297.35000000000002"/>
        <n v="105.16"/>
        <n v="451.3"/>
        <n v="451.48"/>
        <n v="438.04"/>
        <n v="296.58"/>
        <n v="384.1"/>
        <n v="356.03"/>
        <n v="345.44"/>
        <n v="327.52999999999997"/>
        <n v="141.4"/>
        <n v="93.47"/>
        <n v="388.23"/>
        <n v="54.64"/>
        <n v="84.57"/>
        <n v="48.63"/>
        <n v="363.62"/>
        <n v="222.29"/>
        <n v="260.33"/>
        <n v="487.94"/>
        <n v="205.7"/>
        <n v="364.44"/>
        <n v="481.71"/>
        <n v="255.59"/>
        <n v="478.57"/>
        <n v="386.13"/>
        <n v="132.62"/>
        <n v="260.67"/>
        <n v="338.48"/>
        <n v="113.19"/>
        <n v="121.26"/>
        <n v="418.99"/>
        <n v="308.83999999999997"/>
        <n v="248.71"/>
        <n v="201.95"/>
        <n v="470.13"/>
        <n v="350.63"/>
        <n v="192.82"/>
        <n v="135.11000000000001"/>
        <n v="214.85"/>
        <n v="94.05"/>
        <n v="218.95"/>
        <n v="92.42"/>
        <n v="283.26"/>
        <n v="34.72"/>
        <n v="183.68"/>
        <n v="178.79"/>
        <n v="338.23"/>
        <n v="234.56"/>
        <n v="287.95999999999998"/>
        <n v="161.85"/>
        <n v="375.21"/>
        <n v="66.89"/>
        <n v="55.99"/>
        <n v="383.67"/>
        <n v="158.13999999999999"/>
        <n v="420.07"/>
        <n v="487.62"/>
        <n v="92.63"/>
        <n v="158.28"/>
        <n v="186.06"/>
        <n v="408.61"/>
        <n v="345.45"/>
        <n v="300.52"/>
        <n v="200.4"/>
        <n v="214.01"/>
        <n v="98.06"/>
        <n v="310.77999999999997"/>
        <n v="249.32"/>
        <n v="349.98"/>
        <n v="388.95"/>
        <n v="414.98"/>
        <n v="103.59"/>
        <n v="468.43"/>
        <n v="103.37"/>
        <n v="165.63"/>
        <n v="484.57"/>
        <n v="83.06"/>
        <n v="352.16"/>
        <n v="395.34"/>
        <n v="182.29"/>
        <n v="281.72000000000003"/>
        <n v="177.09"/>
        <n v="227.45"/>
        <n v="192.63"/>
        <n v="330.85"/>
        <n v="384.04"/>
        <n v="59.68"/>
        <n v="105.03"/>
        <n v="330.67"/>
        <n v="360.33"/>
        <n v="183.66"/>
        <n v="368.48"/>
        <n v="363.96"/>
        <n v="287.16000000000003"/>
        <n v="352.76"/>
        <n v="254.82"/>
        <n v="423.2"/>
        <n v="110.89"/>
        <n v="5.0999999999999996"/>
        <n v="8.25"/>
        <n v="459.96"/>
        <n v="82.27"/>
        <n v="50.49"/>
        <n v="246.7"/>
        <n v="43.85"/>
        <n v="435.54"/>
        <n v="25.39"/>
        <n v="80.83"/>
        <n v="394.25"/>
        <n v="373.93"/>
        <n v="220.07"/>
        <n v="200.68"/>
        <n v="389.5"/>
        <n v="177.41"/>
        <n v="310.02999999999997"/>
        <n v="344.25"/>
        <n v="463.73"/>
        <n v="238.24"/>
        <n v="376.43"/>
        <n v="453.49"/>
        <n v="104.34"/>
        <n v="37.97"/>
        <n v="119.43"/>
        <n v="48.57"/>
        <n v="155.94"/>
        <n v="180.91"/>
        <n v="439.95"/>
        <n v="330.18"/>
        <n v="80.61"/>
        <n v="327.97"/>
        <n v="455.23"/>
        <n v="268.82"/>
        <n v="440.67"/>
        <n v="80.22"/>
        <n v="310.39"/>
        <n v="248.27"/>
        <n v="383.45"/>
        <n v="380.1"/>
        <n v="434.05"/>
        <n v="361.5"/>
        <n v="439.5"/>
        <n v="383.75"/>
        <n v="387.97"/>
        <n v="459.92"/>
        <n v="61.02"/>
        <n v="17.329999999999998"/>
        <n v="347.4"/>
        <n v="318.87"/>
        <n v="26.73"/>
        <n v="385.73"/>
        <n v="315.08999999999997"/>
        <n v="11.04"/>
        <n v="296.49"/>
        <n v="302.05"/>
        <n v="32.26"/>
        <n v="419.82"/>
        <n v="496.9"/>
        <n v="466.08"/>
        <n v="380.43"/>
        <n v="348.84"/>
        <n v="307.97000000000003"/>
        <n v="424.66"/>
        <n v="365.95"/>
        <n v="489.73"/>
        <n v="370.05"/>
        <n v="282.41000000000003"/>
        <n v="157.35"/>
        <n v="173.97"/>
        <n v="461.53"/>
        <n v="315.45999999999998"/>
        <n v="153.18"/>
        <n v="400.77"/>
        <n v="491.89"/>
        <n v="432.97"/>
        <n v="251.04"/>
        <n v="154.65"/>
        <n v="255.47"/>
        <n v="158.63"/>
        <n v="106.57"/>
        <n v="158.94"/>
        <n v="262.69"/>
        <n v="100.31"/>
        <n v="82.96"/>
        <n v="276.94"/>
        <n v="40.270000000000003"/>
        <n v="238.01"/>
        <n v="199"/>
        <n v="357.88"/>
        <n v="407.36"/>
        <n v="237.92"/>
        <n v="351.31"/>
        <n v="240.29"/>
        <n v="304.2"/>
        <n v="326.48"/>
        <n v="125.63"/>
        <n v="407.89"/>
        <n v="348.6"/>
        <n v="234.14"/>
        <n v="39.46"/>
        <n v="49.81"/>
        <n v="149.29"/>
        <n v="153.37"/>
        <n v="307.69"/>
        <n v="451.03"/>
        <n v="121.44"/>
        <n v="220.42"/>
        <n v="195.37"/>
        <n v="71.47"/>
        <n v="487.61"/>
        <n v="465.5"/>
        <n v="410.94"/>
        <n v="8.68"/>
        <n v="186.65"/>
        <n v="481.06"/>
        <n v="264.06"/>
        <n v="343.62"/>
        <n v="237.09"/>
        <n v="148.16"/>
        <n v="291.18"/>
        <n v="45.84"/>
        <n v="144.08000000000001"/>
        <n v="331.28"/>
        <n v="400.69"/>
        <n v="419.62"/>
        <n v="109.37"/>
        <n v="234.69"/>
        <n v="343.34"/>
        <n v="10.87"/>
        <n v="53.2"/>
        <n v="137.21"/>
        <n v="368.49"/>
        <n v="10.24"/>
        <n v="56.43"/>
        <n v="21.85"/>
        <n v="355.5"/>
        <n v="402.58"/>
        <n v="331.94"/>
        <n v="498"/>
        <n v="489.81"/>
        <n v="272.61"/>
        <n v="22.26"/>
        <n v="328.17"/>
        <n v="452.79"/>
        <n v="422.8"/>
        <n v="65"/>
        <n v="317.97000000000003"/>
        <n v="325.66000000000003"/>
        <n v="448.75"/>
        <n v="22.67"/>
        <n v="323.49"/>
        <n v="172.17"/>
        <n v="231.89"/>
        <n v="247"/>
        <n v="12.11"/>
        <n v="418.5"/>
        <n v="114.18"/>
        <n v="90.86"/>
        <n v="349.67"/>
        <n v="71.02"/>
        <n v="8.14"/>
        <n v="347.72"/>
        <n v="123.43"/>
        <n v="99.99"/>
        <n v="234.79"/>
        <n v="344.2"/>
        <n v="31.74"/>
        <n v="310.33"/>
        <n v="83.23"/>
        <n v="298.39"/>
        <n v="166.44"/>
        <n v="41.4"/>
        <n v="464.3"/>
        <n v="361.31"/>
        <n v="347.64"/>
        <n v="212.02"/>
        <n v="453.26"/>
        <n v="431.79"/>
        <n v="369.41"/>
        <n v="446.45"/>
        <n v="495.68"/>
        <n v="405.81"/>
        <n v="377.77"/>
        <n v="325.58"/>
        <n v="429.67"/>
        <n v="96.55"/>
        <n v="267.81"/>
        <n v="394.91"/>
        <n v="444.55"/>
        <n v="185.96"/>
        <n v="272.12"/>
        <n v="254.27"/>
        <n v="228.94"/>
        <n v="450.23"/>
        <n v="44.68"/>
        <n v="60.45"/>
        <n v="150.12"/>
        <n v="370.17"/>
        <n v="418.3"/>
        <n v="245.64"/>
        <n v="449.65"/>
        <n v="485.51"/>
        <n v="311.22000000000003"/>
        <n v="84.82"/>
        <n v="133.9"/>
        <n v="189.59"/>
        <n v="465.88"/>
        <n v="487.92"/>
        <n v="400.79"/>
        <n v="340.61"/>
        <n v="225.76"/>
        <n v="114.96"/>
        <n v="340.15"/>
        <n v="304.51"/>
        <n v="196.13"/>
        <n v="437.78"/>
        <n v="86.08"/>
        <n v="155.1"/>
        <n v="207.68"/>
        <n v="378.85"/>
        <n v="247.84"/>
        <n v="18.29"/>
        <n v="66.47"/>
        <n v="19.079999999999998"/>
        <n v="284.95999999999998"/>
        <n v="13.68"/>
        <n v="439.77"/>
        <n v="212.66"/>
        <n v="259.36"/>
        <n v="414.28"/>
        <n v="179.06"/>
        <n v="390.51"/>
        <n v="254.17"/>
        <n v="410.33"/>
        <n v="73.81"/>
        <n v="115.07"/>
        <n v="490.65"/>
        <n v="26.05"/>
        <n v="26.42"/>
        <n v="295.86"/>
        <n v="423.7"/>
        <n v="124.7"/>
        <n v="112.41"/>
        <n v="462.49"/>
        <n v="94.52"/>
        <n v="206.75"/>
        <n v="250.43"/>
        <n v="62.28"/>
        <n v="206.6"/>
        <n v="93.75"/>
        <n v="64.010000000000005"/>
        <n v="487.73"/>
        <n v="363.97"/>
        <n v="475.32"/>
        <n v="129.09"/>
        <n v="416"/>
        <n v="80.599999999999994"/>
        <n v="104.96"/>
        <n v="275.58"/>
        <n v="427.17"/>
        <n v="331.41"/>
        <n v="359.28"/>
        <n v="288.24"/>
        <n v="297.57"/>
        <n v="297.27999999999997"/>
        <n v="193.38"/>
        <n v="332.31"/>
        <n v="435.13"/>
        <n v="23.5"/>
        <n v="296.05"/>
        <n v="405.12"/>
        <n v="87.48"/>
        <n v="420.99"/>
        <n v="498.13"/>
        <n v="171.73"/>
        <n v="327.51"/>
        <n v="210.09"/>
        <n v="432.04"/>
        <n v="405.42"/>
        <n v="123.99"/>
        <n v="423.75"/>
        <n v="121.88"/>
        <n v="399.54"/>
        <n v="325.23"/>
        <n v="132.91"/>
        <n v="430.49"/>
        <n v="337.48"/>
        <n v="368.57"/>
        <n v="65.53"/>
        <n v="76.42"/>
        <n v="432.14"/>
        <n v="214.77"/>
        <n v="411.58"/>
        <n v="195.42"/>
        <n v="455.35"/>
        <n v="109.14"/>
        <n v="433.89"/>
        <n v="413.08"/>
        <n v="370.2"/>
        <n v="396.55"/>
        <n v="160.29"/>
        <n v="424.25"/>
        <n v="90.87"/>
        <n v="186.96"/>
        <n v="325.32"/>
        <n v="29.64"/>
        <n v="89.21"/>
        <n v="414.49"/>
        <n v="147.54"/>
        <n v="111.71"/>
        <n v="19.239999999999998"/>
        <n v="343.71"/>
        <n v="41.16"/>
        <n v="454.57"/>
        <n v="193.56"/>
        <n v="93.79"/>
        <n v="162.07"/>
        <n v="26.86"/>
        <n v="451.88"/>
        <n v="369.75"/>
        <n v="32.01"/>
        <n v="221.03"/>
        <n v="245.17"/>
        <n v="105.85"/>
        <n v="445.99"/>
        <n v="211.13"/>
        <n v="145.72"/>
        <n v="19.29"/>
        <n v="168.07"/>
        <n v="432.32"/>
        <n v="193.79"/>
        <n v="15.15"/>
        <n v="64.7"/>
        <n v="416.87"/>
        <n v="137.9"/>
        <n v="97.25"/>
        <n v="339.84"/>
        <n v="44.2"/>
        <n v="421.56"/>
        <n v="42.88"/>
        <n v="332.12"/>
        <n v="385.48"/>
        <n v="27.4"/>
        <n v="313.79000000000002"/>
        <n v="374.78"/>
        <n v="7.89"/>
        <n v="435.05"/>
        <n v="403.3"/>
        <n v="408.9"/>
        <n v="326.62"/>
        <n v="239.62"/>
        <n v="482.11"/>
        <n v="150.94"/>
        <n v="489.85"/>
        <n v="259.11"/>
        <n v="213.89"/>
        <n v="249.92"/>
        <n v="364.47"/>
        <n v="295.89"/>
        <n v="480.1"/>
        <n v="335.19"/>
        <n v="54.95"/>
        <n v="28.29"/>
        <n v="91.48"/>
        <n v="310.69"/>
        <n v="385.84"/>
        <n v="354.67"/>
        <n v="392.17"/>
        <n v="436.08"/>
        <n v="367.61"/>
        <n v="425.05"/>
        <n v="146.94999999999999"/>
        <n v="316.57"/>
        <n v="209.64"/>
        <n v="386.23"/>
        <n v="491.06"/>
        <n v="437.41"/>
        <n v="460.62"/>
        <n v="327.76"/>
        <n v="271.02999999999997"/>
        <n v="278.13"/>
        <n v="298.29000000000002"/>
        <n v="421.58"/>
        <n v="227.12"/>
        <n v="284.97000000000003"/>
        <n v="337.85"/>
        <n v="415.08"/>
        <n v="111.32"/>
        <n v="436.65"/>
        <n v="367.2"/>
        <n v="357.02"/>
        <n v="374.52"/>
        <n v="187.95"/>
        <n v="495.55"/>
        <n v="410.47"/>
        <n v="435.86"/>
        <n v="391.77"/>
        <n v="382.03"/>
        <n v="207.77"/>
        <n v="369.28"/>
        <n v="282.72000000000003"/>
        <n v="478.86"/>
        <n v="330.84"/>
        <n v="415.7"/>
        <n v="203.89"/>
        <n v="210.39"/>
        <n v="489.99"/>
        <n v="385.31"/>
        <n v="480.76"/>
        <n v="163.41999999999999"/>
        <n v="105.27"/>
        <n v="474.93"/>
        <n v="37.4"/>
        <n v="481.92"/>
        <n v="392.1"/>
        <n v="480.75"/>
        <n v="140.28"/>
        <n v="144.25"/>
        <n v="416.1"/>
        <n v="478.92"/>
        <n v="332.83"/>
        <n v="12.86"/>
        <n v="209.52"/>
        <n v="446.82"/>
        <n v="196.44"/>
        <n v="9.6300000000000008"/>
        <n v="314.49"/>
        <n v="248.95"/>
        <n v="59.92"/>
        <n v="337.73"/>
        <n v="133.51"/>
        <n v="496.02"/>
        <n v="427.66"/>
        <n v="235.96"/>
        <n v="268.54000000000002"/>
        <n v="440.65"/>
        <n v="86.42"/>
        <n v="404.99"/>
        <n v="122.99"/>
        <n v="389"/>
        <n v="47.34"/>
        <n v="392.41"/>
        <n v="37.57"/>
        <n v="310.56"/>
        <n v="398.61"/>
        <n v="167.46"/>
        <n v="298.48"/>
        <n v="363.69"/>
        <n v="68.2"/>
        <n v="388.87"/>
        <n v="485.28"/>
        <n v="430.06"/>
        <n v="393.71"/>
        <n v="426.74"/>
        <n v="56.9"/>
        <n v="348.14"/>
        <n v="106.63"/>
        <n v="19.86"/>
        <n v="456.79"/>
        <n v="91.2"/>
        <n v="102.01"/>
        <n v="192.57"/>
        <n v="187.97"/>
        <n v="441.95"/>
        <n v="162.38999999999999"/>
        <n v="395.85"/>
        <n v="484.35"/>
        <n v="37.11"/>
        <n v="93.6"/>
        <n v="203.47"/>
        <n v="432.27"/>
        <n v="82.82"/>
        <n v="225.03"/>
        <n v="171.51"/>
        <n v="161.93"/>
        <n v="324.45"/>
        <n v="323.61"/>
        <n v="23.95"/>
        <n v="373.88"/>
        <n v="386.19"/>
        <n v="238.64"/>
        <n v="239.85"/>
        <n v="423.67"/>
        <n v="19.899999999999999"/>
        <n v="173.21"/>
        <n v="295.54000000000002"/>
        <n v="316.77"/>
        <n v="269.57"/>
        <n v="321.31"/>
        <n v="92.93"/>
        <n v="456.12"/>
        <n v="39.64"/>
        <n v="198.6"/>
        <n v="477.77"/>
        <n v="83.6"/>
        <n v="141.34"/>
        <n v="404.75"/>
        <n v="24.35"/>
        <n v="198.59"/>
        <n v="231.62"/>
        <n v="140.52000000000001"/>
        <n v="496.23"/>
        <n v="384.44"/>
        <n v="255.5"/>
        <n v="374.25"/>
        <n v="356"/>
        <n v="45.86"/>
        <n v="89.44"/>
        <n v="372.02"/>
        <n v="182.25"/>
        <n v="419.07"/>
        <n v="301.11"/>
        <n v="103.99"/>
        <n v="341.58"/>
        <n v="210.76"/>
        <n v="314.20999999999998"/>
        <n v="57.41"/>
        <n v="10.93"/>
        <n v="326.72000000000003"/>
        <n v="384.93"/>
        <n v="165.56"/>
        <n v="489.12"/>
        <n v="227.21"/>
        <n v="380.68"/>
        <n v="44.3"/>
        <n v="191"/>
        <n v="162.18"/>
        <n v="174.65"/>
        <n v="263.13"/>
        <n v="477.06"/>
        <n v="298.35000000000002"/>
        <n v="86.26"/>
        <n v="155.03"/>
        <n v="475.75"/>
        <n v="214.24"/>
        <n v="216.56"/>
        <n v="193.32"/>
        <n v="243.02"/>
        <n v="7.07"/>
        <n v="485.39"/>
        <n v="40.26"/>
        <n v="382.66"/>
        <n v="327.2"/>
        <n v="317.32"/>
        <n v="130.87"/>
        <n v="201.85"/>
        <n v="130.16999999999999"/>
        <n v="319.91000000000003"/>
        <n v="8.18"/>
        <n v="264.86"/>
        <n v="353.5"/>
        <n v="285.70999999999998"/>
        <n v="133.38"/>
        <n v="47.42"/>
        <n v="121.22"/>
        <n v="334.33"/>
        <n v="303.48"/>
        <n v="171.59"/>
        <n v="192.33"/>
        <n v="435.92"/>
        <n v="475.78"/>
        <n v="331.81"/>
        <n v="340.58"/>
        <n v="469.85"/>
        <n v="357.41"/>
        <n v="417.02"/>
        <n v="333.01"/>
        <n v="57.21"/>
        <n v="360.99"/>
        <n v="49.77"/>
        <n v="328.69"/>
        <n v="149.03"/>
        <n v="187.03"/>
        <n v="270.12"/>
        <n v="262.27999999999997"/>
        <n v="426.92"/>
        <n v="77.98"/>
        <n v="495.22"/>
        <n v="353.55"/>
        <n v="351.7"/>
        <n v="495.58"/>
        <n v="495.21"/>
        <n v="349.71"/>
        <n v="433.6"/>
        <n v="223.73"/>
        <n v="368.98"/>
        <n v="341.33"/>
        <n v="472.81"/>
        <n v="126.28"/>
        <n v="477.5"/>
        <n v="186.82"/>
        <n v="116.34"/>
        <n v="195.06"/>
        <n v="358.32"/>
        <n v="409.64"/>
        <n v="358.31"/>
        <n v="7.64"/>
        <n v="107.08"/>
        <n v="255.54"/>
        <n v="27.85"/>
        <n v="349.08"/>
        <n v="122.36"/>
        <n v="278.27"/>
        <n v="41.81"/>
        <n v="46.21"/>
        <n v="316.64"/>
        <n v="304.45"/>
        <n v="482.19"/>
        <n v="343.57"/>
        <n v="390.15"/>
        <n v="365.52"/>
        <n v="433.37"/>
        <n v="473.52"/>
        <n v="441.6"/>
        <n v="358.05"/>
        <n v="459.63"/>
        <n v="493.19"/>
        <n v="156.07"/>
        <n v="42.96"/>
        <n v="372.99"/>
        <n v="466.56"/>
        <n v="350.45"/>
        <n v="376.09"/>
        <n v="452.38"/>
        <n v="476.48"/>
        <n v="172.29"/>
        <n v="136.05000000000001"/>
        <n v="413.74"/>
        <n v="309.69"/>
        <n v="445.65"/>
        <n v="248.56"/>
        <n v="82.04"/>
        <n v="185.43"/>
        <n v="85.11"/>
        <n v="59.78"/>
        <n v="450.99"/>
        <n v="247.09"/>
        <n v="70.05"/>
        <n v="11.76"/>
        <n v="219.99"/>
        <n v="310.72000000000003"/>
        <n v="497.16"/>
        <n v="352.07"/>
        <n v="70.489999999999995"/>
        <n v="310.14999999999998"/>
        <n v="351.58"/>
        <n v="257.38"/>
        <n v="471.78"/>
        <n v="5.27"/>
        <n v="54.88"/>
        <n v="60.21"/>
        <n v="266.79000000000002"/>
        <n v="48.18"/>
        <n v="100.5"/>
        <n v="154.22999999999999"/>
        <n v="455.87"/>
        <n v="87.63"/>
        <n v="398.22"/>
        <n v="86.93"/>
        <n v="107.43"/>
        <n v="254.39"/>
        <n v="278.31"/>
        <n v="494.82"/>
        <n v="486.25"/>
        <n v="150.97"/>
        <n v="131.71"/>
        <n v="277.68"/>
        <n v="316.75"/>
        <n v="78.430000000000007"/>
        <n v="408.72"/>
        <n v="15.42"/>
        <n v="40.659999999999997"/>
        <n v="364.75"/>
        <n v="414.15"/>
        <n v="469.61"/>
        <n v="427.1"/>
        <n v="408.66"/>
        <n v="274.05"/>
        <n v="151.88999999999999"/>
        <n v="117.2"/>
        <n v="344.95"/>
        <n v="478.45"/>
        <n v="462.04"/>
        <n v="170.75"/>
        <n v="177.45"/>
        <n v="395.48"/>
        <n v="362.07"/>
        <n v="76.61"/>
        <n v="249.63"/>
        <n v="194.68"/>
        <n v="195.39"/>
        <n v="6.42"/>
        <n v="486.05"/>
        <n v="63.03"/>
        <n v="352.19"/>
        <n v="185.8"/>
        <n v="79.11"/>
        <n v="237.74"/>
        <n v="34.700000000000003"/>
        <n v="341.55"/>
        <n v="139.55000000000001"/>
        <n v="32.72"/>
        <n v="328.09"/>
        <n v="101.39"/>
        <n v="18.88"/>
        <n v="10.43"/>
        <n v="47.09"/>
        <n v="51.14"/>
        <n v="101.47"/>
        <n v="448.77"/>
        <n v="241.09"/>
        <n v="43.98"/>
        <n v="260.57"/>
        <n v="183.36"/>
        <n v="305.39999999999998"/>
        <n v="275.83"/>
        <n v="467.36"/>
        <n v="49.17"/>
        <n v="326.89"/>
        <n v="203.46"/>
        <n v="476.26"/>
        <n v="439.32"/>
        <n v="427.26"/>
        <n v="115.41"/>
        <n v="450.56"/>
        <n v="385.27"/>
        <n v="498.24"/>
        <n v="20.51"/>
        <n v="110.64"/>
        <n v="46.38"/>
        <n v="436.29"/>
        <n v="448"/>
        <n v="471.26"/>
        <n v="197.62"/>
        <n v="165.25"/>
        <n v="432.83"/>
        <n v="471.95"/>
        <n v="212.99"/>
        <n v="476.43"/>
        <n v="448.84"/>
        <n v="179.11"/>
        <n v="217.05"/>
        <n v="318.88"/>
        <n v="310.05"/>
      </sharedItems>
    </cacheField>
    <cacheField name="Revenue" numFmtId="0">
      <sharedItems containsSemiMixedTypes="0" containsString="0" containsNumber="1" minValue="5.27" maxValue="4990.8"/>
    </cacheField>
    <cacheField name="PaymentMethod" numFmtId="0">
      <sharedItems/>
    </cacheField>
    <cacheField name="purchases type" numFmtId="0">
      <sharedItems/>
    </cacheField>
  </cacheFields>
  <extLst>
    <ext xmlns:x14="http://schemas.microsoft.com/office/spreadsheetml/2009/9/main" uri="{725AE2AE-9491-48be-B2B4-4EB974FC3084}">
      <x14:pivotCacheDefinition pivotCacheId="7712308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2039930559" createdVersion="8" refreshedVersion="8" minRefreshableVersion="3" recordCount="1500" xr:uid="{8D16E3CC-84C1-40E7-A048-F581ABC80AAB}">
  <cacheSource type="worksheet">
    <worksheetSource ref="A1:J1501" sheet="onlinedataset"/>
  </cacheSource>
  <cacheFields count="10">
    <cacheField name="OrderID" numFmtId="0">
      <sharedItems containsSemiMixedTypes="0" containsString="0" containsNumber="1" containsInteger="1" minValue="10001" maxValue="11500"/>
    </cacheField>
    <cacheField name="CustomerID" numFmtId="0">
      <sharedItems/>
    </cacheField>
    <cacheField name="OrderDate" numFmtId="14">
      <sharedItems containsSemiMixedTypes="0" containsNonDate="0" containsDate="1" containsString="0" minDate="2024-01-01T00:00:00" maxDate="2026-01-01T00:00:00"/>
    </cacheField>
    <cacheField name="Category" numFmtId="0">
      <sharedItems/>
    </cacheField>
    <cacheField name="Region"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999999999999996" maxValue="499.08"/>
    </cacheField>
    <cacheField name="Revenue" numFmtId="0">
      <sharedItems containsSemiMixedTypes="0" containsString="0" containsNumber="1" minValue="5.27" maxValue="4990.8"/>
    </cacheField>
    <cacheField name="PaymentMethod" numFmtId="0">
      <sharedItems count="4">
        <s v="Credit Card"/>
        <s v="UPI"/>
        <s v="Net Banking"/>
        <s v="Wallet"/>
      </sharedItems>
    </cacheField>
    <cacheField name="purchases type" numFmtId="0">
      <sharedItems/>
    </cacheField>
  </cacheFields>
  <extLst>
    <ext xmlns:x14="http://schemas.microsoft.com/office/spreadsheetml/2009/9/main" uri="{725AE2AE-9491-48be-B2B4-4EB974FC3084}">
      <x14:pivotCacheDefinition pivotCacheId="125737352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4081134257" createdVersion="8" refreshedVersion="8" minRefreshableVersion="3" recordCount="1500" xr:uid="{AEFCEC4B-87D8-44B4-92DE-0C3B408DC465}">
  <cacheSource type="worksheet">
    <worksheetSource ref="A1:J1501" sheet="onlinedataset"/>
  </cacheSource>
  <cacheFields count="10">
    <cacheField name="OrderID" numFmtId="0">
      <sharedItems containsSemiMixedTypes="0" containsString="0" containsNumber="1" containsInteger="1" minValue="10001" maxValue="11500"/>
    </cacheField>
    <cacheField name="CustomerID" numFmtId="0">
      <sharedItems/>
    </cacheField>
    <cacheField name="OrderDate" numFmtId="14">
      <sharedItems containsSemiMixedTypes="0" containsNonDate="0" containsDate="1" containsString="0" minDate="2024-01-01T00:00:00" maxDate="2026-01-01T00:00:00"/>
    </cacheField>
    <cacheField name="Category" numFmtId="0">
      <sharedItems/>
    </cacheField>
    <cacheField name="Region" numFmtId="0">
      <sharedItems count="4">
        <s v="North"/>
        <s v="East"/>
        <s v="South"/>
        <s v="West"/>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999999999999996" maxValue="499.08"/>
    </cacheField>
    <cacheField name="Revenue" numFmtId="0">
      <sharedItems containsSemiMixedTypes="0" containsString="0" containsNumber="1" minValue="5.27" maxValue="4990.8"/>
    </cacheField>
    <cacheField name="PaymentMethod" numFmtId="0">
      <sharedItems/>
    </cacheField>
    <cacheField name="purchases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CUST157"/>
    <d v="2024-01-26T00:00:00"/>
    <s v="Fashion"/>
    <s v="North"/>
    <x v="0"/>
    <n v="126.22"/>
    <n v="631.1"/>
    <s v="Credit Card"/>
    <x v="0"/>
  </r>
  <r>
    <x v="1"/>
    <s v="CUST316"/>
    <d v="2024-02-02T00:00:00"/>
    <s v="Fashion"/>
    <s v="North"/>
    <x v="1"/>
    <n v="51.38"/>
    <n v="51.38"/>
    <s v="UPI"/>
    <x v="0"/>
  </r>
  <r>
    <x v="2"/>
    <s v="CUST379"/>
    <d v="2025-03-05T00:00:00"/>
    <s v="Home"/>
    <s v="North"/>
    <x v="2"/>
    <n v="227.36"/>
    <n v="909.44"/>
    <s v="UPI"/>
    <x v="0"/>
  </r>
  <r>
    <x v="3"/>
    <s v="CUST316"/>
    <d v="2024-12-14T00:00:00"/>
    <s v="Home"/>
    <s v="North"/>
    <x v="0"/>
    <n v="81.96"/>
    <n v="409.8"/>
    <s v="Credit Card"/>
    <x v="0"/>
  </r>
  <r>
    <x v="4"/>
    <s v="CUST294"/>
    <d v="2024-04-09T00:00:00"/>
    <s v="Sports"/>
    <s v="East"/>
    <x v="3"/>
    <n v="424.51"/>
    <n v="2547.06"/>
    <s v="Credit Card"/>
    <x v="0"/>
  </r>
  <r>
    <x v="5"/>
    <s v="CUST335"/>
    <d v="2025-07-03T00:00:00"/>
    <s v="Beauty"/>
    <s v="North"/>
    <x v="4"/>
    <n v="486.69"/>
    <n v="973.38"/>
    <s v="Net Banking"/>
    <x v="0"/>
  </r>
  <r>
    <x v="6"/>
    <s v="CUST285"/>
    <d v="2025-08-14T00:00:00"/>
    <s v="Electronics"/>
    <s v="South"/>
    <x v="2"/>
    <n v="353.76"/>
    <n v="1415.04"/>
    <s v="Net Banking"/>
    <x v="0"/>
  </r>
  <r>
    <x v="7"/>
    <s v="CUST140"/>
    <d v="2024-08-26T00:00:00"/>
    <s v="Beauty"/>
    <s v="East"/>
    <x v="4"/>
    <n v="193.16"/>
    <n v="386.32"/>
    <s v="UPI"/>
    <x v="0"/>
  </r>
  <r>
    <x v="8"/>
    <s v="CUST289"/>
    <d v="2024-12-29T00:00:00"/>
    <s v="Electronics"/>
    <s v="South"/>
    <x v="2"/>
    <n v="336.74"/>
    <n v="1346.96"/>
    <s v="UPI"/>
    <x v="0"/>
  </r>
  <r>
    <x v="9"/>
    <s v="CUST183"/>
    <d v="2025-04-18T00:00:00"/>
    <s v="Sports"/>
    <s v="South"/>
    <x v="5"/>
    <n v="138.62"/>
    <n v="970.34"/>
    <s v="Net Banking"/>
    <x v="0"/>
  </r>
  <r>
    <x v="10"/>
    <s v="CUST128"/>
    <d v="2024-08-22T00:00:00"/>
    <s v="Beauty"/>
    <s v="East"/>
    <x v="1"/>
    <n v="403.5"/>
    <n v="403.5"/>
    <s v="Credit Card"/>
    <x v="0"/>
  </r>
  <r>
    <x v="11"/>
    <s v="CUST208"/>
    <d v="2025-08-03T00:00:00"/>
    <s v="Beauty"/>
    <s v="West"/>
    <x v="3"/>
    <n v="110.25"/>
    <n v="661.5"/>
    <s v="Wallet"/>
    <x v="0"/>
  </r>
  <r>
    <x v="12"/>
    <s v="CUST173"/>
    <d v="2024-09-28T00:00:00"/>
    <s v="Sports"/>
    <s v="East"/>
    <x v="6"/>
    <n v="127.08"/>
    <n v="381.24"/>
    <s v="Wallet"/>
    <x v="0"/>
  </r>
  <r>
    <x v="13"/>
    <s v="CUST398"/>
    <d v="2025-02-12T00:00:00"/>
    <s v="Fashion"/>
    <s v="West"/>
    <x v="3"/>
    <n v="113.56"/>
    <n v="681.36"/>
    <s v="Credit Card"/>
    <x v="0"/>
  </r>
  <r>
    <x v="14"/>
    <s v="CUST124"/>
    <d v="2024-04-22T00:00:00"/>
    <s v="Beauty"/>
    <s v="North"/>
    <x v="6"/>
    <n v="315.58999999999997"/>
    <n v="946.77"/>
    <s v="Wallet"/>
    <x v="0"/>
  </r>
  <r>
    <x v="15"/>
    <s v="CUST295"/>
    <d v="2025-09-02T00:00:00"/>
    <s v="Sports"/>
    <s v="North"/>
    <x v="7"/>
    <n v="266.91000000000003"/>
    <n v="2135.2800000000002"/>
    <s v="Credit Card"/>
    <x v="0"/>
  </r>
  <r>
    <x v="16"/>
    <s v="CUST374"/>
    <d v="2024-09-30T00:00:00"/>
    <s v="Beauty"/>
    <s v="South"/>
    <x v="3"/>
    <n v="60.22"/>
    <n v="361.32"/>
    <s v="Wallet"/>
    <x v="0"/>
  </r>
  <r>
    <x v="17"/>
    <s v="CUST101"/>
    <d v="2024-09-26T00:00:00"/>
    <s v="Sports"/>
    <s v="North"/>
    <x v="8"/>
    <n v="382.17"/>
    <n v="3439.53"/>
    <s v="Net Banking"/>
    <x v="0"/>
  </r>
  <r>
    <x v="18"/>
    <s v="CUST359"/>
    <d v="2025-09-15T00:00:00"/>
    <s v="Fashion"/>
    <s v="North"/>
    <x v="2"/>
    <n v="80.66"/>
    <n v="322.64"/>
    <s v="Net Banking"/>
    <x v="0"/>
  </r>
  <r>
    <x v="19"/>
    <s v="CUST350"/>
    <d v="2024-01-20T00:00:00"/>
    <s v="Home"/>
    <s v="South"/>
    <x v="4"/>
    <n v="464.9"/>
    <n v="929.8"/>
    <s v="Credit Card"/>
    <x v="0"/>
  </r>
  <r>
    <x v="20"/>
    <s v="CUST223"/>
    <d v="2025-08-03T00:00:00"/>
    <s v="Beauty"/>
    <s v="North"/>
    <x v="4"/>
    <n v="47.4"/>
    <n v="94.8"/>
    <s v="UPI"/>
    <x v="0"/>
  </r>
  <r>
    <x v="21"/>
    <s v="CUST165"/>
    <d v="2025-11-06T00:00:00"/>
    <s v="Fashion"/>
    <s v="East"/>
    <x v="7"/>
    <n v="473.69"/>
    <n v="3789.52"/>
    <s v="Wallet"/>
    <x v="0"/>
  </r>
  <r>
    <x v="22"/>
    <s v="CUST208"/>
    <d v="2025-07-06T00:00:00"/>
    <s v="Beauty"/>
    <s v="East"/>
    <x v="2"/>
    <n v="357.91"/>
    <n v="1431.64"/>
    <s v="Wallet"/>
    <x v="0"/>
  </r>
  <r>
    <x v="23"/>
    <s v="CUST364"/>
    <d v="2025-04-07T00:00:00"/>
    <s v="Electronics"/>
    <s v="East"/>
    <x v="4"/>
    <n v="127.71"/>
    <n v="255.42"/>
    <s v="Credit Card"/>
    <x v="0"/>
  </r>
  <r>
    <x v="24"/>
    <s v="CUST383"/>
    <d v="2024-08-23T00:00:00"/>
    <s v="Electronics"/>
    <s v="North"/>
    <x v="9"/>
    <n v="114.01"/>
    <n v="1140.0999999999999"/>
    <s v="UPI"/>
    <x v="0"/>
  </r>
  <r>
    <x v="25"/>
    <s v="CUST134"/>
    <d v="2024-02-02T00:00:00"/>
    <s v="Fashion"/>
    <s v="East"/>
    <x v="3"/>
    <n v="40.07"/>
    <n v="240.42"/>
    <s v="Wallet"/>
    <x v="0"/>
  </r>
  <r>
    <x v="26"/>
    <s v="CUST209"/>
    <d v="2025-07-06T00:00:00"/>
    <s v="Sports"/>
    <s v="West"/>
    <x v="6"/>
    <n v="363.06"/>
    <n v="1089.18"/>
    <s v="UPI"/>
    <x v="0"/>
  </r>
  <r>
    <x v="27"/>
    <s v="CUST342"/>
    <d v="2025-02-20T00:00:00"/>
    <s v="Beauty"/>
    <s v="East"/>
    <x v="2"/>
    <n v="51.69"/>
    <n v="206.76"/>
    <s v="Wallet"/>
    <x v="0"/>
  </r>
  <r>
    <x v="28"/>
    <s v="CUST310"/>
    <d v="2025-04-23T00:00:00"/>
    <s v="Electronics"/>
    <s v="North"/>
    <x v="1"/>
    <n v="338.32"/>
    <n v="338.32"/>
    <s v="Wallet"/>
    <x v="0"/>
  </r>
  <r>
    <x v="29"/>
    <s v="CUST273"/>
    <d v="2024-04-21T00:00:00"/>
    <s v="Sports"/>
    <s v="West"/>
    <x v="2"/>
    <n v="99.84"/>
    <n v="399.36"/>
    <s v="UPI"/>
    <x v="0"/>
  </r>
  <r>
    <x v="30"/>
    <s v="CUST316"/>
    <d v="2024-07-06T00:00:00"/>
    <s v="Electronics"/>
    <s v="West"/>
    <x v="0"/>
    <n v="234"/>
    <n v="1170"/>
    <s v="Credit Card"/>
    <x v="0"/>
  </r>
  <r>
    <x v="31"/>
    <s v="CUST125"/>
    <d v="2025-10-29T00:00:00"/>
    <s v="Electronics"/>
    <s v="South"/>
    <x v="8"/>
    <n v="418.83"/>
    <n v="3769.47"/>
    <s v="UPI"/>
    <x v="0"/>
  </r>
  <r>
    <x v="32"/>
    <s v="CUST308"/>
    <d v="2025-05-12T00:00:00"/>
    <s v="Beauty"/>
    <s v="North"/>
    <x v="7"/>
    <n v="110.8"/>
    <n v="886.4"/>
    <s v="UPI"/>
    <x v="0"/>
  </r>
  <r>
    <x v="33"/>
    <s v="CUST294"/>
    <d v="2024-01-03T00:00:00"/>
    <s v="Beauty"/>
    <s v="East"/>
    <x v="5"/>
    <n v="136.28"/>
    <n v="953.96"/>
    <s v="Wallet"/>
    <x v="0"/>
  </r>
  <r>
    <x v="34"/>
    <s v="CUST384"/>
    <d v="2025-11-08T00:00:00"/>
    <s v="Home"/>
    <s v="South"/>
    <x v="7"/>
    <n v="81.62"/>
    <n v="652.96"/>
    <s v="Credit Card"/>
    <x v="0"/>
  </r>
  <r>
    <x v="35"/>
    <s v="CUST396"/>
    <d v="2025-07-09T00:00:00"/>
    <s v="Electronics"/>
    <s v="North"/>
    <x v="1"/>
    <n v="375.25"/>
    <n v="375.25"/>
    <s v="Wallet"/>
    <x v="0"/>
  </r>
  <r>
    <x v="36"/>
    <s v="CUST357"/>
    <d v="2025-06-27T00:00:00"/>
    <s v="Sports"/>
    <s v="North"/>
    <x v="6"/>
    <n v="33.159999999999997"/>
    <n v="99.48"/>
    <s v="UPI"/>
    <x v="0"/>
  </r>
  <r>
    <x v="37"/>
    <s v="CUST135"/>
    <d v="2025-09-01T00:00:00"/>
    <s v="Fashion"/>
    <s v="West"/>
    <x v="4"/>
    <n v="339.23"/>
    <n v="678.46"/>
    <s v="Credit Card"/>
    <x v="0"/>
  </r>
  <r>
    <x v="38"/>
    <s v="CUST391"/>
    <d v="2024-09-09T00:00:00"/>
    <s v="Sports"/>
    <s v="North"/>
    <x v="9"/>
    <n v="299.29000000000002"/>
    <n v="2992.9"/>
    <s v="Wallet"/>
    <x v="0"/>
  </r>
  <r>
    <x v="39"/>
    <s v="CUST398"/>
    <d v="2025-08-01T00:00:00"/>
    <s v="Home"/>
    <s v="South"/>
    <x v="8"/>
    <n v="161.6"/>
    <n v="1454.4"/>
    <s v="Net Banking"/>
    <x v="0"/>
  </r>
  <r>
    <x v="40"/>
    <s v="CUST222"/>
    <d v="2024-09-28T00:00:00"/>
    <s v="Home"/>
    <s v="West"/>
    <x v="5"/>
    <n v="69.78"/>
    <n v="488.46"/>
    <s v="Net Banking"/>
    <x v="0"/>
  </r>
  <r>
    <x v="41"/>
    <s v="CUST137"/>
    <d v="2024-01-10T00:00:00"/>
    <s v="Sports"/>
    <s v="North"/>
    <x v="7"/>
    <n v="312.47000000000003"/>
    <n v="2499.7600000000002"/>
    <s v="Credit Card"/>
    <x v="1"/>
  </r>
  <r>
    <x v="42"/>
    <s v="CUST375"/>
    <d v="2024-08-06T00:00:00"/>
    <s v="Home"/>
    <s v="North"/>
    <x v="8"/>
    <n v="136.27000000000001"/>
    <n v="1226.43"/>
    <s v="UPI"/>
    <x v="0"/>
  </r>
  <r>
    <x v="43"/>
    <s v="CUST289"/>
    <d v="2024-10-18T00:00:00"/>
    <s v="Sports"/>
    <s v="East"/>
    <x v="6"/>
    <n v="221.9"/>
    <n v="665.7"/>
    <s v="Credit Card"/>
    <x v="0"/>
  </r>
  <r>
    <x v="44"/>
    <s v="CUST383"/>
    <d v="2024-11-02T00:00:00"/>
    <s v="Fashion"/>
    <s v="East"/>
    <x v="4"/>
    <n v="469.77"/>
    <n v="939.54"/>
    <s v="Credit Card"/>
    <x v="0"/>
  </r>
  <r>
    <x v="45"/>
    <s v="CUST154"/>
    <d v="2025-07-20T00:00:00"/>
    <s v="Sports"/>
    <s v="South"/>
    <x v="6"/>
    <n v="139.81"/>
    <n v="419.43"/>
    <s v="Net Banking"/>
    <x v="0"/>
  </r>
  <r>
    <x v="46"/>
    <s v="CUST204"/>
    <d v="2025-12-04T00:00:00"/>
    <s v="Home"/>
    <s v="North"/>
    <x v="0"/>
    <n v="255.18"/>
    <n v="1275.9000000000001"/>
    <s v="Credit Card"/>
    <x v="0"/>
  </r>
  <r>
    <x v="47"/>
    <s v="CUST316"/>
    <d v="2024-10-10T00:00:00"/>
    <s v="Fashion"/>
    <s v="East"/>
    <x v="1"/>
    <n v="6.76"/>
    <n v="6.76"/>
    <s v="UPI"/>
    <x v="0"/>
  </r>
  <r>
    <x v="48"/>
    <s v="CUST326"/>
    <d v="2025-07-18T00:00:00"/>
    <s v="Electronics"/>
    <s v="North"/>
    <x v="5"/>
    <n v="282.64999999999998"/>
    <n v="1978.55"/>
    <s v="UPI"/>
    <x v="0"/>
  </r>
  <r>
    <x v="49"/>
    <s v="CUST379"/>
    <d v="2024-02-06T00:00:00"/>
    <s v="Fashion"/>
    <s v="West"/>
    <x v="3"/>
    <n v="293.33999999999997"/>
    <n v="1760.04"/>
    <s v="UPI"/>
    <x v="0"/>
  </r>
  <r>
    <x v="50"/>
    <s v="CUST121"/>
    <d v="2024-11-11T00:00:00"/>
    <s v="Electronics"/>
    <s v="East"/>
    <x v="3"/>
    <n v="450"/>
    <n v="2700"/>
    <s v="UPI"/>
    <x v="0"/>
  </r>
  <r>
    <x v="51"/>
    <s v="CUST227"/>
    <d v="2025-11-13T00:00:00"/>
    <s v="Sports"/>
    <s v="West"/>
    <x v="4"/>
    <n v="180.07"/>
    <n v="360.14"/>
    <s v="UPI"/>
    <x v="0"/>
  </r>
  <r>
    <x v="52"/>
    <s v="CUST221"/>
    <d v="2024-06-15T00:00:00"/>
    <s v="Electronics"/>
    <s v="South"/>
    <x v="6"/>
    <n v="441.3"/>
    <n v="1323.9"/>
    <s v="Net Banking"/>
    <x v="0"/>
  </r>
  <r>
    <x v="53"/>
    <s v="CUST310"/>
    <d v="2025-11-16T00:00:00"/>
    <s v="Electronics"/>
    <s v="West"/>
    <x v="2"/>
    <n v="137.07"/>
    <n v="548.28"/>
    <s v="Credit Card"/>
    <x v="0"/>
  </r>
  <r>
    <x v="54"/>
    <s v="CUST340"/>
    <d v="2024-08-15T00:00:00"/>
    <s v="Beauty"/>
    <s v="East"/>
    <x v="2"/>
    <n v="409.21"/>
    <n v="1636.84"/>
    <s v="Net Banking"/>
    <x v="0"/>
  </r>
  <r>
    <x v="55"/>
    <s v="CUST216"/>
    <d v="2024-08-16T00:00:00"/>
    <s v="Beauty"/>
    <s v="East"/>
    <x v="1"/>
    <n v="331.72"/>
    <n v="331.72"/>
    <s v="Net Banking"/>
    <x v="0"/>
  </r>
  <r>
    <x v="56"/>
    <s v="CUST135"/>
    <d v="2024-10-12T00:00:00"/>
    <s v="Beauty"/>
    <s v="East"/>
    <x v="3"/>
    <n v="322.52999999999997"/>
    <n v="1935.18"/>
    <s v="Credit Card"/>
    <x v="0"/>
  </r>
  <r>
    <x v="57"/>
    <s v="CUST159"/>
    <d v="2024-09-24T00:00:00"/>
    <s v="Home"/>
    <s v="North"/>
    <x v="6"/>
    <n v="292.39"/>
    <n v="877.17"/>
    <s v="Credit Card"/>
    <x v="0"/>
  </r>
  <r>
    <x v="58"/>
    <s v="CUST322"/>
    <d v="2024-12-19T00:00:00"/>
    <s v="Sports"/>
    <s v="North"/>
    <x v="3"/>
    <n v="221.01"/>
    <n v="1326.06"/>
    <s v="Wallet"/>
    <x v="0"/>
  </r>
  <r>
    <x v="59"/>
    <s v="CUST395"/>
    <d v="2024-07-13T00:00:00"/>
    <s v="Beauty"/>
    <s v="North"/>
    <x v="0"/>
    <n v="26.97"/>
    <n v="134.85"/>
    <s v="UPI"/>
    <x v="0"/>
  </r>
  <r>
    <x v="60"/>
    <s v="CUST286"/>
    <d v="2025-03-17T00:00:00"/>
    <s v="Home"/>
    <s v="East"/>
    <x v="4"/>
    <n v="474.69"/>
    <n v="949.38"/>
    <s v="Credit Card"/>
    <x v="0"/>
  </r>
  <r>
    <x v="61"/>
    <s v="CUST253"/>
    <d v="2025-06-03T00:00:00"/>
    <s v="Home"/>
    <s v="West"/>
    <x v="0"/>
    <n v="335.11"/>
    <n v="1675.55"/>
    <s v="Net Banking"/>
    <x v="0"/>
  </r>
  <r>
    <x v="62"/>
    <s v="CUST383"/>
    <d v="2024-05-10T00:00:00"/>
    <s v="Beauty"/>
    <s v="South"/>
    <x v="2"/>
    <n v="213.12"/>
    <n v="852.48"/>
    <s v="Net Banking"/>
    <x v="0"/>
  </r>
  <r>
    <x v="63"/>
    <s v="CUST307"/>
    <d v="2025-07-15T00:00:00"/>
    <s v="Fashion"/>
    <s v="West"/>
    <x v="1"/>
    <n v="155.41999999999999"/>
    <n v="155.41999999999999"/>
    <s v="Net Banking"/>
    <x v="0"/>
  </r>
  <r>
    <x v="64"/>
    <s v="CUST338"/>
    <d v="2025-03-28T00:00:00"/>
    <s v="Sports"/>
    <s v="West"/>
    <x v="7"/>
    <n v="339.44"/>
    <n v="2715.52"/>
    <s v="UPI"/>
    <x v="0"/>
  </r>
  <r>
    <x v="65"/>
    <s v="CUST143"/>
    <d v="2024-10-17T00:00:00"/>
    <s v="Sports"/>
    <s v="East"/>
    <x v="8"/>
    <n v="333.61"/>
    <n v="3002.49"/>
    <s v="Credit Card"/>
    <x v="0"/>
  </r>
  <r>
    <x v="66"/>
    <s v="CUST220"/>
    <d v="2025-11-19T00:00:00"/>
    <s v="Fashion"/>
    <s v="South"/>
    <x v="0"/>
    <n v="116.2"/>
    <n v="581"/>
    <s v="Credit Card"/>
    <x v="0"/>
  </r>
  <r>
    <x v="67"/>
    <s v="CUST123"/>
    <d v="2024-09-07T00:00:00"/>
    <s v="Electronics"/>
    <s v="West"/>
    <x v="7"/>
    <n v="307.58"/>
    <n v="2460.64"/>
    <s v="Wallet"/>
    <x v="0"/>
  </r>
  <r>
    <x v="68"/>
    <s v="CUST394"/>
    <d v="2024-07-18T00:00:00"/>
    <s v="Fashion"/>
    <s v="South"/>
    <x v="5"/>
    <n v="249.72"/>
    <n v="1748.04"/>
    <s v="Credit Card"/>
    <x v="0"/>
  </r>
  <r>
    <x v="69"/>
    <s v="CUST154"/>
    <d v="2025-03-11T00:00:00"/>
    <s v="Sports"/>
    <s v="West"/>
    <x v="2"/>
    <n v="92.06"/>
    <n v="368.24"/>
    <s v="Credit Card"/>
    <x v="0"/>
  </r>
  <r>
    <x v="70"/>
    <s v="CUST385"/>
    <d v="2024-09-12T00:00:00"/>
    <s v="Beauty"/>
    <s v="East"/>
    <x v="4"/>
    <n v="230.95"/>
    <n v="461.9"/>
    <s v="Wallet"/>
    <x v="0"/>
  </r>
  <r>
    <x v="71"/>
    <s v="CUST358"/>
    <d v="2025-03-12T00:00:00"/>
    <s v="Fashion"/>
    <s v="West"/>
    <x v="8"/>
    <n v="225.73"/>
    <n v="2031.57"/>
    <s v="Wallet"/>
    <x v="0"/>
  </r>
  <r>
    <x v="72"/>
    <s v="CUST232"/>
    <d v="2024-09-10T00:00:00"/>
    <s v="Sports"/>
    <s v="West"/>
    <x v="0"/>
    <n v="384.08"/>
    <n v="1920.4"/>
    <s v="UPI"/>
    <x v="0"/>
  </r>
  <r>
    <x v="73"/>
    <s v="CUST240"/>
    <d v="2025-03-26T00:00:00"/>
    <s v="Fashion"/>
    <s v="East"/>
    <x v="4"/>
    <n v="358.2"/>
    <n v="716.4"/>
    <s v="Net Banking"/>
    <x v="0"/>
  </r>
  <r>
    <x v="74"/>
    <s v="CUST263"/>
    <d v="2025-07-07T00:00:00"/>
    <s v="Fashion"/>
    <s v="West"/>
    <x v="4"/>
    <n v="73.5"/>
    <n v="147"/>
    <s v="UPI"/>
    <x v="0"/>
  </r>
  <r>
    <x v="75"/>
    <s v="CUST209"/>
    <d v="2024-03-06T00:00:00"/>
    <s v="Sports"/>
    <s v="West"/>
    <x v="5"/>
    <n v="206.76"/>
    <n v="1447.32"/>
    <s v="Wallet"/>
    <x v="0"/>
  </r>
  <r>
    <x v="76"/>
    <s v="CUST131"/>
    <d v="2024-07-30T00:00:00"/>
    <s v="Sports"/>
    <s v="North"/>
    <x v="5"/>
    <n v="197.79"/>
    <n v="1384.53"/>
    <s v="Wallet"/>
    <x v="0"/>
  </r>
  <r>
    <x v="77"/>
    <s v="CUST344"/>
    <d v="2024-01-07T00:00:00"/>
    <s v="Beauty"/>
    <s v="West"/>
    <x v="3"/>
    <n v="152.81"/>
    <n v="916.86"/>
    <s v="UPI"/>
    <x v="0"/>
  </r>
  <r>
    <x v="78"/>
    <s v="CUST349"/>
    <d v="2024-08-12T00:00:00"/>
    <s v="Electronics"/>
    <s v="West"/>
    <x v="0"/>
    <n v="220.74"/>
    <n v="1103.7"/>
    <s v="Net Banking"/>
    <x v="0"/>
  </r>
  <r>
    <x v="79"/>
    <s v="CUST307"/>
    <d v="2024-06-18T00:00:00"/>
    <s v="Sports"/>
    <s v="North"/>
    <x v="7"/>
    <n v="460.17"/>
    <n v="3681.36"/>
    <s v="Wallet"/>
    <x v="0"/>
  </r>
  <r>
    <x v="80"/>
    <s v="CUST388"/>
    <d v="2025-11-09T00:00:00"/>
    <s v="Beauty"/>
    <s v="South"/>
    <x v="1"/>
    <n v="46.55"/>
    <n v="46.55"/>
    <s v="Wallet"/>
    <x v="0"/>
  </r>
  <r>
    <x v="81"/>
    <s v="CUST193"/>
    <d v="2024-02-21T00:00:00"/>
    <s v="Fashion"/>
    <s v="West"/>
    <x v="0"/>
    <n v="192.66"/>
    <n v="963.3"/>
    <s v="Net Banking"/>
    <x v="0"/>
  </r>
  <r>
    <x v="82"/>
    <s v="CUST272"/>
    <d v="2025-01-23T00:00:00"/>
    <s v="Beauty"/>
    <s v="East"/>
    <x v="0"/>
    <n v="377.24"/>
    <n v="1886.2"/>
    <s v="Credit Card"/>
    <x v="0"/>
  </r>
  <r>
    <x v="83"/>
    <s v="CUST340"/>
    <d v="2024-01-20T00:00:00"/>
    <s v="Home"/>
    <s v="South"/>
    <x v="8"/>
    <n v="30.78"/>
    <n v="277.02"/>
    <s v="Credit Card"/>
    <x v="0"/>
  </r>
  <r>
    <x v="84"/>
    <s v="CUST120"/>
    <d v="2024-02-01T00:00:00"/>
    <s v="Electronics"/>
    <s v="South"/>
    <x v="2"/>
    <n v="103.68"/>
    <n v="414.72"/>
    <s v="UPI"/>
    <x v="0"/>
  </r>
  <r>
    <x v="85"/>
    <s v="CUST164"/>
    <d v="2025-04-29T00:00:00"/>
    <s v="Fashion"/>
    <s v="West"/>
    <x v="4"/>
    <n v="284.16000000000003"/>
    <n v="568.32000000000005"/>
    <s v="Net Banking"/>
    <x v="0"/>
  </r>
  <r>
    <x v="86"/>
    <s v="CUST288"/>
    <d v="2024-06-20T00:00:00"/>
    <s v="Electronics"/>
    <s v="South"/>
    <x v="9"/>
    <n v="305.58999999999997"/>
    <n v="3055.9"/>
    <s v="Net Banking"/>
    <x v="0"/>
  </r>
  <r>
    <x v="87"/>
    <s v="CUST155"/>
    <d v="2025-08-15T00:00:00"/>
    <s v="Sports"/>
    <s v="West"/>
    <x v="1"/>
    <n v="464.8"/>
    <n v="464.8"/>
    <s v="Wallet"/>
    <x v="0"/>
  </r>
  <r>
    <x v="88"/>
    <s v="CUST201"/>
    <d v="2024-03-18T00:00:00"/>
    <s v="Fashion"/>
    <s v="North"/>
    <x v="9"/>
    <n v="346.85"/>
    <n v="3468.5"/>
    <s v="Net Banking"/>
    <x v="0"/>
  </r>
  <r>
    <x v="89"/>
    <s v="CUST161"/>
    <d v="2025-08-02T00:00:00"/>
    <s v="Beauty"/>
    <s v="East"/>
    <x v="1"/>
    <n v="176.87"/>
    <n v="176.87"/>
    <s v="Credit Card"/>
    <x v="0"/>
  </r>
  <r>
    <x v="90"/>
    <s v="CUST359"/>
    <d v="2025-10-25T00:00:00"/>
    <s v="Beauty"/>
    <s v="West"/>
    <x v="3"/>
    <n v="11.26"/>
    <n v="67.56"/>
    <s v="Credit Card"/>
    <x v="0"/>
  </r>
  <r>
    <x v="91"/>
    <s v="CUST321"/>
    <d v="2025-01-05T00:00:00"/>
    <s v="Beauty"/>
    <s v="South"/>
    <x v="7"/>
    <n v="355.12"/>
    <n v="2840.96"/>
    <s v="Net Banking"/>
    <x v="1"/>
  </r>
  <r>
    <x v="92"/>
    <s v="CUST375"/>
    <d v="2025-05-10T00:00:00"/>
    <s v="Sports"/>
    <s v="East"/>
    <x v="7"/>
    <n v="220.61"/>
    <n v="1764.88"/>
    <s v="Net Banking"/>
    <x v="0"/>
  </r>
  <r>
    <x v="93"/>
    <s v="CUST225"/>
    <d v="2024-03-29T00:00:00"/>
    <s v="Fashion"/>
    <s v="West"/>
    <x v="0"/>
    <n v="441.41"/>
    <n v="2207.0500000000002"/>
    <s v="Wallet"/>
    <x v="0"/>
  </r>
  <r>
    <x v="94"/>
    <s v="CUST272"/>
    <d v="2024-01-30T00:00:00"/>
    <s v="Fashion"/>
    <s v="West"/>
    <x v="7"/>
    <n v="426.22"/>
    <n v="3409.76"/>
    <s v="UPI"/>
    <x v="0"/>
  </r>
  <r>
    <x v="95"/>
    <s v="CUST281"/>
    <d v="2024-09-21T00:00:00"/>
    <s v="Sports"/>
    <s v="East"/>
    <x v="3"/>
    <n v="143.43"/>
    <n v="860.58"/>
    <s v="Credit Card"/>
    <x v="0"/>
  </r>
  <r>
    <x v="96"/>
    <s v="CUST364"/>
    <d v="2024-07-14T00:00:00"/>
    <s v="Beauty"/>
    <s v="West"/>
    <x v="4"/>
    <n v="124.47"/>
    <n v="248.94"/>
    <s v="UPI"/>
    <x v="0"/>
  </r>
  <r>
    <x v="97"/>
    <s v="CUST343"/>
    <d v="2025-10-23T00:00:00"/>
    <s v="Electronics"/>
    <s v="North"/>
    <x v="7"/>
    <n v="226.85"/>
    <n v="1814.8"/>
    <s v="Net Banking"/>
    <x v="0"/>
  </r>
  <r>
    <x v="98"/>
    <s v="CUST213"/>
    <d v="2025-02-18T00:00:00"/>
    <s v="Sports"/>
    <s v="East"/>
    <x v="2"/>
    <n v="156.57"/>
    <n v="626.28"/>
    <s v="Wallet"/>
    <x v="0"/>
  </r>
  <r>
    <x v="99"/>
    <s v="CUST383"/>
    <d v="2025-06-27T00:00:00"/>
    <s v="Sports"/>
    <s v="East"/>
    <x v="3"/>
    <n v="215.62"/>
    <n v="1293.72"/>
    <s v="Net Banking"/>
    <x v="0"/>
  </r>
  <r>
    <x v="100"/>
    <s v="CUST332"/>
    <d v="2024-10-04T00:00:00"/>
    <s v="Electronics"/>
    <s v="South"/>
    <x v="0"/>
    <n v="129.44"/>
    <n v="647.20000000000005"/>
    <s v="Net Banking"/>
    <x v="0"/>
  </r>
  <r>
    <x v="101"/>
    <s v="CUST161"/>
    <d v="2025-07-02T00:00:00"/>
    <s v="Beauty"/>
    <s v="East"/>
    <x v="6"/>
    <n v="99.81"/>
    <n v="299.43"/>
    <s v="Net Banking"/>
    <x v="0"/>
  </r>
  <r>
    <x v="102"/>
    <s v="CUST151"/>
    <d v="2024-07-17T00:00:00"/>
    <s v="Fashion"/>
    <s v="East"/>
    <x v="0"/>
    <n v="117.6"/>
    <n v="588"/>
    <s v="Credit Card"/>
    <x v="0"/>
  </r>
  <r>
    <x v="103"/>
    <s v="CUST373"/>
    <d v="2024-05-09T00:00:00"/>
    <s v="Electronics"/>
    <s v="East"/>
    <x v="0"/>
    <n v="27.53"/>
    <n v="137.65"/>
    <s v="UPI"/>
    <x v="0"/>
  </r>
  <r>
    <x v="104"/>
    <s v="CUST351"/>
    <d v="2024-04-15T00:00:00"/>
    <s v="Beauty"/>
    <s v="West"/>
    <x v="1"/>
    <n v="289.16000000000003"/>
    <n v="289.16000000000003"/>
    <s v="Wallet"/>
    <x v="0"/>
  </r>
  <r>
    <x v="105"/>
    <s v="CUST274"/>
    <d v="2024-07-07T00:00:00"/>
    <s v="Beauty"/>
    <s v="North"/>
    <x v="1"/>
    <n v="129.97999999999999"/>
    <n v="129.97999999999999"/>
    <s v="Credit Card"/>
    <x v="0"/>
  </r>
  <r>
    <x v="106"/>
    <s v="CUST305"/>
    <d v="2025-05-18T00:00:00"/>
    <s v="Electronics"/>
    <s v="South"/>
    <x v="4"/>
    <n v="290.63"/>
    <n v="581.26"/>
    <s v="UPI"/>
    <x v="0"/>
  </r>
  <r>
    <x v="107"/>
    <s v="CUST388"/>
    <d v="2024-11-07T00:00:00"/>
    <s v="Electronics"/>
    <s v="West"/>
    <x v="4"/>
    <n v="496.99"/>
    <n v="993.98"/>
    <s v="UPI"/>
    <x v="0"/>
  </r>
  <r>
    <x v="108"/>
    <s v="CUST367"/>
    <d v="2025-01-24T00:00:00"/>
    <s v="Home"/>
    <s v="West"/>
    <x v="7"/>
    <n v="454.71"/>
    <n v="3637.68"/>
    <s v="Net Banking"/>
    <x v="0"/>
  </r>
  <r>
    <x v="109"/>
    <s v="CUST391"/>
    <d v="2025-09-27T00:00:00"/>
    <s v="Electronics"/>
    <s v="South"/>
    <x v="1"/>
    <n v="306.77"/>
    <n v="306.77"/>
    <s v="UPI"/>
    <x v="0"/>
  </r>
  <r>
    <x v="110"/>
    <s v="CUST235"/>
    <d v="2025-11-07T00:00:00"/>
    <s v="Fashion"/>
    <s v="North"/>
    <x v="4"/>
    <n v="82.74"/>
    <n v="165.48"/>
    <s v="UPI"/>
    <x v="0"/>
  </r>
  <r>
    <x v="111"/>
    <s v="CUST101"/>
    <d v="2025-02-22T00:00:00"/>
    <s v="Beauty"/>
    <s v="East"/>
    <x v="7"/>
    <n v="346.24"/>
    <n v="2769.92"/>
    <s v="Credit Card"/>
    <x v="0"/>
  </r>
  <r>
    <x v="112"/>
    <s v="CUST218"/>
    <d v="2024-10-22T00:00:00"/>
    <s v="Beauty"/>
    <s v="North"/>
    <x v="0"/>
    <n v="352.98"/>
    <n v="1764.9"/>
    <s v="UPI"/>
    <x v="0"/>
  </r>
  <r>
    <x v="113"/>
    <s v="CUST235"/>
    <d v="2025-10-02T00:00:00"/>
    <s v="Fashion"/>
    <s v="West"/>
    <x v="9"/>
    <n v="332.29"/>
    <n v="3322.9"/>
    <s v="Credit Card"/>
    <x v="0"/>
  </r>
  <r>
    <x v="114"/>
    <s v="CUST378"/>
    <d v="2024-08-18T00:00:00"/>
    <s v="Fashion"/>
    <s v="North"/>
    <x v="6"/>
    <n v="454.66"/>
    <n v="1363.98"/>
    <s v="Credit Card"/>
    <x v="0"/>
  </r>
  <r>
    <x v="115"/>
    <s v="CUST184"/>
    <d v="2024-11-10T00:00:00"/>
    <s v="Sports"/>
    <s v="East"/>
    <x v="9"/>
    <n v="375.73"/>
    <n v="3757.3"/>
    <s v="Wallet"/>
    <x v="0"/>
  </r>
  <r>
    <x v="116"/>
    <s v="CUST163"/>
    <d v="2025-04-24T00:00:00"/>
    <s v="Home"/>
    <s v="West"/>
    <x v="0"/>
    <n v="351.37"/>
    <n v="1756.85"/>
    <s v="Wallet"/>
    <x v="0"/>
  </r>
  <r>
    <x v="117"/>
    <s v="CUST141"/>
    <d v="2025-09-04T00:00:00"/>
    <s v="Home"/>
    <s v="East"/>
    <x v="1"/>
    <n v="445.26"/>
    <n v="445.26"/>
    <s v="Credit Card"/>
    <x v="0"/>
  </r>
  <r>
    <x v="118"/>
    <s v="CUST146"/>
    <d v="2024-08-22T00:00:00"/>
    <s v="Electronics"/>
    <s v="East"/>
    <x v="9"/>
    <n v="295.63"/>
    <n v="2956.3"/>
    <s v="Credit Card"/>
    <x v="0"/>
  </r>
  <r>
    <x v="119"/>
    <s v="CUST189"/>
    <d v="2025-04-26T00:00:00"/>
    <s v="Home"/>
    <s v="South"/>
    <x v="8"/>
    <n v="327.5"/>
    <n v="2947.5"/>
    <s v="Wallet"/>
    <x v="0"/>
  </r>
  <r>
    <x v="120"/>
    <s v="CUST351"/>
    <d v="2024-04-03T00:00:00"/>
    <s v="Home"/>
    <s v="East"/>
    <x v="7"/>
    <n v="177.24"/>
    <n v="1417.92"/>
    <s v="Credit Card"/>
    <x v="0"/>
  </r>
  <r>
    <x v="121"/>
    <s v="CUST182"/>
    <d v="2024-12-03T00:00:00"/>
    <s v="Home"/>
    <s v="West"/>
    <x v="5"/>
    <n v="348.37"/>
    <n v="2438.59"/>
    <s v="Credit Card"/>
    <x v="0"/>
  </r>
  <r>
    <x v="122"/>
    <s v="CUST332"/>
    <d v="2024-03-31T00:00:00"/>
    <s v="Electronics"/>
    <s v="West"/>
    <x v="3"/>
    <n v="129.94"/>
    <n v="779.64"/>
    <s v="Credit Card"/>
    <x v="0"/>
  </r>
  <r>
    <x v="123"/>
    <s v="CUST377"/>
    <d v="2025-04-18T00:00:00"/>
    <s v="Sports"/>
    <s v="East"/>
    <x v="5"/>
    <n v="31.83"/>
    <n v="222.81"/>
    <s v="Wallet"/>
    <x v="0"/>
  </r>
  <r>
    <x v="124"/>
    <s v="CUST326"/>
    <d v="2024-02-22T00:00:00"/>
    <s v="Fashion"/>
    <s v="East"/>
    <x v="2"/>
    <n v="137.19"/>
    <n v="548.76"/>
    <s v="Wallet"/>
    <x v="0"/>
  </r>
  <r>
    <x v="125"/>
    <s v="CUST348"/>
    <d v="2024-05-04T00:00:00"/>
    <s v="Sports"/>
    <s v="South"/>
    <x v="1"/>
    <n v="486.71"/>
    <n v="486.71"/>
    <s v="UPI"/>
    <x v="0"/>
  </r>
  <r>
    <x v="126"/>
    <s v="CUST259"/>
    <d v="2025-07-18T00:00:00"/>
    <s v="Electronics"/>
    <s v="South"/>
    <x v="1"/>
    <n v="278.36"/>
    <n v="278.36"/>
    <s v="Credit Card"/>
    <x v="0"/>
  </r>
  <r>
    <x v="127"/>
    <s v="CUST336"/>
    <d v="2024-04-30T00:00:00"/>
    <s v="Home"/>
    <s v="East"/>
    <x v="6"/>
    <n v="251.7"/>
    <n v="755.1"/>
    <s v="Wallet"/>
    <x v="0"/>
  </r>
  <r>
    <x v="128"/>
    <s v="CUST347"/>
    <d v="2025-04-28T00:00:00"/>
    <s v="Fashion"/>
    <s v="West"/>
    <x v="2"/>
    <n v="231.11"/>
    <n v="924.44"/>
    <s v="UPI"/>
    <x v="0"/>
  </r>
  <r>
    <x v="129"/>
    <s v="CUST360"/>
    <d v="2024-05-19T00:00:00"/>
    <s v="Beauty"/>
    <s v="East"/>
    <x v="4"/>
    <n v="141.74"/>
    <n v="283.48"/>
    <s v="Net Banking"/>
    <x v="0"/>
  </r>
  <r>
    <x v="130"/>
    <s v="CUST101"/>
    <d v="2024-10-16T00:00:00"/>
    <s v="Sports"/>
    <s v="West"/>
    <x v="0"/>
    <n v="419.55"/>
    <n v="2097.75"/>
    <s v="UPI"/>
    <x v="0"/>
  </r>
  <r>
    <x v="131"/>
    <s v="CUST328"/>
    <d v="2025-07-05T00:00:00"/>
    <s v="Sports"/>
    <s v="West"/>
    <x v="7"/>
    <n v="175.84"/>
    <n v="1406.72"/>
    <s v="Wallet"/>
    <x v="0"/>
  </r>
  <r>
    <x v="132"/>
    <s v="CUST264"/>
    <d v="2024-07-12T00:00:00"/>
    <s v="Fashion"/>
    <s v="West"/>
    <x v="2"/>
    <n v="288.04000000000002"/>
    <n v="1152.1600000000001"/>
    <s v="Credit Card"/>
    <x v="0"/>
  </r>
  <r>
    <x v="133"/>
    <s v="CUST262"/>
    <d v="2025-04-29T00:00:00"/>
    <s v="Fashion"/>
    <s v="West"/>
    <x v="5"/>
    <n v="196.11"/>
    <n v="1372.77"/>
    <s v="Credit Card"/>
    <x v="0"/>
  </r>
  <r>
    <x v="134"/>
    <s v="CUST164"/>
    <d v="2025-05-29T00:00:00"/>
    <s v="Electronics"/>
    <s v="West"/>
    <x v="9"/>
    <n v="169.34"/>
    <n v="1693.4"/>
    <s v="Credit Card"/>
    <x v="0"/>
  </r>
  <r>
    <x v="135"/>
    <s v="CUST369"/>
    <d v="2025-04-12T00:00:00"/>
    <s v="Beauty"/>
    <s v="South"/>
    <x v="1"/>
    <n v="362.61"/>
    <n v="362.61"/>
    <s v="Credit Card"/>
    <x v="0"/>
  </r>
  <r>
    <x v="136"/>
    <s v="CUST340"/>
    <d v="2024-09-28T00:00:00"/>
    <s v="Beauty"/>
    <s v="North"/>
    <x v="3"/>
    <n v="313.51"/>
    <n v="1881.06"/>
    <s v="Net Banking"/>
    <x v="0"/>
  </r>
  <r>
    <x v="137"/>
    <s v="CUST373"/>
    <d v="2025-01-24T00:00:00"/>
    <s v="Beauty"/>
    <s v="North"/>
    <x v="3"/>
    <n v="315.27"/>
    <n v="1891.62"/>
    <s v="Credit Card"/>
    <x v="0"/>
  </r>
  <r>
    <x v="138"/>
    <s v="CUST220"/>
    <d v="2025-10-08T00:00:00"/>
    <s v="Electronics"/>
    <s v="West"/>
    <x v="0"/>
    <n v="498.73"/>
    <n v="2493.65"/>
    <s v="Credit Card"/>
    <x v="0"/>
  </r>
  <r>
    <x v="139"/>
    <s v="CUST151"/>
    <d v="2025-03-30T00:00:00"/>
    <s v="Electronics"/>
    <s v="North"/>
    <x v="6"/>
    <n v="348.53"/>
    <n v="1045.5899999999999"/>
    <s v="Net Banking"/>
    <x v="0"/>
  </r>
  <r>
    <x v="140"/>
    <s v="CUST128"/>
    <d v="2024-10-27T00:00:00"/>
    <s v="Fashion"/>
    <s v="South"/>
    <x v="3"/>
    <n v="190.55"/>
    <n v="1143.3"/>
    <s v="Wallet"/>
    <x v="0"/>
  </r>
  <r>
    <x v="141"/>
    <s v="CUST389"/>
    <d v="2025-11-29T00:00:00"/>
    <s v="Electronics"/>
    <s v="West"/>
    <x v="6"/>
    <n v="89.14"/>
    <n v="267.42"/>
    <s v="UPI"/>
    <x v="0"/>
  </r>
  <r>
    <x v="142"/>
    <s v="CUST354"/>
    <d v="2025-08-20T00:00:00"/>
    <s v="Home"/>
    <s v="West"/>
    <x v="6"/>
    <n v="119.93"/>
    <n v="359.79"/>
    <s v="Net Banking"/>
    <x v="0"/>
  </r>
  <r>
    <x v="143"/>
    <s v="CUST104"/>
    <d v="2025-04-21T00:00:00"/>
    <s v="Fashion"/>
    <s v="North"/>
    <x v="0"/>
    <n v="340.42"/>
    <n v="1702.1"/>
    <s v="Wallet"/>
    <x v="0"/>
  </r>
  <r>
    <x v="144"/>
    <s v="CUST276"/>
    <d v="2025-08-24T00:00:00"/>
    <s v="Beauty"/>
    <s v="East"/>
    <x v="0"/>
    <n v="321.27"/>
    <n v="1606.35"/>
    <s v="Wallet"/>
    <x v="0"/>
  </r>
  <r>
    <x v="145"/>
    <s v="CUST254"/>
    <d v="2024-07-22T00:00:00"/>
    <s v="Electronics"/>
    <s v="South"/>
    <x v="5"/>
    <n v="427.4"/>
    <n v="2991.8"/>
    <s v="Wallet"/>
    <x v="0"/>
  </r>
  <r>
    <x v="146"/>
    <s v="CUST392"/>
    <d v="2025-01-02T00:00:00"/>
    <s v="Home"/>
    <s v="North"/>
    <x v="9"/>
    <n v="151.46"/>
    <n v="1514.6"/>
    <s v="Wallet"/>
    <x v="0"/>
  </r>
  <r>
    <x v="147"/>
    <s v="CUST240"/>
    <d v="2024-01-09T00:00:00"/>
    <s v="Electronics"/>
    <s v="West"/>
    <x v="9"/>
    <n v="433.21"/>
    <n v="4332.1000000000004"/>
    <s v="Net Banking"/>
    <x v="0"/>
  </r>
  <r>
    <x v="148"/>
    <s v="CUST217"/>
    <d v="2025-09-13T00:00:00"/>
    <s v="Fashion"/>
    <s v="East"/>
    <x v="3"/>
    <n v="113.41"/>
    <n v="680.46"/>
    <s v="UPI"/>
    <x v="0"/>
  </r>
  <r>
    <x v="149"/>
    <s v="CUST149"/>
    <d v="2025-10-04T00:00:00"/>
    <s v="Beauty"/>
    <s v="North"/>
    <x v="1"/>
    <n v="157.91999999999999"/>
    <n v="157.91999999999999"/>
    <s v="Net Banking"/>
    <x v="0"/>
  </r>
  <r>
    <x v="150"/>
    <s v="CUST167"/>
    <d v="2024-04-02T00:00:00"/>
    <s v="Beauty"/>
    <s v="South"/>
    <x v="0"/>
    <n v="166.73"/>
    <n v="833.65"/>
    <s v="UPI"/>
    <x v="0"/>
  </r>
  <r>
    <x v="151"/>
    <s v="CUST167"/>
    <d v="2025-07-06T00:00:00"/>
    <s v="Home"/>
    <s v="South"/>
    <x v="3"/>
    <n v="267.77"/>
    <n v="1606.62"/>
    <s v="Net Banking"/>
    <x v="0"/>
  </r>
  <r>
    <x v="152"/>
    <s v="CUST346"/>
    <d v="2024-10-29T00:00:00"/>
    <s v="Beauty"/>
    <s v="North"/>
    <x v="3"/>
    <n v="403.1"/>
    <n v="2418.6"/>
    <s v="UPI"/>
    <x v="0"/>
  </r>
  <r>
    <x v="153"/>
    <s v="CUST215"/>
    <d v="2025-11-23T00:00:00"/>
    <s v="Sports"/>
    <s v="East"/>
    <x v="5"/>
    <n v="483.8"/>
    <n v="3386.6"/>
    <s v="Credit Card"/>
    <x v="0"/>
  </r>
  <r>
    <x v="154"/>
    <s v="CUST302"/>
    <d v="2024-01-15T00:00:00"/>
    <s v="Beauty"/>
    <s v="East"/>
    <x v="0"/>
    <n v="270.60000000000002"/>
    <n v="1353"/>
    <s v="Net Banking"/>
    <x v="0"/>
  </r>
  <r>
    <x v="155"/>
    <s v="CUST399"/>
    <d v="2025-01-25T00:00:00"/>
    <s v="Fashion"/>
    <s v="West"/>
    <x v="3"/>
    <n v="58.63"/>
    <n v="351.78"/>
    <s v="Credit Card"/>
    <x v="0"/>
  </r>
  <r>
    <x v="156"/>
    <s v="CUST387"/>
    <d v="2024-12-01T00:00:00"/>
    <s v="Electronics"/>
    <s v="West"/>
    <x v="9"/>
    <n v="114.58"/>
    <n v="1145.8"/>
    <s v="Net Banking"/>
    <x v="0"/>
  </r>
  <r>
    <x v="157"/>
    <s v="CUST309"/>
    <d v="2024-04-29T00:00:00"/>
    <s v="Electronics"/>
    <s v="East"/>
    <x v="6"/>
    <n v="27.45"/>
    <n v="82.35"/>
    <s v="Wallet"/>
    <x v="0"/>
  </r>
  <r>
    <x v="158"/>
    <s v="CUST159"/>
    <d v="2024-04-09T00:00:00"/>
    <s v="Fashion"/>
    <s v="West"/>
    <x v="2"/>
    <n v="444.19"/>
    <n v="1776.76"/>
    <s v="Wallet"/>
    <x v="0"/>
  </r>
  <r>
    <x v="159"/>
    <s v="CUST289"/>
    <d v="2025-11-17T00:00:00"/>
    <s v="Fashion"/>
    <s v="West"/>
    <x v="8"/>
    <n v="212.47"/>
    <n v="1912.23"/>
    <s v="Credit Card"/>
    <x v="0"/>
  </r>
  <r>
    <x v="160"/>
    <s v="CUST350"/>
    <d v="2025-09-22T00:00:00"/>
    <s v="Home"/>
    <s v="North"/>
    <x v="5"/>
    <n v="469.83"/>
    <n v="3288.81"/>
    <s v="Net Banking"/>
    <x v="0"/>
  </r>
  <r>
    <x v="161"/>
    <s v="CUST211"/>
    <d v="2025-03-30T00:00:00"/>
    <s v="Home"/>
    <s v="North"/>
    <x v="7"/>
    <n v="475.52"/>
    <n v="3804.16"/>
    <s v="Net Banking"/>
    <x v="0"/>
  </r>
  <r>
    <x v="162"/>
    <s v="CUST378"/>
    <d v="2025-10-22T00:00:00"/>
    <s v="Home"/>
    <s v="South"/>
    <x v="3"/>
    <n v="34.97"/>
    <n v="209.82"/>
    <s v="Credit Card"/>
    <x v="0"/>
  </r>
  <r>
    <x v="163"/>
    <s v="CUST332"/>
    <d v="2024-04-03T00:00:00"/>
    <s v="Sports"/>
    <s v="North"/>
    <x v="2"/>
    <n v="322.64"/>
    <n v="1290.56"/>
    <s v="Credit Card"/>
    <x v="0"/>
  </r>
  <r>
    <x v="164"/>
    <s v="CUST270"/>
    <d v="2024-09-06T00:00:00"/>
    <s v="Fashion"/>
    <s v="North"/>
    <x v="6"/>
    <n v="394.55"/>
    <n v="1183.6500000000001"/>
    <s v="UPI"/>
    <x v="0"/>
  </r>
  <r>
    <x v="165"/>
    <s v="CUST210"/>
    <d v="2024-08-26T00:00:00"/>
    <s v="Sports"/>
    <s v="North"/>
    <x v="3"/>
    <n v="388.31"/>
    <n v="2329.86"/>
    <s v="Net Banking"/>
    <x v="0"/>
  </r>
  <r>
    <x v="166"/>
    <s v="CUST174"/>
    <d v="2024-05-13T00:00:00"/>
    <s v="Fashion"/>
    <s v="North"/>
    <x v="8"/>
    <n v="129.07"/>
    <n v="1161.6300000000001"/>
    <s v="Credit Card"/>
    <x v="0"/>
  </r>
  <r>
    <x v="167"/>
    <s v="CUST167"/>
    <d v="2024-01-16T00:00:00"/>
    <s v="Fashion"/>
    <s v="East"/>
    <x v="3"/>
    <n v="396.04"/>
    <n v="2376.2399999999998"/>
    <s v="Credit Card"/>
    <x v="0"/>
  </r>
  <r>
    <x v="168"/>
    <s v="CUST189"/>
    <d v="2024-09-28T00:00:00"/>
    <s v="Beauty"/>
    <s v="North"/>
    <x v="1"/>
    <n v="67.75"/>
    <n v="67.75"/>
    <s v="Credit Card"/>
    <x v="0"/>
  </r>
  <r>
    <x v="169"/>
    <s v="CUST343"/>
    <d v="2025-04-04T00:00:00"/>
    <s v="Electronics"/>
    <s v="West"/>
    <x v="3"/>
    <n v="259.05"/>
    <n v="1554.3"/>
    <s v="UPI"/>
    <x v="0"/>
  </r>
  <r>
    <x v="170"/>
    <s v="CUST122"/>
    <d v="2025-11-05T00:00:00"/>
    <s v="Electronics"/>
    <s v="North"/>
    <x v="8"/>
    <n v="154.31"/>
    <n v="1388.79"/>
    <s v="Wallet"/>
    <x v="0"/>
  </r>
  <r>
    <x v="171"/>
    <s v="CUST305"/>
    <d v="2025-03-12T00:00:00"/>
    <s v="Beauty"/>
    <s v="North"/>
    <x v="4"/>
    <n v="247.68"/>
    <n v="495.36"/>
    <s v="Credit Card"/>
    <x v="0"/>
  </r>
  <r>
    <x v="172"/>
    <s v="CUST264"/>
    <d v="2025-09-14T00:00:00"/>
    <s v="Home"/>
    <s v="East"/>
    <x v="6"/>
    <n v="37.51"/>
    <n v="112.53"/>
    <s v="Wallet"/>
    <x v="0"/>
  </r>
  <r>
    <x v="173"/>
    <s v="CUST371"/>
    <d v="2024-10-28T00:00:00"/>
    <s v="Beauty"/>
    <s v="North"/>
    <x v="7"/>
    <n v="255.25"/>
    <n v="2042"/>
    <s v="Credit Card"/>
    <x v="0"/>
  </r>
  <r>
    <x v="174"/>
    <s v="CUST382"/>
    <d v="2024-08-08T00:00:00"/>
    <s v="Fashion"/>
    <s v="West"/>
    <x v="5"/>
    <n v="228.52"/>
    <n v="1599.64"/>
    <s v="Net Banking"/>
    <x v="0"/>
  </r>
  <r>
    <x v="175"/>
    <s v="CUST332"/>
    <d v="2025-02-12T00:00:00"/>
    <s v="Home"/>
    <s v="West"/>
    <x v="5"/>
    <n v="366.16"/>
    <n v="2563.12"/>
    <s v="Net Banking"/>
    <x v="0"/>
  </r>
  <r>
    <x v="176"/>
    <s v="CUST230"/>
    <d v="2025-01-18T00:00:00"/>
    <s v="Beauty"/>
    <s v="North"/>
    <x v="6"/>
    <n v="344.98"/>
    <n v="1034.94"/>
    <s v="Credit Card"/>
    <x v="0"/>
  </r>
  <r>
    <x v="177"/>
    <s v="CUST143"/>
    <d v="2024-04-05T00:00:00"/>
    <s v="Home"/>
    <s v="South"/>
    <x v="5"/>
    <n v="52.8"/>
    <n v="369.6"/>
    <s v="Credit Card"/>
    <x v="0"/>
  </r>
  <r>
    <x v="178"/>
    <s v="CUST387"/>
    <d v="2025-07-29T00:00:00"/>
    <s v="Beauty"/>
    <s v="East"/>
    <x v="3"/>
    <n v="336.66"/>
    <n v="2019.96"/>
    <s v="Wallet"/>
    <x v="0"/>
  </r>
  <r>
    <x v="179"/>
    <s v="CUST126"/>
    <d v="2024-10-21T00:00:00"/>
    <s v="Electronics"/>
    <s v="South"/>
    <x v="9"/>
    <n v="159.66"/>
    <n v="1596.6"/>
    <s v="UPI"/>
    <x v="0"/>
  </r>
  <r>
    <x v="180"/>
    <s v="CUST346"/>
    <d v="2024-08-17T00:00:00"/>
    <s v="Sports"/>
    <s v="East"/>
    <x v="4"/>
    <n v="178.31"/>
    <n v="356.62"/>
    <s v="Credit Card"/>
    <x v="0"/>
  </r>
  <r>
    <x v="181"/>
    <s v="CUST242"/>
    <d v="2025-08-10T00:00:00"/>
    <s v="Sports"/>
    <s v="North"/>
    <x v="2"/>
    <n v="404.57"/>
    <n v="1618.28"/>
    <s v="Net Banking"/>
    <x v="0"/>
  </r>
  <r>
    <x v="182"/>
    <s v="CUST114"/>
    <d v="2024-07-03T00:00:00"/>
    <s v="Home"/>
    <s v="East"/>
    <x v="0"/>
    <n v="352.84"/>
    <n v="1764.2"/>
    <s v="Net Banking"/>
    <x v="0"/>
  </r>
  <r>
    <x v="183"/>
    <s v="CUST103"/>
    <d v="2024-07-04T00:00:00"/>
    <s v="Beauty"/>
    <s v="North"/>
    <x v="6"/>
    <n v="285.33"/>
    <n v="855.99"/>
    <s v="UPI"/>
    <x v="0"/>
  </r>
  <r>
    <x v="184"/>
    <s v="CUST115"/>
    <d v="2024-04-03T00:00:00"/>
    <s v="Beauty"/>
    <s v="West"/>
    <x v="8"/>
    <n v="111.49"/>
    <n v="1003.41"/>
    <s v="Net Banking"/>
    <x v="0"/>
  </r>
  <r>
    <x v="185"/>
    <s v="CUST180"/>
    <d v="2025-01-13T00:00:00"/>
    <s v="Sports"/>
    <s v="North"/>
    <x v="0"/>
    <n v="362.19"/>
    <n v="1810.95"/>
    <s v="Credit Card"/>
    <x v="0"/>
  </r>
  <r>
    <x v="186"/>
    <s v="CUST179"/>
    <d v="2024-06-10T00:00:00"/>
    <s v="Electronics"/>
    <s v="East"/>
    <x v="9"/>
    <n v="29.63"/>
    <n v="296.3"/>
    <s v="Wallet"/>
    <x v="0"/>
  </r>
  <r>
    <x v="187"/>
    <s v="CUST317"/>
    <d v="2025-05-12T00:00:00"/>
    <s v="Home"/>
    <s v="South"/>
    <x v="9"/>
    <n v="223.81"/>
    <n v="2238.1"/>
    <s v="Credit Card"/>
    <x v="0"/>
  </r>
  <r>
    <x v="188"/>
    <s v="CUST276"/>
    <d v="2025-03-16T00:00:00"/>
    <s v="Sports"/>
    <s v="West"/>
    <x v="4"/>
    <n v="145.21"/>
    <n v="290.42"/>
    <s v="Net Banking"/>
    <x v="0"/>
  </r>
  <r>
    <x v="189"/>
    <s v="CUST123"/>
    <d v="2024-08-13T00:00:00"/>
    <s v="Electronics"/>
    <s v="North"/>
    <x v="5"/>
    <n v="492.3"/>
    <n v="3446.1"/>
    <s v="UPI"/>
    <x v="0"/>
  </r>
  <r>
    <x v="190"/>
    <s v="CUST254"/>
    <d v="2024-08-04T00:00:00"/>
    <s v="Home"/>
    <s v="East"/>
    <x v="6"/>
    <n v="383.26"/>
    <n v="1149.78"/>
    <s v="Credit Card"/>
    <x v="0"/>
  </r>
  <r>
    <x v="191"/>
    <s v="CUST103"/>
    <d v="2025-05-24T00:00:00"/>
    <s v="Beauty"/>
    <s v="South"/>
    <x v="5"/>
    <n v="91.97"/>
    <n v="643.79"/>
    <s v="Net Banking"/>
    <x v="0"/>
  </r>
  <r>
    <x v="192"/>
    <s v="CUST136"/>
    <d v="2025-02-10T00:00:00"/>
    <s v="Beauty"/>
    <s v="North"/>
    <x v="1"/>
    <n v="220.93"/>
    <n v="220.93"/>
    <s v="Net Banking"/>
    <x v="0"/>
  </r>
  <r>
    <x v="193"/>
    <s v="CUST394"/>
    <d v="2025-03-15T00:00:00"/>
    <s v="Beauty"/>
    <s v="East"/>
    <x v="9"/>
    <n v="205.19"/>
    <n v="2051.9"/>
    <s v="Credit Card"/>
    <x v="0"/>
  </r>
  <r>
    <x v="194"/>
    <s v="CUST307"/>
    <d v="2024-01-22T00:00:00"/>
    <s v="Sports"/>
    <s v="West"/>
    <x v="3"/>
    <n v="90.08"/>
    <n v="540.48"/>
    <s v="Net Banking"/>
    <x v="0"/>
  </r>
  <r>
    <x v="195"/>
    <s v="CUST145"/>
    <d v="2025-03-23T00:00:00"/>
    <s v="Sports"/>
    <s v="West"/>
    <x v="4"/>
    <n v="125.44"/>
    <n v="250.88"/>
    <s v="Credit Card"/>
    <x v="0"/>
  </r>
  <r>
    <x v="196"/>
    <s v="CUST302"/>
    <d v="2024-11-13T00:00:00"/>
    <s v="Fashion"/>
    <s v="North"/>
    <x v="3"/>
    <n v="114.68"/>
    <n v="688.08"/>
    <s v="Credit Card"/>
    <x v="0"/>
  </r>
  <r>
    <x v="197"/>
    <s v="CUST371"/>
    <d v="2025-06-06T00:00:00"/>
    <s v="Home"/>
    <s v="East"/>
    <x v="2"/>
    <n v="453.43"/>
    <n v="1813.72"/>
    <s v="UPI"/>
    <x v="0"/>
  </r>
  <r>
    <x v="198"/>
    <s v="CUST220"/>
    <d v="2024-04-15T00:00:00"/>
    <s v="Fashion"/>
    <s v="South"/>
    <x v="6"/>
    <n v="131.69999999999999"/>
    <n v="395.1"/>
    <s v="Credit Card"/>
    <x v="0"/>
  </r>
  <r>
    <x v="199"/>
    <s v="CUST190"/>
    <d v="2025-10-05T00:00:00"/>
    <s v="Sports"/>
    <s v="West"/>
    <x v="7"/>
    <n v="234.66"/>
    <n v="1877.28"/>
    <s v="Net Banking"/>
    <x v="0"/>
  </r>
  <r>
    <x v="200"/>
    <s v="CUST261"/>
    <d v="2024-06-03T00:00:00"/>
    <s v="Beauty"/>
    <s v="East"/>
    <x v="7"/>
    <n v="38.799999999999997"/>
    <n v="310.39999999999998"/>
    <s v="Net Banking"/>
    <x v="0"/>
  </r>
  <r>
    <x v="201"/>
    <s v="CUST128"/>
    <d v="2024-12-26T00:00:00"/>
    <s v="Beauty"/>
    <s v="West"/>
    <x v="8"/>
    <n v="41.72"/>
    <n v="375.48"/>
    <s v="Credit Card"/>
    <x v="0"/>
  </r>
  <r>
    <x v="202"/>
    <s v="CUST129"/>
    <d v="2025-01-12T00:00:00"/>
    <s v="Electronics"/>
    <s v="West"/>
    <x v="0"/>
    <n v="42.98"/>
    <n v="214.9"/>
    <s v="Wallet"/>
    <x v="0"/>
  </r>
  <r>
    <x v="203"/>
    <s v="CUST397"/>
    <d v="2025-07-21T00:00:00"/>
    <s v="Sports"/>
    <s v="South"/>
    <x v="1"/>
    <n v="227.62"/>
    <n v="227.62"/>
    <s v="Net Banking"/>
    <x v="1"/>
  </r>
  <r>
    <x v="204"/>
    <s v="CUST343"/>
    <d v="2025-05-28T00:00:00"/>
    <s v="Beauty"/>
    <s v="North"/>
    <x v="6"/>
    <n v="479.07"/>
    <n v="1437.21"/>
    <s v="Net Banking"/>
    <x v="0"/>
  </r>
  <r>
    <x v="205"/>
    <s v="CUST143"/>
    <d v="2025-05-31T00:00:00"/>
    <s v="Beauty"/>
    <s v="West"/>
    <x v="6"/>
    <n v="24.38"/>
    <n v="73.14"/>
    <s v="UPI"/>
    <x v="0"/>
  </r>
  <r>
    <x v="206"/>
    <s v="CUST286"/>
    <d v="2025-01-16T00:00:00"/>
    <s v="Home"/>
    <s v="North"/>
    <x v="0"/>
    <n v="196.77"/>
    <n v="983.85"/>
    <s v="Net Banking"/>
    <x v="0"/>
  </r>
  <r>
    <x v="207"/>
    <s v="CUST133"/>
    <d v="2024-12-03T00:00:00"/>
    <s v="Beauty"/>
    <s v="East"/>
    <x v="4"/>
    <n v="281.19"/>
    <n v="562.38"/>
    <s v="Net Banking"/>
    <x v="0"/>
  </r>
  <r>
    <x v="208"/>
    <s v="CUST176"/>
    <d v="2024-12-07T00:00:00"/>
    <s v="Fashion"/>
    <s v="East"/>
    <x v="4"/>
    <n v="293.45999999999998"/>
    <n v="586.91999999999996"/>
    <s v="Net Banking"/>
    <x v="0"/>
  </r>
  <r>
    <x v="209"/>
    <s v="CUST300"/>
    <d v="2024-05-12T00:00:00"/>
    <s v="Electronics"/>
    <s v="East"/>
    <x v="9"/>
    <n v="355.87"/>
    <n v="3558.7"/>
    <s v="Wallet"/>
    <x v="0"/>
  </r>
  <r>
    <x v="210"/>
    <s v="CUST268"/>
    <d v="2024-05-10T00:00:00"/>
    <s v="Beauty"/>
    <s v="East"/>
    <x v="8"/>
    <n v="51.26"/>
    <n v="461.34"/>
    <s v="Credit Card"/>
    <x v="0"/>
  </r>
  <r>
    <x v="211"/>
    <s v="CUST285"/>
    <d v="2024-11-12T00:00:00"/>
    <s v="Home"/>
    <s v="West"/>
    <x v="6"/>
    <n v="475.83"/>
    <n v="1427.49"/>
    <s v="UPI"/>
    <x v="0"/>
  </r>
  <r>
    <x v="212"/>
    <s v="CUST215"/>
    <d v="2024-05-20T00:00:00"/>
    <s v="Electronics"/>
    <s v="North"/>
    <x v="6"/>
    <n v="43.2"/>
    <n v="129.6"/>
    <s v="Net Banking"/>
    <x v="0"/>
  </r>
  <r>
    <x v="213"/>
    <s v="CUST167"/>
    <d v="2025-09-03T00:00:00"/>
    <s v="Fashion"/>
    <s v="South"/>
    <x v="5"/>
    <n v="81.36"/>
    <n v="569.52"/>
    <s v="Wallet"/>
    <x v="0"/>
  </r>
  <r>
    <x v="214"/>
    <s v="CUST122"/>
    <d v="2025-02-24T00:00:00"/>
    <s v="Fashion"/>
    <s v="West"/>
    <x v="3"/>
    <n v="339.8"/>
    <n v="2038.8"/>
    <s v="Net Banking"/>
    <x v="0"/>
  </r>
  <r>
    <x v="215"/>
    <s v="CUST329"/>
    <d v="2024-08-27T00:00:00"/>
    <s v="Beauty"/>
    <s v="South"/>
    <x v="8"/>
    <n v="123.39"/>
    <n v="1110.51"/>
    <s v="Net Banking"/>
    <x v="0"/>
  </r>
  <r>
    <x v="216"/>
    <s v="CUST392"/>
    <d v="2025-03-27T00:00:00"/>
    <s v="Beauty"/>
    <s v="West"/>
    <x v="7"/>
    <n v="385.87"/>
    <n v="3086.96"/>
    <s v="UPI"/>
    <x v="0"/>
  </r>
  <r>
    <x v="217"/>
    <s v="CUST202"/>
    <d v="2025-09-11T00:00:00"/>
    <s v="Electronics"/>
    <s v="West"/>
    <x v="6"/>
    <n v="437.14"/>
    <n v="1311.42"/>
    <s v="Net Banking"/>
    <x v="0"/>
  </r>
  <r>
    <x v="218"/>
    <s v="CUST383"/>
    <d v="2024-04-15T00:00:00"/>
    <s v="Home"/>
    <s v="North"/>
    <x v="8"/>
    <n v="426.33"/>
    <n v="3836.97"/>
    <s v="UPI"/>
    <x v="0"/>
  </r>
  <r>
    <x v="219"/>
    <s v="CUST239"/>
    <d v="2025-04-05T00:00:00"/>
    <s v="Beauty"/>
    <s v="North"/>
    <x v="8"/>
    <n v="77.94"/>
    <n v="701.46"/>
    <s v="UPI"/>
    <x v="0"/>
  </r>
  <r>
    <x v="220"/>
    <s v="CUST330"/>
    <d v="2024-12-23T00:00:00"/>
    <s v="Beauty"/>
    <s v="East"/>
    <x v="1"/>
    <n v="210.37"/>
    <n v="210.37"/>
    <s v="UPI"/>
    <x v="0"/>
  </r>
  <r>
    <x v="221"/>
    <s v="CUST297"/>
    <d v="2024-03-24T00:00:00"/>
    <s v="Home"/>
    <s v="North"/>
    <x v="3"/>
    <n v="116.15"/>
    <n v="696.9"/>
    <s v="Net Banking"/>
    <x v="0"/>
  </r>
  <r>
    <x v="222"/>
    <s v="CUST174"/>
    <d v="2024-05-20T00:00:00"/>
    <s v="Beauty"/>
    <s v="South"/>
    <x v="1"/>
    <n v="147.01"/>
    <n v="147.01"/>
    <s v="Wallet"/>
    <x v="0"/>
  </r>
  <r>
    <x v="223"/>
    <s v="CUST329"/>
    <d v="2025-09-22T00:00:00"/>
    <s v="Electronics"/>
    <s v="East"/>
    <x v="1"/>
    <n v="453.4"/>
    <n v="453.4"/>
    <s v="UPI"/>
    <x v="0"/>
  </r>
  <r>
    <x v="224"/>
    <s v="CUST176"/>
    <d v="2025-07-15T00:00:00"/>
    <s v="Electronics"/>
    <s v="East"/>
    <x v="9"/>
    <n v="266.25"/>
    <n v="2662.5"/>
    <s v="UPI"/>
    <x v="0"/>
  </r>
  <r>
    <x v="225"/>
    <s v="CUST254"/>
    <d v="2024-05-04T00:00:00"/>
    <s v="Sports"/>
    <s v="West"/>
    <x v="1"/>
    <n v="123.03"/>
    <n v="123.03"/>
    <s v="Credit Card"/>
    <x v="0"/>
  </r>
  <r>
    <x v="226"/>
    <s v="CUST156"/>
    <d v="2025-05-26T00:00:00"/>
    <s v="Sports"/>
    <s v="South"/>
    <x v="9"/>
    <n v="270.35000000000002"/>
    <n v="2703.5"/>
    <s v="UPI"/>
    <x v="0"/>
  </r>
  <r>
    <x v="227"/>
    <s v="CUST249"/>
    <d v="2025-03-15T00:00:00"/>
    <s v="Fashion"/>
    <s v="West"/>
    <x v="1"/>
    <n v="309.33"/>
    <n v="309.33"/>
    <s v="UPI"/>
    <x v="0"/>
  </r>
  <r>
    <x v="228"/>
    <s v="CUST143"/>
    <d v="2025-06-20T00:00:00"/>
    <s v="Sports"/>
    <s v="North"/>
    <x v="3"/>
    <n v="38.5"/>
    <n v="231"/>
    <s v="Wallet"/>
    <x v="0"/>
  </r>
  <r>
    <x v="229"/>
    <s v="CUST340"/>
    <d v="2024-02-14T00:00:00"/>
    <s v="Home"/>
    <s v="North"/>
    <x v="5"/>
    <n v="490.61"/>
    <n v="3434.27"/>
    <s v="Net Banking"/>
    <x v="0"/>
  </r>
  <r>
    <x v="230"/>
    <s v="CUST134"/>
    <d v="2024-12-19T00:00:00"/>
    <s v="Electronics"/>
    <s v="East"/>
    <x v="2"/>
    <n v="367.81"/>
    <n v="1471.24"/>
    <s v="UPI"/>
    <x v="0"/>
  </r>
  <r>
    <x v="231"/>
    <s v="CUST122"/>
    <d v="2024-12-26T00:00:00"/>
    <s v="Fashion"/>
    <s v="West"/>
    <x v="8"/>
    <n v="172.58"/>
    <n v="1553.22"/>
    <s v="Wallet"/>
    <x v="0"/>
  </r>
  <r>
    <x v="232"/>
    <s v="CUST193"/>
    <d v="2024-05-18T00:00:00"/>
    <s v="Beauty"/>
    <s v="North"/>
    <x v="4"/>
    <n v="359.44"/>
    <n v="718.88"/>
    <s v="Net Banking"/>
    <x v="0"/>
  </r>
  <r>
    <x v="233"/>
    <s v="CUST203"/>
    <d v="2024-02-14T00:00:00"/>
    <s v="Home"/>
    <s v="East"/>
    <x v="2"/>
    <n v="443.47"/>
    <n v="1773.88"/>
    <s v="Wallet"/>
    <x v="0"/>
  </r>
  <r>
    <x v="234"/>
    <s v="CUST378"/>
    <d v="2025-04-29T00:00:00"/>
    <s v="Fashion"/>
    <s v="East"/>
    <x v="0"/>
    <n v="23.13"/>
    <n v="115.65"/>
    <s v="Net Banking"/>
    <x v="0"/>
  </r>
  <r>
    <x v="235"/>
    <s v="CUST124"/>
    <d v="2025-11-02T00:00:00"/>
    <s v="Home"/>
    <s v="West"/>
    <x v="3"/>
    <n v="140.24"/>
    <n v="841.44"/>
    <s v="Wallet"/>
    <x v="0"/>
  </r>
  <r>
    <x v="236"/>
    <s v="CUST325"/>
    <d v="2025-01-30T00:00:00"/>
    <s v="Beauty"/>
    <s v="West"/>
    <x v="3"/>
    <n v="486.99"/>
    <n v="2921.94"/>
    <s v="Net Banking"/>
    <x v="0"/>
  </r>
  <r>
    <x v="237"/>
    <s v="CUST365"/>
    <d v="2024-09-30T00:00:00"/>
    <s v="Electronics"/>
    <s v="West"/>
    <x v="4"/>
    <n v="364.91"/>
    <n v="729.82"/>
    <s v="UPI"/>
    <x v="0"/>
  </r>
  <r>
    <x v="238"/>
    <s v="CUST379"/>
    <d v="2024-10-27T00:00:00"/>
    <s v="Home"/>
    <s v="East"/>
    <x v="3"/>
    <n v="55.79"/>
    <n v="334.74"/>
    <s v="Net Banking"/>
    <x v="0"/>
  </r>
  <r>
    <x v="239"/>
    <s v="CUST328"/>
    <d v="2025-09-09T00:00:00"/>
    <s v="Beauty"/>
    <s v="East"/>
    <x v="5"/>
    <n v="87.49"/>
    <n v="612.42999999999995"/>
    <s v="Wallet"/>
    <x v="0"/>
  </r>
  <r>
    <x v="240"/>
    <s v="CUST121"/>
    <d v="2024-12-27T00:00:00"/>
    <s v="Home"/>
    <s v="North"/>
    <x v="9"/>
    <n v="499.08"/>
    <n v="4990.8"/>
    <s v="Credit Card"/>
    <x v="0"/>
  </r>
  <r>
    <x v="241"/>
    <s v="CUST307"/>
    <d v="2025-01-07T00:00:00"/>
    <s v="Fashion"/>
    <s v="North"/>
    <x v="8"/>
    <n v="401.54"/>
    <n v="3613.86"/>
    <s v="UPI"/>
    <x v="0"/>
  </r>
  <r>
    <x v="242"/>
    <s v="CUST324"/>
    <d v="2024-02-05T00:00:00"/>
    <s v="Home"/>
    <s v="East"/>
    <x v="6"/>
    <n v="38.28"/>
    <n v="114.84"/>
    <s v="Wallet"/>
    <x v="0"/>
  </r>
  <r>
    <x v="243"/>
    <s v="CUST390"/>
    <d v="2024-02-03T00:00:00"/>
    <s v="Beauty"/>
    <s v="East"/>
    <x v="9"/>
    <n v="80.95"/>
    <n v="809.5"/>
    <s v="Net Banking"/>
    <x v="0"/>
  </r>
  <r>
    <x v="244"/>
    <s v="CUST327"/>
    <d v="2024-03-19T00:00:00"/>
    <s v="Home"/>
    <s v="West"/>
    <x v="9"/>
    <n v="73.16"/>
    <n v="731.6"/>
    <s v="Net Banking"/>
    <x v="0"/>
  </r>
  <r>
    <x v="245"/>
    <s v="CUST242"/>
    <d v="2024-09-12T00:00:00"/>
    <s v="Fashion"/>
    <s v="West"/>
    <x v="4"/>
    <n v="17.829999999999998"/>
    <n v="35.659999999999997"/>
    <s v="Wallet"/>
    <x v="0"/>
  </r>
  <r>
    <x v="246"/>
    <s v="CUST387"/>
    <d v="2024-04-30T00:00:00"/>
    <s v="Beauty"/>
    <s v="South"/>
    <x v="0"/>
    <n v="388.61"/>
    <n v="1943.05"/>
    <s v="Net Banking"/>
    <x v="0"/>
  </r>
  <r>
    <x v="247"/>
    <s v="CUST351"/>
    <d v="2024-07-23T00:00:00"/>
    <s v="Electronics"/>
    <s v="West"/>
    <x v="4"/>
    <n v="72.19"/>
    <n v="144.38"/>
    <s v="UPI"/>
    <x v="0"/>
  </r>
  <r>
    <x v="248"/>
    <s v="CUST327"/>
    <d v="2024-03-30T00:00:00"/>
    <s v="Electronics"/>
    <s v="East"/>
    <x v="3"/>
    <n v="335.58"/>
    <n v="2013.48"/>
    <s v="Net Banking"/>
    <x v="0"/>
  </r>
  <r>
    <x v="249"/>
    <s v="CUST180"/>
    <d v="2025-12-29T00:00:00"/>
    <s v="Sports"/>
    <s v="South"/>
    <x v="6"/>
    <n v="397.88"/>
    <n v="1193.6400000000001"/>
    <s v="Credit Card"/>
    <x v="0"/>
  </r>
  <r>
    <x v="250"/>
    <s v="CUST202"/>
    <d v="2024-05-22T00:00:00"/>
    <s v="Electronics"/>
    <s v="East"/>
    <x v="2"/>
    <n v="396.23"/>
    <n v="1584.92"/>
    <s v="Net Banking"/>
    <x v="0"/>
  </r>
  <r>
    <x v="251"/>
    <s v="CUST339"/>
    <d v="2025-07-18T00:00:00"/>
    <s v="Electronics"/>
    <s v="North"/>
    <x v="6"/>
    <n v="307.91000000000003"/>
    <n v="923.73"/>
    <s v="Net Banking"/>
    <x v="0"/>
  </r>
  <r>
    <x v="252"/>
    <s v="CUST303"/>
    <d v="2025-05-05T00:00:00"/>
    <s v="Beauty"/>
    <s v="North"/>
    <x v="8"/>
    <n v="208.34"/>
    <n v="1875.06"/>
    <s v="UPI"/>
    <x v="1"/>
  </r>
  <r>
    <x v="253"/>
    <s v="CUST262"/>
    <d v="2025-10-19T00:00:00"/>
    <s v="Sports"/>
    <s v="East"/>
    <x v="4"/>
    <n v="227.74"/>
    <n v="455.48"/>
    <s v="UPI"/>
    <x v="0"/>
  </r>
  <r>
    <x v="254"/>
    <s v="CUST382"/>
    <d v="2025-10-17T00:00:00"/>
    <s v="Fashion"/>
    <s v="West"/>
    <x v="9"/>
    <n v="95.07"/>
    <n v="950.7"/>
    <s v="Credit Card"/>
    <x v="0"/>
  </r>
  <r>
    <x v="255"/>
    <s v="CUST163"/>
    <d v="2025-06-14T00:00:00"/>
    <s v="Fashion"/>
    <s v="East"/>
    <x v="6"/>
    <n v="155.54"/>
    <n v="466.62"/>
    <s v="UPI"/>
    <x v="0"/>
  </r>
  <r>
    <x v="256"/>
    <s v="CUST277"/>
    <d v="2025-06-15T00:00:00"/>
    <s v="Home"/>
    <s v="South"/>
    <x v="0"/>
    <n v="423.74"/>
    <n v="2118.6999999999998"/>
    <s v="Net Banking"/>
    <x v="0"/>
  </r>
  <r>
    <x v="257"/>
    <s v="CUST164"/>
    <d v="2025-10-02T00:00:00"/>
    <s v="Electronics"/>
    <s v="South"/>
    <x v="0"/>
    <n v="309.14"/>
    <n v="1545.7"/>
    <s v="UPI"/>
    <x v="0"/>
  </r>
  <r>
    <x v="258"/>
    <s v="CUST187"/>
    <d v="2025-11-05T00:00:00"/>
    <s v="Sports"/>
    <s v="East"/>
    <x v="9"/>
    <n v="361.71"/>
    <n v="3617.1"/>
    <s v="Credit Card"/>
    <x v="0"/>
  </r>
  <r>
    <x v="259"/>
    <s v="CUST114"/>
    <d v="2024-03-24T00:00:00"/>
    <s v="Sports"/>
    <s v="East"/>
    <x v="1"/>
    <n v="474.53"/>
    <n v="474.53"/>
    <s v="UPI"/>
    <x v="0"/>
  </r>
  <r>
    <x v="260"/>
    <s v="CUST392"/>
    <d v="2025-03-02T00:00:00"/>
    <s v="Beauty"/>
    <s v="East"/>
    <x v="9"/>
    <n v="321.3"/>
    <n v="3213"/>
    <s v="Net Banking"/>
    <x v="0"/>
  </r>
  <r>
    <x v="261"/>
    <s v="CUST347"/>
    <d v="2024-09-07T00:00:00"/>
    <s v="Electronics"/>
    <s v="North"/>
    <x v="5"/>
    <n v="152.22999999999999"/>
    <n v="1065.6099999999999"/>
    <s v="UPI"/>
    <x v="0"/>
  </r>
  <r>
    <x v="262"/>
    <s v="CUST325"/>
    <d v="2025-03-01T00:00:00"/>
    <s v="Home"/>
    <s v="South"/>
    <x v="7"/>
    <n v="234.9"/>
    <n v="1879.2"/>
    <s v="Net Banking"/>
    <x v="0"/>
  </r>
  <r>
    <x v="263"/>
    <s v="CUST263"/>
    <d v="2024-12-19T00:00:00"/>
    <s v="Home"/>
    <s v="North"/>
    <x v="5"/>
    <n v="69.73"/>
    <n v="488.11"/>
    <s v="Net Banking"/>
    <x v="0"/>
  </r>
  <r>
    <x v="264"/>
    <s v="CUST223"/>
    <d v="2025-04-22T00:00:00"/>
    <s v="Fashion"/>
    <s v="South"/>
    <x v="4"/>
    <n v="137.4"/>
    <n v="274.8"/>
    <s v="Credit Card"/>
    <x v="0"/>
  </r>
  <r>
    <x v="265"/>
    <s v="CUST125"/>
    <d v="2024-10-24T00:00:00"/>
    <s v="Beauty"/>
    <s v="South"/>
    <x v="5"/>
    <n v="432.76"/>
    <n v="3029.32"/>
    <s v="UPI"/>
    <x v="0"/>
  </r>
  <r>
    <x v="266"/>
    <s v="CUST267"/>
    <d v="2025-08-14T00:00:00"/>
    <s v="Fashion"/>
    <s v="West"/>
    <x v="3"/>
    <n v="98.97"/>
    <n v="593.82000000000005"/>
    <s v="Wallet"/>
    <x v="0"/>
  </r>
  <r>
    <x v="267"/>
    <s v="CUST355"/>
    <d v="2024-11-11T00:00:00"/>
    <s v="Beauty"/>
    <s v="West"/>
    <x v="7"/>
    <n v="16.47"/>
    <n v="131.76"/>
    <s v="UPI"/>
    <x v="0"/>
  </r>
  <r>
    <x v="268"/>
    <s v="CUST210"/>
    <d v="2025-08-20T00:00:00"/>
    <s v="Home"/>
    <s v="West"/>
    <x v="3"/>
    <n v="29.09"/>
    <n v="174.54"/>
    <s v="Wallet"/>
    <x v="0"/>
  </r>
  <r>
    <x v="269"/>
    <s v="CUST246"/>
    <d v="2025-07-03T00:00:00"/>
    <s v="Beauty"/>
    <s v="South"/>
    <x v="1"/>
    <n v="424.35"/>
    <n v="424.35"/>
    <s v="Net Banking"/>
    <x v="0"/>
  </r>
  <r>
    <x v="270"/>
    <s v="CUST287"/>
    <d v="2025-02-16T00:00:00"/>
    <s v="Electronics"/>
    <s v="South"/>
    <x v="3"/>
    <n v="27.39"/>
    <n v="164.34"/>
    <s v="Net Banking"/>
    <x v="0"/>
  </r>
  <r>
    <x v="271"/>
    <s v="CUST383"/>
    <d v="2024-10-22T00:00:00"/>
    <s v="Beauty"/>
    <s v="East"/>
    <x v="4"/>
    <n v="196.24"/>
    <n v="392.48"/>
    <s v="Credit Card"/>
    <x v="0"/>
  </r>
  <r>
    <x v="272"/>
    <s v="CUST165"/>
    <d v="2024-04-09T00:00:00"/>
    <s v="Home"/>
    <s v="East"/>
    <x v="5"/>
    <n v="189.73"/>
    <n v="1328.11"/>
    <s v="UPI"/>
    <x v="0"/>
  </r>
  <r>
    <x v="273"/>
    <s v="CUST201"/>
    <d v="2025-09-08T00:00:00"/>
    <s v="Electronics"/>
    <s v="North"/>
    <x v="8"/>
    <n v="203.69"/>
    <n v="1833.21"/>
    <s v="Credit Card"/>
    <x v="0"/>
  </r>
  <r>
    <x v="274"/>
    <s v="CUST170"/>
    <d v="2025-12-31T00:00:00"/>
    <s v="Sports"/>
    <s v="West"/>
    <x v="3"/>
    <n v="402.96"/>
    <n v="2417.7600000000002"/>
    <s v="UPI"/>
    <x v="0"/>
  </r>
  <r>
    <x v="275"/>
    <s v="CUST363"/>
    <d v="2024-05-23T00:00:00"/>
    <s v="Home"/>
    <s v="South"/>
    <x v="3"/>
    <n v="466.03"/>
    <n v="2796.18"/>
    <s v="Wallet"/>
    <x v="0"/>
  </r>
  <r>
    <x v="276"/>
    <s v="CUST253"/>
    <d v="2025-08-30T00:00:00"/>
    <s v="Sports"/>
    <s v="West"/>
    <x v="3"/>
    <n v="256.12"/>
    <n v="1536.72"/>
    <s v="Net Banking"/>
    <x v="0"/>
  </r>
  <r>
    <x v="277"/>
    <s v="CUST343"/>
    <d v="2024-01-18T00:00:00"/>
    <s v="Electronics"/>
    <s v="West"/>
    <x v="3"/>
    <n v="168.96"/>
    <n v="1013.76"/>
    <s v="Net Banking"/>
    <x v="0"/>
  </r>
  <r>
    <x v="278"/>
    <s v="CUST113"/>
    <d v="2025-09-03T00:00:00"/>
    <s v="Sports"/>
    <s v="South"/>
    <x v="7"/>
    <n v="136.44"/>
    <n v="1091.52"/>
    <s v="Credit Card"/>
    <x v="0"/>
  </r>
  <r>
    <x v="279"/>
    <s v="CUST398"/>
    <d v="2025-05-06T00:00:00"/>
    <s v="Sports"/>
    <s v="West"/>
    <x v="6"/>
    <n v="264.5"/>
    <n v="793.5"/>
    <s v="UPI"/>
    <x v="0"/>
  </r>
  <r>
    <x v="280"/>
    <s v="CUST224"/>
    <d v="2024-02-02T00:00:00"/>
    <s v="Electronics"/>
    <s v="South"/>
    <x v="9"/>
    <n v="474.36"/>
    <n v="4743.6000000000004"/>
    <s v="Credit Card"/>
    <x v="0"/>
  </r>
  <r>
    <x v="281"/>
    <s v="CUST325"/>
    <d v="2024-11-17T00:00:00"/>
    <s v="Fashion"/>
    <s v="West"/>
    <x v="5"/>
    <n v="79.959999999999994"/>
    <n v="559.72"/>
    <s v="Wallet"/>
    <x v="0"/>
  </r>
  <r>
    <x v="282"/>
    <s v="CUST131"/>
    <d v="2025-12-23T00:00:00"/>
    <s v="Sports"/>
    <s v="East"/>
    <x v="6"/>
    <n v="261.75"/>
    <n v="785.25"/>
    <s v="Wallet"/>
    <x v="0"/>
  </r>
  <r>
    <x v="283"/>
    <s v="CUST369"/>
    <d v="2025-01-20T00:00:00"/>
    <s v="Beauty"/>
    <s v="East"/>
    <x v="3"/>
    <n v="478.56"/>
    <n v="2871.36"/>
    <s v="Net Banking"/>
    <x v="0"/>
  </r>
  <r>
    <x v="284"/>
    <s v="CUST235"/>
    <d v="2025-09-16T00:00:00"/>
    <s v="Fashion"/>
    <s v="East"/>
    <x v="7"/>
    <n v="100.17"/>
    <n v="801.36"/>
    <s v="Net Banking"/>
    <x v="0"/>
  </r>
  <r>
    <x v="285"/>
    <s v="CUST215"/>
    <d v="2024-10-31T00:00:00"/>
    <s v="Beauty"/>
    <s v="East"/>
    <x v="0"/>
    <n v="353.93"/>
    <n v="1769.65"/>
    <s v="Wallet"/>
    <x v="0"/>
  </r>
  <r>
    <x v="286"/>
    <s v="CUST278"/>
    <d v="2025-07-27T00:00:00"/>
    <s v="Sports"/>
    <s v="West"/>
    <x v="0"/>
    <n v="147.46"/>
    <n v="737.3"/>
    <s v="Wallet"/>
    <x v="0"/>
  </r>
  <r>
    <x v="287"/>
    <s v="CUST276"/>
    <d v="2024-05-29T00:00:00"/>
    <s v="Electronics"/>
    <s v="East"/>
    <x v="0"/>
    <n v="25.82"/>
    <n v="129.1"/>
    <s v="Wallet"/>
    <x v="0"/>
  </r>
  <r>
    <x v="288"/>
    <s v="CUST231"/>
    <d v="2025-05-05T00:00:00"/>
    <s v="Sports"/>
    <s v="East"/>
    <x v="2"/>
    <n v="105.02"/>
    <n v="420.08"/>
    <s v="Net Banking"/>
    <x v="0"/>
  </r>
  <r>
    <x v="289"/>
    <s v="CUST170"/>
    <d v="2024-04-21T00:00:00"/>
    <s v="Fashion"/>
    <s v="South"/>
    <x v="9"/>
    <n v="371.74"/>
    <n v="3717.4"/>
    <s v="Credit Card"/>
    <x v="0"/>
  </r>
  <r>
    <x v="290"/>
    <s v="CUST371"/>
    <d v="2024-08-19T00:00:00"/>
    <s v="Beauty"/>
    <s v="East"/>
    <x v="2"/>
    <n v="30.98"/>
    <n v="123.92"/>
    <s v="Wallet"/>
    <x v="0"/>
  </r>
  <r>
    <x v="291"/>
    <s v="CUST151"/>
    <d v="2025-11-28T00:00:00"/>
    <s v="Sports"/>
    <s v="South"/>
    <x v="6"/>
    <n v="7.56"/>
    <n v="22.68"/>
    <s v="Wallet"/>
    <x v="0"/>
  </r>
  <r>
    <x v="292"/>
    <s v="CUST343"/>
    <d v="2025-05-03T00:00:00"/>
    <s v="Home"/>
    <s v="East"/>
    <x v="2"/>
    <n v="379.18"/>
    <n v="1516.72"/>
    <s v="Net Banking"/>
    <x v="0"/>
  </r>
  <r>
    <x v="293"/>
    <s v="CUST130"/>
    <d v="2024-04-01T00:00:00"/>
    <s v="Electronics"/>
    <s v="South"/>
    <x v="9"/>
    <n v="119.95"/>
    <n v="1199.5"/>
    <s v="Wallet"/>
    <x v="0"/>
  </r>
  <r>
    <x v="294"/>
    <s v="CUST190"/>
    <d v="2024-02-07T00:00:00"/>
    <s v="Fashion"/>
    <s v="East"/>
    <x v="5"/>
    <n v="395.04"/>
    <n v="2765.28"/>
    <s v="Credit Card"/>
    <x v="0"/>
  </r>
  <r>
    <x v="295"/>
    <s v="CUST104"/>
    <d v="2024-11-01T00:00:00"/>
    <s v="Home"/>
    <s v="East"/>
    <x v="9"/>
    <n v="303.38"/>
    <n v="3033.8"/>
    <s v="Wallet"/>
    <x v="0"/>
  </r>
  <r>
    <x v="296"/>
    <s v="CUST378"/>
    <d v="2025-06-20T00:00:00"/>
    <s v="Fashion"/>
    <s v="West"/>
    <x v="7"/>
    <n v="445.18"/>
    <n v="3561.44"/>
    <s v="Net Banking"/>
    <x v="0"/>
  </r>
  <r>
    <x v="297"/>
    <s v="CUST198"/>
    <d v="2024-04-25T00:00:00"/>
    <s v="Beauty"/>
    <s v="East"/>
    <x v="3"/>
    <n v="85.43"/>
    <n v="512.58000000000004"/>
    <s v="UPI"/>
    <x v="0"/>
  </r>
  <r>
    <x v="298"/>
    <s v="CUST107"/>
    <d v="2024-12-11T00:00:00"/>
    <s v="Fashion"/>
    <s v="South"/>
    <x v="0"/>
    <n v="286.05"/>
    <n v="1430.25"/>
    <s v="Wallet"/>
    <x v="0"/>
  </r>
  <r>
    <x v="299"/>
    <s v="CUST318"/>
    <d v="2025-06-11T00:00:00"/>
    <s v="Electronics"/>
    <s v="South"/>
    <x v="3"/>
    <n v="47.94"/>
    <n v="287.64"/>
    <s v="UPI"/>
    <x v="0"/>
  </r>
  <r>
    <x v="300"/>
    <s v="CUST344"/>
    <d v="2024-11-27T00:00:00"/>
    <s v="Beauty"/>
    <s v="South"/>
    <x v="2"/>
    <n v="8.3800000000000008"/>
    <n v="33.520000000000003"/>
    <s v="Wallet"/>
    <x v="0"/>
  </r>
  <r>
    <x v="301"/>
    <s v="CUST236"/>
    <d v="2024-12-03T00:00:00"/>
    <s v="Sports"/>
    <s v="North"/>
    <x v="0"/>
    <n v="293.32"/>
    <n v="1466.6"/>
    <s v="Net Banking"/>
    <x v="0"/>
  </r>
  <r>
    <x v="302"/>
    <s v="CUST284"/>
    <d v="2025-12-10T00:00:00"/>
    <s v="Electronics"/>
    <s v="West"/>
    <x v="2"/>
    <n v="35.75"/>
    <n v="143"/>
    <s v="Net Banking"/>
    <x v="0"/>
  </r>
  <r>
    <x v="303"/>
    <s v="CUST181"/>
    <d v="2025-02-19T00:00:00"/>
    <s v="Home"/>
    <s v="North"/>
    <x v="8"/>
    <n v="461.94"/>
    <n v="4157.46"/>
    <s v="Net Banking"/>
    <x v="0"/>
  </r>
  <r>
    <x v="304"/>
    <s v="CUST288"/>
    <d v="2025-09-21T00:00:00"/>
    <s v="Fashion"/>
    <s v="West"/>
    <x v="2"/>
    <n v="113.47"/>
    <n v="453.88"/>
    <s v="UPI"/>
    <x v="0"/>
  </r>
  <r>
    <x v="305"/>
    <s v="CUST332"/>
    <d v="2025-09-12T00:00:00"/>
    <s v="Sports"/>
    <s v="West"/>
    <x v="3"/>
    <n v="210.84"/>
    <n v="1265.04"/>
    <s v="UPI"/>
    <x v="0"/>
  </r>
  <r>
    <x v="306"/>
    <s v="CUST226"/>
    <d v="2025-11-27T00:00:00"/>
    <s v="Electronics"/>
    <s v="West"/>
    <x v="9"/>
    <n v="437.2"/>
    <n v="4372"/>
    <s v="Net Banking"/>
    <x v="0"/>
  </r>
  <r>
    <x v="307"/>
    <s v="CUST139"/>
    <d v="2025-07-31T00:00:00"/>
    <s v="Sports"/>
    <s v="South"/>
    <x v="4"/>
    <n v="35.57"/>
    <n v="71.14"/>
    <s v="UPI"/>
    <x v="0"/>
  </r>
  <r>
    <x v="308"/>
    <s v="CUST184"/>
    <d v="2024-12-01T00:00:00"/>
    <s v="Fashion"/>
    <s v="West"/>
    <x v="8"/>
    <n v="223.71"/>
    <n v="2013.39"/>
    <s v="Credit Card"/>
    <x v="0"/>
  </r>
  <r>
    <x v="309"/>
    <s v="CUST361"/>
    <d v="2025-04-01T00:00:00"/>
    <s v="Sports"/>
    <s v="West"/>
    <x v="1"/>
    <n v="229.45"/>
    <n v="229.45"/>
    <s v="Wallet"/>
    <x v="1"/>
  </r>
  <r>
    <x v="310"/>
    <s v="CUST388"/>
    <d v="2024-02-29T00:00:00"/>
    <s v="Home"/>
    <s v="North"/>
    <x v="8"/>
    <n v="233.88"/>
    <n v="2104.92"/>
    <s v="Wallet"/>
    <x v="0"/>
  </r>
  <r>
    <x v="311"/>
    <s v="CUST230"/>
    <d v="2024-01-04T00:00:00"/>
    <s v="Electronics"/>
    <s v="West"/>
    <x v="2"/>
    <n v="291.26"/>
    <n v="1165.04"/>
    <s v="Net Banking"/>
    <x v="0"/>
  </r>
  <r>
    <x v="312"/>
    <s v="CUST132"/>
    <d v="2025-07-08T00:00:00"/>
    <s v="Electronics"/>
    <s v="West"/>
    <x v="1"/>
    <n v="467.62"/>
    <n v="467.62"/>
    <s v="Credit Card"/>
    <x v="0"/>
  </r>
  <r>
    <x v="313"/>
    <s v="CUST246"/>
    <d v="2025-02-22T00:00:00"/>
    <s v="Beauty"/>
    <s v="East"/>
    <x v="6"/>
    <n v="385.64"/>
    <n v="1156.92"/>
    <s v="Wallet"/>
    <x v="0"/>
  </r>
  <r>
    <x v="314"/>
    <s v="CUST329"/>
    <d v="2025-01-21T00:00:00"/>
    <s v="Sports"/>
    <s v="South"/>
    <x v="5"/>
    <n v="44.72"/>
    <n v="313.04000000000002"/>
    <s v="Net Banking"/>
    <x v="0"/>
  </r>
  <r>
    <x v="315"/>
    <s v="CUST160"/>
    <d v="2024-07-01T00:00:00"/>
    <s v="Fashion"/>
    <s v="South"/>
    <x v="8"/>
    <n v="199.56"/>
    <n v="1796.04"/>
    <s v="Credit Card"/>
    <x v="0"/>
  </r>
  <r>
    <x v="316"/>
    <s v="CUST111"/>
    <d v="2024-11-01T00:00:00"/>
    <s v="Sports"/>
    <s v="West"/>
    <x v="7"/>
    <n v="338.38"/>
    <n v="2707.04"/>
    <s v="Wallet"/>
    <x v="0"/>
  </r>
  <r>
    <x v="317"/>
    <s v="CUST217"/>
    <d v="2024-09-10T00:00:00"/>
    <s v="Home"/>
    <s v="South"/>
    <x v="7"/>
    <n v="176.35"/>
    <n v="1410.8"/>
    <s v="Credit Card"/>
    <x v="0"/>
  </r>
  <r>
    <x v="318"/>
    <s v="CUST116"/>
    <d v="2025-11-07T00:00:00"/>
    <s v="Electronics"/>
    <s v="South"/>
    <x v="5"/>
    <n v="309.39"/>
    <n v="2165.73"/>
    <s v="UPI"/>
    <x v="0"/>
  </r>
  <r>
    <x v="319"/>
    <s v="CUST134"/>
    <d v="2024-04-13T00:00:00"/>
    <s v="Sports"/>
    <s v="North"/>
    <x v="9"/>
    <n v="21.62"/>
    <n v="216.2"/>
    <s v="UPI"/>
    <x v="0"/>
  </r>
  <r>
    <x v="320"/>
    <s v="CUST122"/>
    <d v="2025-02-15T00:00:00"/>
    <s v="Fashion"/>
    <s v="North"/>
    <x v="7"/>
    <n v="121"/>
    <n v="968"/>
    <s v="UPI"/>
    <x v="0"/>
  </r>
  <r>
    <x v="321"/>
    <s v="CUST357"/>
    <d v="2024-10-23T00:00:00"/>
    <s v="Sports"/>
    <s v="East"/>
    <x v="2"/>
    <n v="408.81"/>
    <n v="1635.24"/>
    <s v="Net Banking"/>
    <x v="0"/>
  </r>
  <r>
    <x v="322"/>
    <s v="CUST221"/>
    <d v="2024-11-05T00:00:00"/>
    <s v="Sports"/>
    <s v="South"/>
    <x v="6"/>
    <n v="492.92"/>
    <n v="1478.76"/>
    <s v="Wallet"/>
    <x v="0"/>
  </r>
  <r>
    <x v="323"/>
    <s v="CUST253"/>
    <d v="2024-10-08T00:00:00"/>
    <s v="Sports"/>
    <s v="South"/>
    <x v="1"/>
    <n v="280.58"/>
    <n v="280.58"/>
    <s v="Wallet"/>
    <x v="0"/>
  </r>
  <r>
    <x v="324"/>
    <s v="CUST384"/>
    <d v="2025-05-22T00:00:00"/>
    <s v="Beauty"/>
    <s v="East"/>
    <x v="1"/>
    <n v="486.28"/>
    <n v="486.28"/>
    <s v="Wallet"/>
    <x v="0"/>
  </r>
  <r>
    <x v="325"/>
    <s v="CUST309"/>
    <d v="2024-06-01T00:00:00"/>
    <s v="Sports"/>
    <s v="West"/>
    <x v="0"/>
    <n v="191.35"/>
    <n v="956.75"/>
    <s v="UPI"/>
    <x v="0"/>
  </r>
  <r>
    <x v="326"/>
    <s v="CUST215"/>
    <d v="2024-11-03T00:00:00"/>
    <s v="Electronics"/>
    <s v="West"/>
    <x v="6"/>
    <n v="403.86"/>
    <n v="1211.58"/>
    <s v="Wallet"/>
    <x v="0"/>
  </r>
  <r>
    <x v="327"/>
    <s v="CUST385"/>
    <d v="2025-06-26T00:00:00"/>
    <s v="Home"/>
    <s v="South"/>
    <x v="6"/>
    <n v="197.27"/>
    <n v="591.80999999999995"/>
    <s v="Net Banking"/>
    <x v="0"/>
  </r>
  <r>
    <x v="328"/>
    <s v="CUST140"/>
    <d v="2025-04-05T00:00:00"/>
    <s v="Fashion"/>
    <s v="North"/>
    <x v="3"/>
    <n v="50.77"/>
    <n v="304.62"/>
    <s v="Net Banking"/>
    <x v="0"/>
  </r>
  <r>
    <x v="329"/>
    <s v="CUST293"/>
    <d v="2025-11-20T00:00:00"/>
    <s v="Electronics"/>
    <s v="South"/>
    <x v="9"/>
    <n v="303.45"/>
    <n v="3034.5"/>
    <s v="UPI"/>
    <x v="0"/>
  </r>
  <r>
    <x v="330"/>
    <s v="CUST345"/>
    <d v="2024-08-01T00:00:00"/>
    <s v="Electronics"/>
    <s v="South"/>
    <x v="3"/>
    <n v="155.08000000000001"/>
    <n v="930.48"/>
    <s v="UPI"/>
    <x v="0"/>
  </r>
  <r>
    <x v="331"/>
    <s v="CUST160"/>
    <d v="2025-05-05T00:00:00"/>
    <s v="Fashion"/>
    <s v="West"/>
    <x v="2"/>
    <n v="349.34"/>
    <n v="1397.36"/>
    <s v="UPI"/>
    <x v="0"/>
  </r>
  <r>
    <x v="332"/>
    <s v="CUST382"/>
    <d v="2024-11-25T00:00:00"/>
    <s v="Sports"/>
    <s v="East"/>
    <x v="0"/>
    <n v="193.43"/>
    <n v="967.15"/>
    <s v="Net Banking"/>
    <x v="0"/>
  </r>
  <r>
    <x v="333"/>
    <s v="CUST233"/>
    <d v="2025-01-03T00:00:00"/>
    <s v="Beauty"/>
    <s v="North"/>
    <x v="8"/>
    <n v="441.99"/>
    <n v="3977.91"/>
    <s v="Wallet"/>
    <x v="0"/>
  </r>
  <r>
    <x v="334"/>
    <s v="CUST263"/>
    <d v="2024-07-27T00:00:00"/>
    <s v="Electronics"/>
    <s v="South"/>
    <x v="3"/>
    <n v="159.9"/>
    <n v="959.4"/>
    <s v="UPI"/>
    <x v="0"/>
  </r>
  <r>
    <x v="335"/>
    <s v="CUST108"/>
    <d v="2024-09-24T00:00:00"/>
    <s v="Sports"/>
    <s v="West"/>
    <x v="8"/>
    <n v="467.71"/>
    <n v="4209.3900000000003"/>
    <s v="Net Banking"/>
    <x v="0"/>
  </r>
  <r>
    <x v="336"/>
    <s v="CUST178"/>
    <d v="2024-07-19T00:00:00"/>
    <s v="Sports"/>
    <s v="South"/>
    <x v="3"/>
    <n v="118.86"/>
    <n v="713.16"/>
    <s v="Wallet"/>
    <x v="0"/>
  </r>
  <r>
    <x v="337"/>
    <s v="CUST381"/>
    <d v="2025-11-01T00:00:00"/>
    <s v="Beauty"/>
    <s v="West"/>
    <x v="3"/>
    <n v="132.38"/>
    <n v="794.28"/>
    <s v="Wallet"/>
    <x v="0"/>
  </r>
  <r>
    <x v="338"/>
    <s v="CUST186"/>
    <d v="2024-12-26T00:00:00"/>
    <s v="Sports"/>
    <s v="West"/>
    <x v="6"/>
    <n v="74.28"/>
    <n v="222.84"/>
    <s v="UPI"/>
    <x v="0"/>
  </r>
  <r>
    <x v="339"/>
    <s v="CUST377"/>
    <d v="2025-10-19T00:00:00"/>
    <s v="Electronics"/>
    <s v="North"/>
    <x v="1"/>
    <n v="264.35000000000002"/>
    <n v="264.35000000000002"/>
    <s v="Credit Card"/>
    <x v="0"/>
  </r>
  <r>
    <x v="340"/>
    <s v="CUST311"/>
    <d v="2024-05-20T00:00:00"/>
    <s v="Fashion"/>
    <s v="North"/>
    <x v="2"/>
    <n v="38.64"/>
    <n v="154.56"/>
    <s v="UPI"/>
    <x v="0"/>
  </r>
  <r>
    <x v="341"/>
    <s v="CUST358"/>
    <d v="2025-04-11T00:00:00"/>
    <s v="Sports"/>
    <s v="West"/>
    <x v="3"/>
    <n v="34.92"/>
    <n v="209.52"/>
    <s v="Wallet"/>
    <x v="0"/>
  </r>
  <r>
    <x v="342"/>
    <s v="CUST108"/>
    <d v="2024-01-07T00:00:00"/>
    <s v="Electronics"/>
    <s v="North"/>
    <x v="8"/>
    <n v="278.06"/>
    <n v="2502.54"/>
    <s v="Net Banking"/>
    <x v="0"/>
  </r>
  <r>
    <x v="343"/>
    <s v="CUST374"/>
    <d v="2024-10-20T00:00:00"/>
    <s v="Beauty"/>
    <s v="South"/>
    <x v="1"/>
    <n v="253.6"/>
    <n v="253.6"/>
    <s v="Credit Card"/>
    <x v="0"/>
  </r>
  <r>
    <x v="344"/>
    <s v="CUST149"/>
    <d v="2025-06-20T00:00:00"/>
    <s v="Sports"/>
    <s v="East"/>
    <x v="6"/>
    <n v="124.28"/>
    <n v="372.84"/>
    <s v="Net Banking"/>
    <x v="0"/>
  </r>
  <r>
    <x v="345"/>
    <s v="CUST236"/>
    <d v="2025-02-10T00:00:00"/>
    <s v="Beauty"/>
    <s v="West"/>
    <x v="4"/>
    <n v="189.66"/>
    <n v="379.32"/>
    <s v="UPI"/>
    <x v="0"/>
  </r>
  <r>
    <x v="346"/>
    <s v="CUST215"/>
    <d v="2024-11-03T00:00:00"/>
    <s v="Electronics"/>
    <s v="North"/>
    <x v="4"/>
    <n v="328.6"/>
    <n v="657.2"/>
    <s v="Wallet"/>
    <x v="0"/>
  </r>
  <r>
    <x v="347"/>
    <s v="CUST294"/>
    <d v="2025-01-21T00:00:00"/>
    <s v="Electronics"/>
    <s v="South"/>
    <x v="8"/>
    <n v="240.62"/>
    <n v="2165.58"/>
    <s v="Credit Card"/>
    <x v="0"/>
  </r>
  <r>
    <x v="348"/>
    <s v="CUST355"/>
    <d v="2025-03-20T00:00:00"/>
    <s v="Electronics"/>
    <s v="North"/>
    <x v="3"/>
    <n v="285.10000000000002"/>
    <n v="1710.6"/>
    <s v="UPI"/>
    <x v="0"/>
  </r>
  <r>
    <x v="349"/>
    <s v="CUST208"/>
    <d v="2025-12-09T00:00:00"/>
    <s v="Electronics"/>
    <s v="North"/>
    <x v="9"/>
    <n v="240.37"/>
    <n v="2403.6999999999998"/>
    <s v="Net Banking"/>
    <x v="0"/>
  </r>
  <r>
    <x v="350"/>
    <s v="CUST378"/>
    <d v="2025-07-31T00:00:00"/>
    <s v="Home"/>
    <s v="North"/>
    <x v="1"/>
    <n v="93.78"/>
    <n v="93.78"/>
    <s v="UPI"/>
    <x v="0"/>
  </r>
  <r>
    <x v="351"/>
    <s v="CUST173"/>
    <d v="2025-12-30T00:00:00"/>
    <s v="Home"/>
    <s v="South"/>
    <x v="5"/>
    <n v="464.79"/>
    <n v="3253.53"/>
    <s v="UPI"/>
    <x v="0"/>
  </r>
  <r>
    <x v="352"/>
    <s v="CUST390"/>
    <d v="2025-02-02T00:00:00"/>
    <s v="Fashion"/>
    <s v="North"/>
    <x v="8"/>
    <n v="169.21"/>
    <n v="1522.89"/>
    <s v="Net Banking"/>
    <x v="0"/>
  </r>
  <r>
    <x v="353"/>
    <s v="CUST127"/>
    <d v="2024-04-10T00:00:00"/>
    <s v="Electronics"/>
    <s v="East"/>
    <x v="5"/>
    <n v="119.91"/>
    <n v="839.37"/>
    <s v="Wallet"/>
    <x v="0"/>
  </r>
  <r>
    <x v="354"/>
    <s v="CUST267"/>
    <d v="2024-01-31T00:00:00"/>
    <s v="Beauty"/>
    <s v="West"/>
    <x v="0"/>
    <n v="392.86"/>
    <n v="1964.3"/>
    <s v="UPI"/>
    <x v="0"/>
  </r>
  <r>
    <x v="355"/>
    <s v="CUST282"/>
    <d v="2025-07-20T00:00:00"/>
    <s v="Sports"/>
    <s v="West"/>
    <x v="5"/>
    <n v="218.76"/>
    <n v="1531.32"/>
    <s v="Credit Card"/>
    <x v="0"/>
  </r>
  <r>
    <x v="356"/>
    <s v="CUST251"/>
    <d v="2024-09-09T00:00:00"/>
    <s v="Fashion"/>
    <s v="West"/>
    <x v="4"/>
    <n v="45.61"/>
    <n v="91.22"/>
    <s v="UPI"/>
    <x v="0"/>
  </r>
  <r>
    <x v="357"/>
    <s v="CUST299"/>
    <d v="2024-11-20T00:00:00"/>
    <s v="Electronics"/>
    <s v="East"/>
    <x v="3"/>
    <n v="57.74"/>
    <n v="346.44"/>
    <s v="Wallet"/>
    <x v="0"/>
  </r>
  <r>
    <x v="358"/>
    <s v="CUST284"/>
    <d v="2024-10-03T00:00:00"/>
    <s v="Fashion"/>
    <s v="West"/>
    <x v="4"/>
    <n v="70.59"/>
    <n v="141.18"/>
    <s v="Wallet"/>
    <x v="0"/>
  </r>
  <r>
    <x v="359"/>
    <s v="CUST385"/>
    <d v="2025-07-22T00:00:00"/>
    <s v="Electronics"/>
    <s v="North"/>
    <x v="8"/>
    <n v="206.98"/>
    <n v="1862.82"/>
    <s v="Net Banking"/>
    <x v="0"/>
  </r>
  <r>
    <x v="360"/>
    <s v="CUST383"/>
    <d v="2024-04-05T00:00:00"/>
    <s v="Home"/>
    <s v="West"/>
    <x v="9"/>
    <n v="301.02999999999997"/>
    <n v="3010.3"/>
    <s v="Credit Card"/>
    <x v="0"/>
  </r>
  <r>
    <x v="361"/>
    <s v="CUST249"/>
    <d v="2025-02-27T00:00:00"/>
    <s v="Sports"/>
    <s v="South"/>
    <x v="5"/>
    <n v="390.69"/>
    <n v="2734.83"/>
    <s v="UPI"/>
    <x v="0"/>
  </r>
  <r>
    <x v="362"/>
    <s v="CUST294"/>
    <d v="2024-06-22T00:00:00"/>
    <s v="Home"/>
    <s v="West"/>
    <x v="6"/>
    <n v="138.11000000000001"/>
    <n v="414.33"/>
    <s v="UPI"/>
    <x v="0"/>
  </r>
  <r>
    <x v="363"/>
    <s v="CUST132"/>
    <d v="2024-06-20T00:00:00"/>
    <s v="Home"/>
    <s v="West"/>
    <x v="5"/>
    <n v="141.6"/>
    <n v="991.2"/>
    <s v="Credit Card"/>
    <x v="0"/>
  </r>
  <r>
    <x v="364"/>
    <s v="CUST284"/>
    <d v="2024-09-14T00:00:00"/>
    <s v="Beauty"/>
    <s v="South"/>
    <x v="2"/>
    <n v="361.85"/>
    <n v="1447.4"/>
    <s v="Wallet"/>
    <x v="0"/>
  </r>
  <r>
    <x v="365"/>
    <s v="CUST154"/>
    <d v="2024-05-18T00:00:00"/>
    <s v="Beauty"/>
    <s v="East"/>
    <x v="0"/>
    <n v="8.35"/>
    <n v="41.75"/>
    <s v="Wallet"/>
    <x v="0"/>
  </r>
  <r>
    <x v="366"/>
    <s v="CUST268"/>
    <d v="2025-03-26T00:00:00"/>
    <s v="Sports"/>
    <s v="South"/>
    <x v="3"/>
    <n v="218.16"/>
    <n v="1308.96"/>
    <s v="Net Banking"/>
    <x v="0"/>
  </r>
  <r>
    <x v="367"/>
    <s v="CUST264"/>
    <d v="2025-09-09T00:00:00"/>
    <s v="Fashion"/>
    <s v="West"/>
    <x v="2"/>
    <n v="242.11"/>
    <n v="968.44"/>
    <s v="Net Banking"/>
    <x v="0"/>
  </r>
  <r>
    <x v="368"/>
    <s v="CUST249"/>
    <d v="2025-12-12T00:00:00"/>
    <s v="Fashion"/>
    <s v="East"/>
    <x v="7"/>
    <n v="484.04"/>
    <n v="3872.32"/>
    <s v="Wallet"/>
    <x v="0"/>
  </r>
  <r>
    <x v="369"/>
    <s v="CUST243"/>
    <d v="2025-02-06T00:00:00"/>
    <s v="Sports"/>
    <s v="South"/>
    <x v="3"/>
    <n v="61.37"/>
    <n v="368.22"/>
    <s v="UPI"/>
    <x v="0"/>
  </r>
  <r>
    <x v="370"/>
    <s v="CUST381"/>
    <d v="2024-01-28T00:00:00"/>
    <s v="Fashion"/>
    <s v="West"/>
    <x v="7"/>
    <n v="471.77"/>
    <n v="3774.16"/>
    <s v="Net Banking"/>
    <x v="0"/>
  </r>
  <r>
    <x v="371"/>
    <s v="CUST135"/>
    <d v="2025-02-22T00:00:00"/>
    <s v="Home"/>
    <s v="South"/>
    <x v="7"/>
    <n v="73.89"/>
    <n v="591.12"/>
    <s v="Net Banking"/>
    <x v="0"/>
  </r>
  <r>
    <x v="372"/>
    <s v="CUST178"/>
    <d v="2025-03-09T00:00:00"/>
    <s v="Sports"/>
    <s v="West"/>
    <x v="5"/>
    <n v="41.61"/>
    <n v="291.27"/>
    <s v="Wallet"/>
    <x v="0"/>
  </r>
  <r>
    <x v="373"/>
    <s v="CUST373"/>
    <d v="2025-06-02T00:00:00"/>
    <s v="Home"/>
    <s v="North"/>
    <x v="5"/>
    <n v="274.10000000000002"/>
    <n v="1918.7"/>
    <s v="Credit Card"/>
    <x v="0"/>
  </r>
  <r>
    <x v="374"/>
    <s v="CUST227"/>
    <d v="2025-11-04T00:00:00"/>
    <s v="Sports"/>
    <s v="North"/>
    <x v="3"/>
    <n v="87.34"/>
    <n v="524.04"/>
    <s v="Wallet"/>
    <x v="0"/>
  </r>
  <r>
    <x v="375"/>
    <s v="CUST269"/>
    <d v="2025-03-16T00:00:00"/>
    <s v="Home"/>
    <s v="South"/>
    <x v="4"/>
    <n v="10.220000000000001"/>
    <n v="20.440000000000001"/>
    <s v="UPI"/>
    <x v="0"/>
  </r>
  <r>
    <x v="376"/>
    <s v="CUST328"/>
    <d v="2025-01-18T00:00:00"/>
    <s v="Sports"/>
    <s v="South"/>
    <x v="5"/>
    <n v="234.22"/>
    <n v="1639.54"/>
    <s v="Net Banking"/>
    <x v="0"/>
  </r>
  <r>
    <x v="377"/>
    <s v="CUST112"/>
    <d v="2025-05-09T00:00:00"/>
    <s v="Electronics"/>
    <s v="North"/>
    <x v="4"/>
    <n v="151.24"/>
    <n v="302.48"/>
    <s v="UPI"/>
    <x v="0"/>
  </r>
  <r>
    <x v="378"/>
    <s v="CUST278"/>
    <d v="2024-11-15T00:00:00"/>
    <s v="Fashion"/>
    <s v="West"/>
    <x v="3"/>
    <n v="230.39"/>
    <n v="1382.34"/>
    <s v="Net Banking"/>
    <x v="0"/>
  </r>
  <r>
    <x v="379"/>
    <s v="CUST343"/>
    <d v="2024-04-09T00:00:00"/>
    <s v="Beauty"/>
    <s v="East"/>
    <x v="7"/>
    <n v="362.39"/>
    <n v="2899.12"/>
    <s v="Credit Card"/>
    <x v="0"/>
  </r>
  <r>
    <x v="380"/>
    <s v="CUST253"/>
    <d v="2024-02-15T00:00:00"/>
    <s v="Home"/>
    <s v="North"/>
    <x v="4"/>
    <n v="16.18"/>
    <n v="32.36"/>
    <s v="UPI"/>
    <x v="0"/>
  </r>
  <r>
    <x v="381"/>
    <s v="CUST224"/>
    <d v="2025-06-12T00:00:00"/>
    <s v="Home"/>
    <s v="West"/>
    <x v="6"/>
    <n v="278.2"/>
    <n v="834.6"/>
    <s v="Wallet"/>
    <x v="0"/>
  </r>
  <r>
    <x v="382"/>
    <s v="CUST218"/>
    <d v="2025-02-18T00:00:00"/>
    <s v="Beauty"/>
    <s v="West"/>
    <x v="6"/>
    <n v="97.26"/>
    <n v="291.77999999999997"/>
    <s v="Credit Card"/>
    <x v="0"/>
  </r>
  <r>
    <x v="383"/>
    <s v="CUST201"/>
    <d v="2025-04-05T00:00:00"/>
    <s v="Electronics"/>
    <s v="South"/>
    <x v="9"/>
    <n v="217.63"/>
    <n v="2176.3000000000002"/>
    <s v="UPI"/>
    <x v="0"/>
  </r>
  <r>
    <x v="384"/>
    <s v="CUST242"/>
    <d v="2025-12-21T00:00:00"/>
    <s v="Sports"/>
    <s v="South"/>
    <x v="4"/>
    <n v="290.79000000000002"/>
    <n v="581.58000000000004"/>
    <s v="Net Banking"/>
    <x v="0"/>
  </r>
  <r>
    <x v="385"/>
    <s v="CUST266"/>
    <d v="2024-07-20T00:00:00"/>
    <s v="Beauty"/>
    <s v="East"/>
    <x v="7"/>
    <n v="61.41"/>
    <n v="491.28"/>
    <s v="Wallet"/>
    <x v="0"/>
  </r>
  <r>
    <x v="386"/>
    <s v="CUST300"/>
    <d v="2025-08-24T00:00:00"/>
    <s v="Beauty"/>
    <s v="South"/>
    <x v="4"/>
    <n v="177.22"/>
    <n v="354.44"/>
    <s v="Net Banking"/>
    <x v="0"/>
  </r>
  <r>
    <x v="387"/>
    <s v="CUST143"/>
    <d v="2025-11-19T00:00:00"/>
    <s v="Fashion"/>
    <s v="East"/>
    <x v="6"/>
    <n v="160.03"/>
    <n v="480.09"/>
    <s v="Credit Card"/>
    <x v="0"/>
  </r>
  <r>
    <x v="388"/>
    <s v="CUST193"/>
    <d v="2025-01-17T00:00:00"/>
    <s v="Beauty"/>
    <s v="South"/>
    <x v="6"/>
    <n v="257.86"/>
    <n v="773.58"/>
    <s v="Wallet"/>
    <x v="0"/>
  </r>
  <r>
    <x v="389"/>
    <s v="CUST316"/>
    <d v="2024-07-09T00:00:00"/>
    <s v="Fashion"/>
    <s v="South"/>
    <x v="7"/>
    <n v="319.57"/>
    <n v="2556.56"/>
    <s v="Wallet"/>
    <x v="0"/>
  </r>
  <r>
    <x v="390"/>
    <s v="CUST247"/>
    <d v="2024-05-23T00:00:00"/>
    <s v="Beauty"/>
    <s v="North"/>
    <x v="6"/>
    <n v="160.72"/>
    <n v="482.16"/>
    <s v="Net Banking"/>
    <x v="0"/>
  </r>
  <r>
    <x v="391"/>
    <s v="CUST104"/>
    <d v="2025-05-11T00:00:00"/>
    <s v="Beauty"/>
    <s v="West"/>
    <x v="6"/>
    <n v="101.59"/>
    <n v="304.77"/>
    <s v="Wallet"/>
    <x v="0"/>
  </r>
  <r>
    <x v="392"/>
    <s v="CUST351"/>
    <d v="2025-03-01T00:00:00"/>
    <s v="Electronics"/>
    <s v="North"/>
    <x v="7"/>
    <n v="246.91"/>
    <n v="1975.28"/>
    <s v="UPI"/>
    <x v="0"/>
  </r>
  <r>
    <x v="393"/>
    <s v="CUST249"/>
    <d v="2024-02-03T00:00:00"/>
    <s v="Home"/>
    <s v="South"/>
    <x v="0"/>
    <n v="116.3"/>
    <n v="581.5"/>
    <s v="Wallet"/>
    <x v="0"/>
  </r>
  <r>
    <x v="394"/>
    <s v="CUST389"/>
    <d v="2025-05-22T00:00:00"/>
    <s v="Sports"/>
    <s v="North"/>
    <x v="8"/>
    <n v="257.85000000000002"/>
    <n v="2320.65"/>
    <s v="Net Banking"/>
    <x v="0"/>
  </r>
  <r>
    <x v="395"/>
    <s v="CUST378"/>
    <d v="2025-01-10T00:00:00"/>
    <s v="Electronics"/>
    <s v="West"/>
    <x v="8"/>
    <n v="412.19"/>
    <n v="3709.71"/>
    <s v="UPI"/>
    <x v="0"/>
  </r>
  <r>
    <x v="396"/>
    <s v="CUST317"/>
    <d v="2024-04-14T00:00:00"/>
    <s v="Electronics"/>
    <s v="West"/>
    <x v="2"/>
    <n v="152.37"/>
    <n v="609.48"/>
    <s v="Net Banking"/>
    <x v="0"/>
  </r>
  <r>
    <x v="397"/>
    <s v="CUST278"/>
    <d v="2024-03-30T00:00:00"/>
    <s v="Electronics"/>
    <s v="South"/>
    <x v="7"/>
    <n v="433.32"/>
    <n v="3466.56"/>
    <s v="UPI"/>
    <x v="0"/>
  </r>
  <r>
    <x v="398"/>
    <s v="CUST279"/>
    <d v="2025-12-28T00:00:00"/>
    <s v="Fashion"/>
    <s v="South"/>
    <x v="9"/>
    <n v="318.22000000000003"/>
    <n v="3182.2"/>
    <s v="UPI"/>
    <x v="0"/>
  </r>
  <r>
    <x v="399"/>
    <s v="CUST205"/>
    <d v="2024-03-01T00:00:00"/>
    <s v="Home"/>
    <s v="South"/>
    <x v="9"/>
    <n v="178.65"/>
    <n v="1786.5"/>
    <s v="Net Banking"/>
    <x v="0"/>
  </r>
  <r>
    <x v="400"/>
    <s v="CUST249"/>
    <d v="2024-10-23T00:00:00"/>
    <s v="Sports"/>
    <s v="North"/>
    <x v="9"/>
    <n v="137.33000000000001"/>
    <n v="1373.3"/>
    <s v="UPI"/>
    <x v="0"/>
  </r>
  <r>
    <x v="401"/>
    <s v="CUST310"/>
    <d v="2024-03-01T00:00:00"/>
    <s v="Fashion"/>
    <s v="South"/>
    <x v="0"/>
    <n v="434.19"/>
    <n v="2170.9499999999998"/>
    <s v="UPI"/>
    <x v="0"/>
  </r>
  <r>
    <x v="402"/>
    <s v="CUST174"/>
    <d v="2025-12-29T00:00:00"/>
    <s v="Beauty"/>
    <s v="West"/>
    <x v="3"/>
    <n v="415.1"/>
    <n v="2490.6"/>
    <s v="UPI"/>
    <x v="0"/>
  </r>
  <r>
    <x v="403"/>
    <s v="CUST395"/>
    <d v="2025-10-09T00:00:00"/>
    <s v="Beauty"/>
    <s v="West"/>
    <x v="0"/>
    <n v="315.77"/>
    <n v="1578.85"/>
    <s v="Credit Card"/>
    <x v="0"/>
  </r>
  <r>
    <x v="404"/>
    <s v="CUST147"/>
    <d v="2025-02-16T00:00:00"/>
    <s v="Home"/>
    <s v="West"/>
    <x v="8"/>
    <n v="376.15"/>
    <n v="3385.35"/>
    <s v="Wallet"/>
    <x v="0"/>
  </r>
  <r>
    <x v="405"/>
    <s v="CUST267"/>
    <d v="2025-08-18T00:00:00"/>
    <s v="Electronics"/>
    <s v="West"/>
    <x v="1"/>
    <n v="435.11"/>
    <n v="435.11"/>
    <s v="Net Banking"/>
    <x v="0"/>
  </r>
  <r>
    <x v="406"/>
    <s v="CUST132"/>
    <d v="2025-07-01T00:00:00"/>
    <s v="Beauty"/>
    <s v="South"/>
    <x v="5"/>
    <n v="112.83"/>
    <n v="789.81"/>
    <s v="Wallet"/>
    <x v="0"/>
  </r>
  <r>
    <x v="407"/>
    <s v="CUST237"/>
    <d v="2024-11-26T00:00:00"/>
    <s v="Sports"/>
    <s v="South"/>
    <x v="0"/>
    <n v="172.19"/>
    <n v="860.95"/>
    <s v="Wallet"/>
    <x v="0"/>
  </r>
  <r>
    <x v="408"/>
    <s v="CUST275"/>
    <d v="2025-11-29T00:00:00"/>
    <s v="Beauty"/>
    <s v="North"/>
    <x v="1"/>
    <n v="27.74"/>
    <n v="27.74"/>
    <s v="Credit Card"/>
    <x v="0"/>
  </r>
  <r>
    <x v="409"/>
    <s v="CUST180"/>
    <d v="2025-03-27T00:00:00"/>
    <s v="Beauty"/>
    <s v="South"/>
    <x v="7"/>
    <n v="5.33"/>
    <n v="42.64"/>
    <s v="UPI"/>
    <x v="0"/>
  </r>
  <r>
    <x v="410"/>
    <s v="CUST254"/>
    <d v="2024-06-11T00:00:00"/>
    <s v="Home"/>
    <s v="East"/>
    <x v="0"/>
    <n v="51.2"/>
    <n v="256"/>
    <s v="Credit Card"/>
    <x v="0"/>
  </r>
  <r>
    <x v="411"/>
    <s v="CUST290"/>
    <d v="2025-11-11T00:00:00"/>
    <s v="Home"/>
    <s v="South"/>
    <x v="6"/>
    <n v="30.63"/>
    <n v="91.89"/>
    <s v="Wallet"/>
    <x v="0"/>
  </r>
  <r>
    <x v="412"/>
    <s v="CUST146"/>
    <d v="2025-12-21T00:00:00"/>
    <s v="Beauty"/>
    <s v="North"/>
    <x v="4"/>
    <n v="5.54"/>
    <n v="11.08"/>
    <s v="UPI"/>
    <x v="0"/>
  </r>
  <r>
    <x v="413"/>
    <s v="CUST215"/>
    <d v="2025-06-15T00:00:00"/>
    <s v="Home"/>
    <s v="North"/>
    <x v="7"/>
    <n v="9.6"/>
    <n v="76.8"/>
    <s v="Wallet"/>
    <x v="0"/>
  </r>
  <r>
    <x v="414"/>
    <s v="CUST167"/>
    <d v="2025-05-04T00:00:00"/>
    <s v="Electronics"/>
    <s v="North"/>
    <x v="4"/>
    <n v="118.33"/>
    <n v="236.66"/>
    <s v="Credit Card"/>
    <x v="0"/>
  </r>
  <r>
    <x v="415"/>
    <s v="CUST260"/>
    <d v="2025-01-11T00:00:00"/>
    <s v="Fashion"/>
    <s v="South"/>
    <x v="0"/>
    <n v="72.88"/>
    <n v="364.4"/>
    <s v="Credit Card"/>
    <x v="0"/>
  </r>
  <r>
    <x v="416"/>
    <s v="CUST371"/>
    <d v="2025-07-30T00:00:00"/>
    <s v="Fashion"/>
    <s v="West"/>
    <x v="1"/>
    <n v="307.11"/>
    <n v="307.11"/>
    <s v="Net Banking"/>
    <x v="0"/>
  </r>
  <r>
    <x v="417"/>
    <s v="CUST209"/>
    <d v="2025-10-05T00:00:00"/>
    <s v="Sports"/>
    <s v="West"/>
    <x v="6"/>
    <n v="460.35"/>
    <n v="1381.05"/>
    <s v="UPI"/>
    <x v="0"/>
  </r>
  <r>
    <x v="418"/>
    <s v="CUST144"/>
    <d v="2024-04-12T00:00:00"/>
    <s v="Sports"/>
    <s v="West"/>
    <x v="6"/>
    <n v="377.46"/>
    <n v="1132.3800000000001"/>
    <s v="Net Banking"/>
    <x v="0"/>
  </r>
  <r>
    <x v="419"/>
    <s v="CUST319"/>
    <d v="2024-11-18T00:00:00"/>
    <s v="Electronics"/>
    <s v="South"/>
    <x v="6"/>
    <n v="127.65"/>
    <n v="382.95"/>
    <s v="Net Banking"/>
    <x v="0"/>
  </r>
  <r>
    <x v="420"/>
    <s v="CUST113"/>
    <d v="2025-11-05T00:00:00"/>
    <s v="Sports"/>
    <s v="South"/>
    <x v="0"/>
    <n v="106.7"/>
    <n v="533.5"/>
    <s v="Wallet"/>
    <x v="0"/>
  </r>
  <r>
    <x v="421"/>
    <s v="CUST251"/>
    <d v="2025-10-23T00:00:00"/>
    <s v="Fashion"/>
    <s v="West"/>
    <x v="1"/>
    <n v="392.98"/>
    <n v="392.98"/>
    <s v="Wallet"/>
    <x v="0"/>
  </r>
  <r>
    <x v="422"/>
    <s v="CUST157"/>
    <d v="2024-09-03T00:00:00"/>
    <s v="Electronics"/>
    <s v="North"/>
    <x v="7"/>
    <n v="320.85000000000002"/>
    <n v="2566.8000000000002"/>
    <s v="Net Banking"/>
    <x v="0"/>
  </r>
  <r>
    <x v="423"/>
    <s v="CUST262"/>
    <d v="2024-05-15T00:00:00"/>
    <s v="Sports"/>
    <s v="West"/>
    <x v="5"/>
    <n v="431.1"/>
    <n v="3017.7"/>
    <s v="Net Banking"/>
    <x v="0"/>
  </r>
  <r>
    <x v="424"/>
    <s v="CUST379"/>
    <d v="2025-11-30T00:00:00"/>
    <s v="Electronics"/>
    <s v="North"/>
    <x v="6"/>
    <n v="382.55"/>
    <n v="1147.6500000000001"/>
    <s v="Credit Card"/>
    <x v="0"/>
  </r>
  <r>
    <x v="425"/>
    <s v="CUST107"/>
    <d v="2024-09-25T00:00:00"/>
    <s v="Electronics"/>
    <s v="West"/>
    <x v="2"/>
    <n v="24.71"/>
    <n v="98.84"/>
    <s v="Net Banking"/>
    <x v="0"/>
  </r>
  <r>
    <x v="426"/>
    <s v="CUST356"/>
    <d v="2025-03-01T00:00:00"/>
    <s v="Electronics"/>
    <s v="South"/>
    <x v="5"/>
    <n v="352.4"/>
    <n v="2466.8000000000002"/>
    <s v="Net Banking"/>
    <x v="0"/>
  </r>
  <r>
    <x v="427"/>
    <s v="CUST142"/>
    <d v="2024-11-13T00:00:00"/>
    <s v="Fashion"/>
    <s v="South"/>
    <x v="4"/>
    <n v="258.10000000000002"/>
    <n v="516.20000000000005"/>
    <s v="Net Banking"/>
    <x v="0"/>
  </r>
  <r>
    <x v="428"/>
    <s v="CUST300"/>
    <d v="2025-08-23T00:00:00"/>
    <s v="Beauty"/>
    <s v="South"/>
    <x v="4"/>
    <n v="158.53"/>
    <n v="317.06"/>
    <s v="Credit Card"/>
    <x v="0"/>
  </r>
  <r>
    <x v="429"/>
    <s v="CUST225"/>
    <d v="2024-03-29T00:00:00"/>
    <s v="Sports"/>
    <s v="North"/>
    <x v="5"/>
    <n v="62.41"/>
    <n v="436.87"/>
    <s v="Net Banking"/>
    <x v="0"/>
  </r>
  <r>
    <x v="430"/>
    <s v="CUST189"/>
    <d v="2024-05-02T00:00:00"/>
    <s v="Electronics"/>
    <s v="South"/>
    <x v="1"/>
    <n v="355.41"/>
    <n v="355.41"/>
    <s v="Wallet"/>
    <x v="0"/>
  </r>
  <r>
    <x v="431"/>
    <s v="CUST277"/>
    <d v="2025-06-19T00:00:00"/>
    <s v="Home"/>
    <s v="South"/>
    <x v="8"/>
    <n v="392.58"/>
    <n v="3533.22"/>
    <s v="Net Banking"/>
    <x v="0"/>
  </r>
  <r>
    <x v="432"/>
    <s v="CUST164"/>
    <d v="2024-10-02T00:00:00"/>
    <s v="Electronics"/>
    <s v="East"/>
    <x v="4"/>
    <n v="386.86"/>
    <n v="773.72"/>
    <s v="Wallet"/>
    <x v="0"/>
  </r>
  <r>
    <x v="433"/>
    <s v="CUST239"/>
    <d v="2025-06-20T00:00:00"/>
    <s v="Sports"/>
    <s v="North"/>
    <x v="4"/>
    <n v="135.16"/>
    <n v="270.32"/>
    <s v="Wallet"/>
    <x v="0"/>
  </r>
  <r>
    <x v="434"/>
    <s v="CUST333"/>
    <d v="2025-06-07T00:00:00"/>
    <s v="Sports"/>
    <s v="South"/>
    <x v="3"/>
    <n v="32.44"/>
    <n v="194.64"/>
    <s v="Net Banking"/>
    <x v="0"/>
  </r>
  <r>
    <x v="435"/>
    <s v="CUST180"/>
    <d v="2024-09-18T00:00:00"/>
    <s v="Electronics"/>
    <s v="South"/>
    <x v="4"/>
    <n v="447.66"/>
    <n v="895.32"/>
    <s v="Credit Card"/>
    <x v="0"/>
  </r>
  <r>
    <x v="436"/>
    <s v="CUST122"/>
    <d v="2024-01-13T00:00:00"/>
    <s v="Home"/>
    <s v="West"/>
    <x v="2"/>
    <n v="27.76"/>
    <n v="111.04"/>
    <s v="UPI"/>
    <x v="0"/>
  </r>
  <r>
    <x v="437"/>
    <s v="CUST191"/>
    <d v="2024-02-06T00:00:00"/>
    <s v="Beauty"/>
    <s v="South"/>
    <x v="8"/>
    <n v="402.54"/>
    <n v="3622.86"/>
    <s v="Net Banking"/>
    <x v="0"/>
  </r>
  <r>
    <x v="438"/>
    <s v="CUST227"/>
    <d v="2025-03-02T00:00:00"/>
    <s v="Electronics"/>
    <s v="East"/>
    <x v="3"/>
    <n v="139.27000000000001"/>
    <n v="835.62"/>
    <s v="Credit Card"/>
    <x v="0"/>
  </r>
  <r>
    <x v="439"/>
    <s v="CUST357"/>
    <d v="2025-11-20T00:00:00"/>
    <s v="Sports"/>
    <s v="North"/>
    <x v="1"/>
    <n v="93.78"/>
    <n v="93.78"/>
    <s v="Wallet"/>
    <x v="0"/>
  </r>
  <r>
    <x v="440"/>
    <s v="CUST135"/>
    <d v="2025-04-21T00:00:00"/>
    <s v="Home"/>
    <s v="East"/>
    <x v="0"/>
    <n v="387.9"/>
    <n v="1939.5"/>
    <s v="Credit Card"/>
    <x v="0"/>
  </r>
  <r>
    <x v="441"/>
    <s v="CUST383"/>
    <d v="2025-04-12T00:00:00"/>
    <s v="Home"/>
    <s v="East"/>
    <x v="1"/>
    <n v="187.62"/>
    <n v="187.62"/>
    <s v="UPI"/>
    <x v="0"/>
  </r>
  <r>
    <x v="442"/>
    <s v="CUST337"/>
    <d v="2025-01-12T00:00:00"/>
    <s v="Fashion"/>
    <s v="South"/>
    <x v="9"/>
    <n v="486.07"/>
    <n v="4860.7"/>
    <s v="UPI"/>
    <x v="0"/>
  </r>
  <r>
    <x v="443"/>
    <s v="CUST103"/>
    <d v="2025-02-23T00:00:00"/>
    <s v="Home"/>
    <s v="North"/>
    <x v="1"/>
    <n v="120.33"/>
    <n v="120.33"/>
    <s v="Net Banking"/>
    <x v="0"/>
  </r>
  <r>
    <x v="444"/>
    <s v="CUST100"/>
    <d v="2025-11-04T00:00:00"/>
    <s v="Home"/>
    <s v="North"/>
    <x v="5"/>
    <n v="425.26"/>
    <n v="2976.82"/>
    <s v="UPI"/>
    <x v="0"/>
  </r>
  <r>
    <x v="445"/>
    <s v="CUST371"/>
    <d v="2024-08-31T00:00:00"/>
    <s v="Electronics"/>
    <s v="South"/>
    <x v="5"/>
    <n v="248.55"/>
    <n v="1739.85"/>
    <s v="Net Banking"/>
    <x v="0"/>
  </r>
  <r>
    <x v="446"/>
    <s v="CUST147"/>
    <d v="2024-02-14T00:00:00"/>
    <s v="Sports"/>
    <s v="West"/>
    <x v="2"/>
    <n v="449.16"/>
    <n v="1796.64"/>
    <s v="Net Banking"/>
    <x v="0"/>
  </r>
  <r>
    <x v="447"/>
    <s v="CUST334"/>
    <d v="2024-03-27T00:00:00"/>
    <s v="Fashion"/>
    <s v="West"/>
    <x v="9"/>
    <n v="52.31"/>
    <n v="523.1"/>
    <s v="Credit Card"/>
    <x v="0"/>
  </r>
  <r>
    <x v="448"/>
    <s v="CUST390"/>
    <d v="2024-03-04T00:00:00"/>
    <s v="Fashion"/>
    <s v="South"/>
    <x v="5"/>
    <n v="332.91"/>
    <n v="2330.37"/>
    <s v="Net Banking"/>
    <x v="0"/>
  </r>
  <r>
    <x v="449"/>
    <s v="CUST233"/>
    <d v="2024-11-18T00:00:00"/>
    <s v="Home"/>
    <s v="East"/>
    <x v="5"/>
    <n v="351.86"/>
    <n v="2463.02"/>
    <s v="Wallet"/>
    <x v="0"/>
  </r>
  <r>
    <x v="450"/>
    <s v="CUST239"/>
    <d v="2024-08-27T00:00:00"/>
    <s v="Fashion"/>
    <s v="North"/>
    <x v="4"/>
    <n v="472.06"/>
    <n v="944.12"/>
    <s v="UPI"/>
    <x v="0"/>
  </r>
  <r>
    <x v="451"/>
    <s v="CUST154"/>
    <d v="2024-06-17T00:00:00"/>
    <s v="Beauty"/>
    <s v="North"/>
    <x v="7"/>
    <n v="235.7"/>
    <n v="1885.6"/>
    <s v="Net Banking"/>
    <x v="0"/>
  </r>
  <r>
    <x v="452"/>
    <s v="CUST206"/>
    <d v="2025-04-07T00:00:00"/>
    <s v="Electronics"/>
    <s v="North"/>
    <x v="0"/>
    <n v="234.36"/>
    <n v="1171.8"/>
    <s v="UPI"/>
    <x v="0"/>
  </r>
  <r>
    <x v="453"/>
    <s v="CUST255"/>
    <d v="2025-12-22T00:00:00"/>
    <s v="Home"/>
    <s v="South"/>
    <x v="9"/>
    <n v="24.96"/>
    <n v="249.6"/>
    <s v="Credit Card"/>
    <x v="0"/>
  </r>
  <r>
    <x v="454"/>
    <s v="CUST227"/>
    <d v="2024-12-30T00:00:00"/>
    <s v="Home"/>
    <s v="East"/>
    <x v="5"/>
    <n v="259.16000000000003"/>
    <n v="1814.12"/>
    <s v="UPI"/>
    <x v="0"/>
  </r>
  <r>
    <x v="455"/>
    <s v="CUST115"/>
    <d v="2025-02-18T00:00:00"/>
    <s v="Sports"/>
    <s v="South"/>
    <x v="7"/>
    <n v="280.2"/>
    <n v="2241.6"/>
    <s v="Credit Card"/>
    <x v="0"/>
  </r>
  <r>
    <x v="456"/>
    <s v="CUST336"/>
    <d v="2024-04-14T00:00:00"/>
    <s v="Electronics"/>
    <s v="South"/>
    <x v="6"/>
    <n v="65.12"/>
    <n v="195.36"/>
    <s v="UPI"/>
    <x v="0"/>
  </r>
  <r>
    <x v="457"/>
    <s v="CUST201"/>
    <d v="2025-02-14T00:00:00"/>
    <s v="Electronics"/>
    <s v="East"/>
    <x v="3"/>
    <n v="344.71"/>
    <n v="2068.2600000000002"/>
    <s v="Credit Card"/>
    <x v="0"/>
  </r>
  <r>
    <x v="458"/>
    <s v="CUST111"/>
    <d v="2024-03-07T00:00:00"/>
    <s v="Beauty"/>
    <s v="South"/>
    <x v="2"/>
    <n v="451.74"/>
    <n v="1806.96"/>
    <s v="Credit Card"/>
    <x v="0"/>
  </r>
  <r>
    <x v="459"/>
    <s v="CUST269"/>
    <d v="2024-05-05T00:00:00"/>
    <s v="Electronics"/>
    <s v="South"/>
    <x v="1"/>
    <n v="471.43"/>
    <n v="471.43"/>
    <s v="Wallet"/>
    <x v="0"/>
  </r>
  <r>
    <x v="460"/>
    <s v="CUST302"/>
    <d v="2025-05-23T00:00:00"/>
    <s v="Beauty"/>
    <s v="South"/>
    <x v="1"/>
    <n v="194.45"/>
    <n v="194.45"/>
    <s v="Net Banking"/>
    <x v="0"/>
  </r>
  <r>
    <x v="461"/>
    <s v="CUST209"/>
    <d v="2024-07-10T00:00:00"/>
    <s v="Fashion"/>
    <s v="North"/>
    <x v="0"/>
    <n v="143.53"/>
    <n v="717.65"/>
    <s v="UPI"/>
    <x v="0"/>
  </r>
  <r>
    <x v="462"/>
    <s v="CUST251"/>
    <d v="2025-05-25T00:00:00"/>
    <s v="Beauty"/>
    <s v="North"/>
    <x v="5"/>
    <n v="441.98"/>
    <n v="3093.86"/>
    <s v="Credit Card"/>
    <x v="0"/>
  </r>
  <r>
    <x v="463"/>
    <s v="CUST243"/>
    <d v="2025-01-27T00:00:00"/>
    <s v="Sports"/>
    <s v="South"/>
    <x v="6"/>
    <n v="212.52"/>
    <n v="637.55999999999995"/>
    <s v="Credit Card"/>
    <x v="0"/>
  </r>
  <r>
    <x v="464"/>
    <s v="CUST295"/>
    <d v="2025-12-31T00:00:00"/>
    <s v="Beauty"/>
    <s v="East"/>
    <x v="3"/>
    <n v="242.44"/>
    <n v="1454.64"/>
    <s v="Net Banking"/>
    <x v="0"/>
  </r>
  <r>
    <x v="465"/>
    <s v="CUST298"/>
    <d v="2024-10-03T00:00:00"/>
    <s v="Sports"/>
    <s v="South"/>
    <x v="6"/>
    <n v="17.899999999999999"/>
    <n v="53.7"/>
    <s v="Credit Card"/>
    <x v="0"/>
  </r>
  <r>
    <x v="466"/>
    <s v="CUST243"/>
    <d v="2024-02-29T00:00:00"/>
    <s v="Sports"/>
    <s v="South"/>
    <x v="7"/>
    <n v="267.07"/>
    <n v="2136.56"/>
    <s v="UPI"/>
    <x v="0"/>
  </r>
  <r>
    <x v="467"/>
    <s v="CUST151"/>
    <d v="2024-09-10T00:00:00"/>
    <s v="Electronics"/>
    <s v="South"/>
    <x v="2"/>
    <n v="136.93"/>
    <n v="547.72"/>
    <s v="Wallet"/>
    <x v="0"/>
  </r>
  <r>
    <x v="468"/>
    <s v="CUST281"/>
    <d v="2024-06-26T00:00:00"/>
    <s v="Home"/>
    <s v="East"/>
    <x v="6"/>
    <n v="122.09"/>
    <n v="366.27"/>
    <s v="Credit Card"/>
    <x v="0"/>
  </r>
  <r>
    <x v="469"/>
    <s v="CUST280"/>
    <d v="2025-08-04T00:00:00"/>
    <s v="Fashion"/>
    <s v="West"/>
    <x v="9"/>
    <n v="75.34"/>
    <n v="753.4"/>
    <s v="Net Banking"/>
    <x v="0"/>
  </r>
  <r>
    <x v="470"/>
    <s v="CUST189"/>
    <d v="2025-05-17T00:00:00"/>
    <s v="Fashion"/>
    <s v="South"/>
    <x v="1"/>
    <n v="49.68"/>
    <n v="49.68"/>
    <s v="Credit Card"/>
    <x v="0"/>
  </r>
  <r>
    <x v="471"/>
    <s v="CUST369"/>
    <d v="2025-05-04T00:00:00"/>
    <s v="Sports"/>
    <s v="South"/>
    <x v="1"/>
    <n v="169.21"/>
    <n v="169.21"/>
    <s v="UPI"/>
    <x v="0"/>
  </r>
  <r>
    <x v="472"/>
    <s v="CUST274"/>
    <d v="2024-06-30T00:00:00"/>
    <s v="Fashion"/>
    <s v="South"/>
    <x v="3"/>
    <n v="34.479999999999997"/>
    <n v="206.88"/>
    <s v="Credit Card"/>
    <x v="0"/>
  </r>
  <r>
    <x v="473"/>
    <s v="CUST369"/>
    <d v="2025-01-08T00:00:00"/>
    <s v="Beauty"/>
    <s v="North"/>
    <x v="4"/>
    <n v="189.93"/>
    <n v="379.86"/>
    <s v="Net Banking"/>
    <x v="0"/>
  </r>
  <r>
    <x v="474"/>
    <s v="CUST254"/>
    <d v="2024-11-26T00:00:00"/>
    <s v="Beauty"/>
    <s v="West"/>
    <x v="6"/>
    <n v="488.05"/>
    <n v="1464.15"/>
    <s v="Net Banking"/>
    <x v="0"/>
  </r>
  <r>
    <x v="475"/>
    <s v="CUST189"/>
    <d v="2025-12-25T00:00:00"/>
    <s v="Sports"/>
    <s v="East"/>
    <x v="8"/>
    <n v="348.31"/>
    <n v="3134.79"/>
    <s v="UPI"/>
    <x v="0"/>
  </r>
  <r>
    <x v="476"/>
    <s v="CUST189"/>
    <d v="2025-01-22T00:00:00"/>
    <s v="Home"/>
    <s v="South"/>
    <x v="0"/>
    <n v="368.33"/>
    <n v="1841.65"/>
    <s v="UPI"/>
    <x v="0"/>
  </r>
  <r>
    <x v="477"/>
    <s v="CUST100"/>
    <d v="2025-12-19T00:00:00"/>
    <s v="Sports"/>
    <s v="North"/>
    <x v="9"/>
    <n v="198.84"/>
    <n v="1988.4"/>
    <s v="UPI"/>
    <x v="0"/>
  </r>
  <r>
    <x v="478"/>
    <s v="CUST262"/>
    <d v="2025-09-18T00:00:00"/>
    <s v="Electronics"/>
    <s v="West"/>
    <x v="2"/>
    <n v="321.63"/>
    <n v="1286.52"/>
    <s v="UPI"/>
    <x v="0"/>
  </r>
  <r>
    <x v="479"/>
    <s v="CUST269"/>
    <d v="2024-03-20T00:00:00"/>
    <s v="Home"/>
    <s v="South"/>
    <x v="2"/>
    <n v="176.67"/>
    <n v="706.68"/>
    <s v="Credit Card"/>
    <x v="0"/>
  </r>
  <r>
    <x v="480"/>
    <s v="CUST271"/>
    <d v="2025-04-02T00:00:00"/>
    <s v="Fashion"/>
    <s v="North"/>
    <x v="1"/>
    <n v="136.28"/>
    <n v="136.28"/>
    <s v="Net Banking"/>
    <x v="0"/>
  </r>
  <r>
    <x v="481"/>
    <s v="CUST231"/>
    <d v="2024-04-20T00:00:00"/>
    <s v="Beauty"/>
    <s v="West"/>
    <x v="1"/>
    <n v="28.83"/>
    <n v="28.83"/>
    <s v="UPI"/>
    <x v="0"/>
  </r>
  <r>
    <x v="482"/>
    <s v="CUST311"/>
    <d v="2025-05-19T00:00:00"/>
    <s v="Beauty"/>
    <s v="North"/>
    <x v="5"/>
    <n v="178.86"/>
    <n v="1252.02"/>
    <s v="Wallet"/>
    <x v="0"/>
  </r>
  <r>
    <x v="483"/>
    <s v="CUST395"/>
    <d v="2025-10-28T00:00:00"/>
    <s v="Electronics"/>
    <s v="North"/>
    <x v="2"/>
    <n v="85.51"/>
    <n v="342.04"/>
    <s v="Net Banking"/>
    <x v="0"/>
  </r>
  <r>
    <x v="484"/>
    <s v="CUST110"/>
    <d v="2024-11-22T00:00:00"/>
    <s v="Electronics"/>
    <s v="East"/>
    <x v="0"/>
    <n v="476.07"/>
    <n v="2380.35"/>
    <s v="UPI"/>
    <x v="0"/>
  </r>
  <r>
    <x v="485"/>
    <s v="CUST292"/>
    <d v="2024-06-13T00:00:00"/>
    <s v="Electronics"/>
    <s v="East"/>
    <x v="4"/>
    <n v="275.79000000000002"/>
    <n v="551.58000000000004"/>
    <s v="Wallet"/>
    <x v="0"/>
  </r>
  <r>
    <x v="486"/>
    <s v="CUST115"/>
    <d v="2025-03-17T00:00:00"/>
    <s v="Beauty"/>
    <s v="South"/>
    <x v="6"/>
    <n v="305.62"/>
    <n v="916.86"/>
    <s v="Credit Card"/>
    <x v="0"/>
  </r>
  <r>
    <x v="487"/>
    <s v="CUST151"/>
    <d v="2024-12-05T00:00:00"/>
    <s v="Beauty"/>
    <s v="East"/>
    <x v="2"/>
    <n v="487.33"/>
    <n v="1949.32"/>
    <s v="Net Banking"/>
    <x v="0"/>
  </r>
  <r>
    <x v="488"/>
    <s v="CUST252"/>
    <d v="2024-08-31T00:00:00"/>
    <s v="Sports"/>
    <s v="West"/>
    <x v="4"/>
    <n v="29.57"/>
    <n v="59.14"/>
    <s v="UPI"/>
    <x v="0"/>
  </r>
  <r>
    <x v="489"/>
    <s v="CUST127"/>
    <d v="2025-01-04T00:00:00"/>
    <s v="Home"/>
    <s v="West"/>
    <x v="1"/>
    <n v="216.66"/>
    <n v="216.66"/>
    <s v="UPI"/>
    <x v="0"/>
  </r>
  <r>
    <x v="490"/>
    <s v="CUST149"/>
    <d v="2024-01-27T00:00:00"/>
    <s v="Home"/>
    <s v="North"/>
    <x v="2"/>
    <n v="89.56"/>
    <n v="358.24"/>
    <s v="Wallet"/>
    <x v="0"/>
  </r>
  <r>
    <x v="491"/>
    <s v="CUST159"/>
    <d v="2024-11-11T00:00:00"/>
    <s v="Home"/>
    <s v="North"/>
    <x v="5"/>
    <n v="238.12"/>
    <n v="1666.84"/>
    <s v="Wallet"/>
    <x v="0"/>
  </r>
  <r>
    <x v="492"/>
    <s v="CUST194"/>
    <d v="2025-01-14T00:00:00"/>
    <s v="Beauty"/>
    <s v="North"/>
    <x v="5"/>
    <n v="187.85"/>
    <n v="1314.95"/>
    <s v="Net Banking"/>
    <x v="0"/>
  </r>
  <r>
    <x v="493"/>
    <s v="CUST325"/>
    <d v="2025-04-21T00:00:00"/>
    <s v="Home"/>
    <s v="North"/>
    <x v="0"/>
    <n v="116.99"/>
    <n v="584.95000000000005"/>
    <s v="UPI"/>
    <x v="0"/>
  </r>
  <r>
    <x v="494"/>
    <s v="CUST149"/>
    <d v="2024-03-28T00:00:00"/>
    <s v="Beauty"/>
    <s v="South"/>
    <x v="3"/>
    <n v="405.05"/>
    <n v="2430.3000000000002"/>
    <s v="Credit Card"/>
    <x v="0"/>
  </r>
  <r>
    <x v="495"/>
    <s v="CUST298"/>
    <d v="2025-06-19T00:00:00"/>
    <s v="Beauty"/>
    <s v="South"/>
    <x v="5"/>
    <n v="482.99"/>
    <n v="3380.93"/>
    <s v="Wallet"/>
    <x v="0"/>
  </r>
  <r>
    <x v="496"/>
    <s v="CUST253"/>
    <d v="2024-03-21T00:00:00"/>
    <s v="Electronics"/>
    <s v="South"/>
    <x v="5"/>
    <n v="451.87"/>
    <n v="3163.09"/>
    <s v="Credit Card"/>
    <x v="0"/>
  </r>
  <r>
    <x v="497"/>
    <s v="CUST329"/>
    <d v="2024-06-26T00:00:00"/>
    <s v="Fashion"/>
    <s v="South"/>
    <x v="6"/>
    <n v="486.22"/>
    <n v="1458.66"/>
    <s v="Credit Card"/>
    <x v="0"/>
  </r>
  <r>
    <x v="498"/>
    <s v="CUST316"/>
    <d v="2024-03-21T00:00:00"/>
    <s v="Fashion"/>
    <s v="East"/>
    <x v="5"/>
    <n v="104.95"/>
    <n v="734.65"/>
    <s v="Net Banking"/>
    <x v="0"/>
  </r>
  <r>
    <x v="499"/>
    <s v="CUST134"/>
    <d v="2024-03-30T00:00:00"/>
    <s v="Sports"/>
    <s v="East"/>
    <x v="5"/>
    <n v="280.39999999999998"/>
    <n v="1962.8"/>
    <s v="Net Banking"/>
    <x v="0"/>
  </r>
  <r>
    <x v="500"/>
    <s v="CUST366"/>
    <d v="2025-04-14T00:00:00"/>
    <s v="Sports"/>
    <s v="West"/>
    <x v="1"/>
    <n v="394.34"/>
    <n v="394.34"/>
    <s v="Credit Card"/>
    <x v="0"/>
  </r>
  <r>
    <x v="501"/>
    <s v="CUST312"/>
    <d v="2024-06-02T00:00:00"/>
    <s v="Sports"/>
    <s v="North"/>
    <x v="6"/>
    <n v="285.45999999999998"/>
    <n v="856.38"/>
    <s v="Credit Card"/>
    <x v="0"/>
  </r>
  <r>
    <x v="502"/>
    <s v="CUST388"/>
    <d v="2024-04-13T00:00:00"/>
    <s v="Home"/>
    <s v="West"/>
    <x v="0"/>
    <n v="434.4"/>
    <n v="2172"/>
    <s v="Net Banking"/>
    <x v="0"/>
  </r>
  <r>
    <x v="503"/>
    <s v="CUST296"/>
    <d v="2025-11-01T00:00:00"/>
    <s v="Beauty"/>
    <s v="North"/>
    <x v="7"/>
    <n v="288.14999999999998"/>
    <n v="2305.1999999999998"/>
    <s v="UPI"/>
    <x v="0"/>
  </r>
  <r>
    <x v="504"/>
    <s v="CUST241"/>
    <d v="2025-02-16T00:00:00"/>
    <s v="Beauty"/>
    <s v="North"/>
    <x v="6"/>
    <n v="311.02999999999997"/>
    <n v="933.09"/>
    <s v="Wallet"/>
    <x v="0"/>
  </r>
  <r>
    <x v="505"/>
    <s v="CUST269"/>
    <d v="2025-12-08T00:00:00"/>
    <s v="Beauty"/>
    <s v="East"/>
    <x v="2"/>
    <n v="29.4"/>
    <n v="117.6"/>
    <s v="Net Banking"/>
    <x v="0"/>
  </r>
  <r>
    <x v="506"/>
    <s v="CUST110"/>
    <d v="2024-12-11T00:00:00"/>
    <s v="Beauty"/>
    <s v="North"/>
    <x v="0"/>
    <n v="158.91999999999999"/>
    <n v="794.6"/>
    <s v="UPI"/>
    <x v="0"/>
  </r>
  <r>
    <x v="507"/>
    <s v="CUST168"/>
    <d v="2024-11-03T00:00:00"/>
    <s v="Home"/>
    <s v="East"/>
    <x v="7"/>
    <n v="388.15"/>
    <n v="3105.2"/>
    <s v="Wallet"/>
    <x v="0"/>
  </r>
  <r>
    <x v="508"/>
    <s v="CUST145"/>
    <d v="2024-07-11T00:00:00"/>
    <s v="Beauty"/>
    <s v="West"/>
    <x v="7"/>
    <n v="109.64"/>
    <n v="877.12"/>
    <s v="Net Banking"/>
    <x v="0"/>
  </r>
  <r>
    <x v="509"/>
    <s v="CUST128"/>
    <d v="2025-06-11T00:00:00"/>
    <s v="Sports"/>
    <s v="West"/>
    <x v="6"/>
    <n v="37.479999999999997"/>
    <n v="112.44"/>
    <s v="UPI"/>
    <x v="0"/>
  </r>
  <r>
    <x v="510"/>
    <s v="CUST368"/>
    <d v="2025-08-05T00:00:00"/>
    <s v="Fashion"/>
    <s v="North"/>
    <x v="1"/>
    <n v="91"/>
    <n v="91"/>
    <s v="UPI"/>
    <x v="0"/>
  </r>
  <r>
    <x v="511"/>
    <s v="CUST116"/>
    <d v="2025-04-12T00:00:00"/>
    <s v="Fashion"/>
    <s v="East"/>
    <x v="1"/>
    <n v="459.43"/>
    <n v="459.43"/>
    <s v="Net Banking"/>
    <x v="0"/>
  </r>
  <r>
    <x v="512"/>
    <s v="CUST337"/>
    <d v="2025-06-01T00:00:00"/>
    <s v="Electronics"/>
    <s v="North"/>
    <x v="5"/>
    <n v="319.52999999999997"/>
    <n v="2236.71"/>
    <s v="UPI"/>
    <x v="0"/>
  </r>
  <r>
    <x v="513"/>
    <s v="CUST290"/>
    <d v="2025-05-15T00:00:00"/>
    <s v="Beauty"/>
    <s v="East"/>
    <x v="9"/>
    <n v="225.82"/>
    <n v="2258.1999999999998"/>
    <s v="Net Banking"/>
    <x v="0"/>
  </r>
  <r>
    <x v="514"/>
    <s v="CUST183"/>
    <d v="2024-09-21T00:00:00"/>
    <s v="Beauty"/>
    <s v="North"/>
    <x v="4"/>
    <n v="146.11000000000001"/>
    <n v="292.22000000000003"/>
    <s v="UPI"/>
    <x v="0"/>
  </r>
  <r>
    <x v="515"/>
    <s v="CUST392"/>
    <d v="2024-08-07T00:00:00"/>
    <s v="Fashion"/>
    <s v="East"/>
    <x v="2"/>
    <n v="325.45"/>
    <n v="1301.8"/>
    <s v="Wallet"/>
    <x v="0"/>
  </r>
  <r>
    <x v="516"/>
    <s v="CUST362"/>
    <d v="2024-01-21T00:00:00"/>
    <s v="Fashion"/>
    <s v="South"/>
    <x v="1"/>
    <n v="239.68"/>
    <n v="239.68"/>
    <s v="Credit Card"/>
    <x v="0"/>
  </r>
  <r>
    <x v="517"/>
    <s v="CUST214"/>
    <d v="2024-09-15T00:00:00"/>
    <s v="Home"/>
    <s v="East"/>
    <x v="9"/>
    <n v="403.52"/>
    <n v="4035.2"/>
    <s v="Wallet"/>
    <x v="0"/>
  </r>
  <r>
    <x v="518"/>
    <s v="CUST292"/>
    <d v="2024-12-23T00:00:00"/>
    <s v="Beauty"/>
    <s v="East"/>
    <x v="7"/>
    <n v="129.74"/>
    <n v="1037.92"/>
    <s v="Wallet"/>
    <x v="0"/>
  </r>
  <r>
    <x v="519"/>
    <s v="CUST399"/>
    <d v="2024-04-14T00:00:00"/>
    <s v="Home"/>
    <s v="East"/>
    <x v="1"/>
    <n v="258.2"/>
    <n v="258.2"/>
    <s v="Net Banking"/>
    <x v="0"/>
  </r>
  <r>
    <x v="520"/>
    <s v="CUST155"/>
    <d v="2025-05-08T00:00:00"/>
    <s v="Home"/>
    <s v="East"/>
    <x v="4"/>
    <n v="171.46"/>
    <n v="342.92"/>
    <s v="Net Banking"/>
    <x v="0"/>
  </r>
  <r>
    <x v="521"/>
    <s v="CUST233"/>
    <d v="2025-11-02T00:00:00"/>
    <s v="Sports"/>
    <s v="South"/>
    <x v="0"/>
    <n v="98.24"/>
    <n v="491.2"/>
    <s v="Credit Card"/>
    <x v="0"/>
  </r>
  <r>
    <x v="522"/>
    <s v="CUST306"/>
    <d v="2025-11-07T00:00:00"/>
    <s v="Electronics"/>
    <s v="West"/>
    <x v="3"/>
    <n v="341.97"/>
    <n v="2051.8200000000002"/>
    <s v="Net Banking"/>
    <x v="0"/>
  </r>
  <r>
    <x v="523"/>
    <s v="CUST232"/>
    <d v="2025-03-04T00:00:00"/>
    <s v="Electronics"/>
    <s v="South"/>
    <x v="5"/>
    <n v="197.2"/>
    <n v="1380.4"/>
    <s v="Net Banking"/>
    <x v="0"/>
  </r>
  <r>
    <x v="524"/>
    <s v="CUST213"/>
    <d v="2025-12-03T00:00:00"/>
    <s v="Beauty"/>
    <s v="East"/>
    <x v="8"/>
    <n v="320.97000000000003"/>
    <n v="2888.73"/>
    <s v="Net Banking"/>
    <x v="0"/>
  </r>
  <r>
    <x v="525"/>
    <s v="CUST187"/>
    <d v="2025-11-04T00:00:00"/>
    <s v="Electronics"/>
    <s v="West"/>
    <x v="8"/>
    <n v="94.66"/>
    <n v="851.94"/>
    <s v="UPI"/>
    <x v="0"/>
  </r>
  <r>
    <x v="526"/>
    <s v="CUST232"/>
    <d v="2025-07-26T00:00:00"/>
    <s v="Home"/>
    <s v="North"/>
    <x v="6"/>
    <n v="473.73"/>
    <n v="1421.19"/>
    <s v="UPI"/>
    <x v="0"/>
  </r>
  <r>
    <x v="527"/>
    <s v="CUST281"/>
    <d v="2024-08-16T00:00:00"/>
    <s v="Home"/>
    <s v="East"/>
    <x v="0"/>
    <n v="213.13"/>
    <n v="1065.6500000000001"/>
    <s v="Net Banking"/>
    <x v="0"/>
  </r>
  <r>
    <x v="528"/>
    <s v="CUST399"/>
    <d v="2024-10-28T00:00:00"/>
    <s v="Beauty"/>
    <s v="North"/>
    <x v="7"/>
    <n v="426.35"/>
    <n v="3410.8"/>
    <s v="Credit Card"/>
    <x v="0"/>
  </r>
  <r>
    <x v="529"/>
    <s v="CUST341"/>
    <d v="2024-07-18T00:00:00"/>
    <s v="Beauty"/>
    <s v="East"/>
    <x v="8"/>
    <n v="64.31"/>
    <n v="578.79"/>
    <s v="Wallet"/>
    <x v="0"/>
  </r>
  <r>
    <x v="530"/>
    <s v="CUST127"/>
    <d v="2024-06-03T00:00:00"/>
    <s v="Home"/>
    <s v="West"/>
    <x v="6"/>
    <n v="496.21"/>
    <n v="1488.63"/>
    <s v="Wallet"/>
    <x v="0"/>
  </r>
  <r>
    <x v="531"/>
    <s v="CUST173"/>
    <d v="2024-11-19T00:00:00"/>
    <s v="Beauty"/>
    <s v="East"/>
    <x v="6"/>
    <n v="390.58"/>
    <n v="1171.74"/>
    <s v="UPI"/>
    <x v="0"/>
  </r>
  <r>
    <x v="532"/>
    <s v="CUST260"/>
    <d v="2025-10-11T00:00:00"/>
    <s v="Home"/>
    <s v="South"/>
    <x v="1"/>
    <n v="7.33"/>
    <n v="7.33"/>
    <s v="UPI"/>
    <x v="0"/>
  </r>
  <r>
    <x v="533"/>
    <s v="CUST395"/>
    <d v="2024-06-11T00:00:00"/>
    <s v="Electronics"/>
    <s v="South"/>
    <x v="7"/>
    <n v="393.68"/>
    <n v="3149.44"/>
    <s v="Wallet"/>
    <x v="0"/>
  </r>
  <r>
    <x v="534"/>
    <s v="CUST319"/>
    <d v="2025-02-17T00:00:00"/>
    <s v="Beauty"/>
    <s v="North"/>
    <x v="5"/>
    <n v="482.84"/>
    <n v="3379.88"/>
    <s v="Credit Card"/>
    <x v="0"/>
  </r>
  <r>
    <x v="535"/>
    <s v="CUST373"/>
    <d v="2024-07-23T00:00:00"/>
    <s v="Home"/>
    <s v="South"/>
    <x v="3"/>
    <n v="475.28"/>
    <n v="2851.68"/>
    <s v="Credit Card"/>
    <x v="0"/>
  </r>
  <r>
    <x v="536"/>
    <s v="CUST102"/>
    <d v="2025-10-03T00:00:00"/>
    <s v="Home"/>
    <s v="East"/>
    <x v="2"/>
    <n v="117"/>
    <n v="468"/>
    <s v="UPI"/>
    <x v="0"/>
  </r>
  <r>
    <x v="537"/>
    <s v="CUST152"/>
    <d v="2025-01-27T00:00:00"/>
    <s v="Fashion"/>
    <s v="North"/>
    <x v="8"/>
    <n v="296.39"/>
    <n v="2667.51"/>
    <s v="Credit Card"/>
    <x v="0"/>
  </r>
  <r>
    <x v="538"/>
    <s v="CUST252"/>
    <d v="2024-10-24T00:00:00"/>
    <s v="Sports"/>
    <s v="East"/>
    <x v="7"/>
    <n v="365.28"/>
    <n v="2922.24"/>
    <s v="Wallet"/>
    <x v="0"/>
  </r>
  <r>
    <x v="539"/>
    <s v="CUST168"/>
    <d v="2024-12-16T00:00:00"/>
    <s v="Fashion"/>
    <s v="South"/>
    <x v="7"/>
    <n v="182.83"/>
    <n v="1462.64"/>
    <s v="Wallet"/>
    <x v="0"/>
  </r>
  <r>
    <x v="540"/>
    <s v="CUST109"/>
    <d v="2024-08-21T00:00:00"/>
    <s v="Fashion"/>
    <s v="South"/>
    <x v="2"/>
    <n v="364.95"/>
    <n v="1459.8"/>
    <s v="Credit Card"/>
    <x v="0"/>
  </r>
  <r>
    <x v="541"/>
    <s v="CUST358"/>
    <d v="2024-06-22T00:00:00"/>
    <s v="Electronics"/>
    <s v="West"/>
    <x v="4"/>
    <n v="186.46"/>
    <n v="372.92"/>
    <s v="Net Banking"/>
    <x v="0"/>
  </r>
  <r>
    <x v="542"/>
    <s v="CUST373"/>
    <d v="2025-09-30T00:00:00"/>
    <s v="Electronics"/>
    <s v="North"/>
    <x v="1"/>
    <n v="298.99"/>
    <n v="298.99"/>
    <s v="Credit Card"/>
    <x v="0"/>
  </r>
  <r>
    <x v="543"/>
    <s v="CUST124"/>
    <d v="2025-12-07T00:00:00"/>
    <s v="Beauty"/>
    <s v="North"/>
    <x v="4"/>
    <n v="211.3"/>
    <n v="422.6"/>
    <s v="Net Banking"/>
    <x v="0"/>
  </r>
  <r>
    <x v="544"/>
    <s v="CUST342"/>
    <d v="2025-12-19T00:00:00"/>
    <s v="Electronics"/>
    <s v="East"/>
    <x v="6"/>
    <n v="106.72"/>
    <n v="320.16000000000003"/>
    <s v="Wallet"/>
    <x v="0"/>
  </r>
  <r>
    <x v="545"/>
    <s v="CUST151"/>
    <d v="2025-11-09T00:00:00"/>
    <s v="Sports"/>
    <s v="South"/>
    <x v="8"/>
    <n v="138.63999999999999"/>
    <n v="1247.76"/>
    <s v="Wallet"/>
    <x v="0"/>
  </r>
  <r>
    <x v="546"/>
    <s v="CUST153"/>
    <d v="2025-06-07T00:00:00"/>
    <s v="Electronics"/>
    <s v="North"/>
    <x v="9"/>
    <n v="63.28"/>
    <n v="632.79999999999995"/>
    <s v="Wallet"/>
    <x v="0"/>
  </r>
  <r>
    <x v="547"/>
    <s v="CUST201"/>
    <d v="2025-09-15T00:00:00"/>
    <s v="Sports"/>
    <s v="South"/>
    <x v="2"/>
    <n v="390.09"/>
    <n v="1560.36"/>
    <s v="Net Banking"/>
    <x v="0"/>
  </r>
  <r>
    <x v="548"/>
    <s v="CUST309"/>
    <d v="2024-10-29T00:00:00"/>
    <s v="Beauty"/>
    <s v="South"/>
    <x v="6"/>
    <n v="24.51"/>
    <n v="73.53"/>
    <s v="Wallet"/>
    <x v="0"/>
  </r>
  <r>
    <x v="549"/>
    <s v="CUST269"/>
    <d v="2024-08-28T00:00:00"/>
    <s v="Electronics"/>
    <s v="North"/>
    <x v="1"/>
    <n v="11.31"/>
    <n v="11.31"/>
    <s v="Wallet"/>
    <x v="0"/>
  </r>
  <r>
    <x v="550"/>
    <s v="CUST176"/>
    <d v="2024-04-02T00:00:00"/>
    <s v="Electronics"/>
    <s v="East"/>
    <x v="8"/>
    <n v="42.15"/>
    <n v="379.35"/>
    <s v="UPI"/>
    <x v="0"/>
  </r>
  <r>
    <x v="551"/>
    <s v="CUST333"/>
    <d v="2024-10-30T00:00:00"/>
    <s v="Electronics"/>
    <s v="South"/>
    <x v="0"/>
    <n v="234.82"/>
    <n v="1174.0999999999999"/>
    <s v="Credit Card"/>
    <x v="0"/>
  </r>
  <r>
    <x v="552"/>
    <s v="CUST248"/>
    <d v="2025-01-03T00:00:00"/>
    <s v="Electronics"/>
    <s v="North"/>
    <x v="3"/>
    <n v="215.87"/>
    <n v="1295.22"/>
    <s v="Credit Card"/>
    <x v="0"/>
  </r>
  <r>
    <x v="553"/>
    <s v="CUST104"/>
    <d v="2024-05-21T00:00:00"/>
    <s v="Beauty"/>
    <s v="East"/>
    <x v="6"/>
    <n v="167.69"/>
    <n v="503.07"/>
    <s v="Credit Card"/>
    <x v="0"/>
  </r>
  <r>
    <x v="554"/>
    <s v="CUST290"/>
    <d v="2024-12-16T00:00:00"/>
    <s v="Beauty"/>
    <s v="West"/>
    <x v="6"/>
    <n v="61.35"/>
    <n v="184.05"/>
    <s v="Net Banking"/>
    <x v="0"/>
  </r>
  <r>
    <x v="555"/>
    <s v="CUST297"/>
    <d v="2025-12-07T00:00:00"/>
    <s v="Fashion"/>
    <s v="North"/>
    <x v="7"/>
    <n v="400.95"/>
    <n v="3207.6"/>
    <s v="UPI"/>
    <x v="0"/>
  </r>
  <r>
    <x v="556"/>
    <s v="CUST130"/>
    <d v="2024-06-12T00:00:00"/>
    <s v="Sports"/>
    <s v="West"/>
    <x v="4"/>
    <n v="210.93"/>
    <n v="421.86"/>
    <s v="Wallet"/>
    <x v="0"/>
  </r>
  <r>
    <x v="557"/>
    <s v="CUST192"/>
    <d v="2025-09-17T00:00:00"/>
    <s v="Sports"/>
    <s v="North"/>
    <x v="5"/>
    <n v="390.69"/>
    <n v="2734.83"/>
    <s v="UPI"/>
    <x v="0"/>
  </r>
  <r>
    <x v="558"/>
    <s v="CUST347"/>
    <d v="2025-05-14T00:00:00"/>
    <s v="Beauty"/>
    <s v="North"/>
    <x v="4"/>
    <n v="444.36"/>
    <n v="888.72"/>
    <s v="Credit Card"/>
    <x v="0"/>
  </r>
  <r>
    <x v="559"/>
    <s v="CUST233"/>
    <d v="2025-11-01T00:00:00"/>
    <s v="Sports"/>
    <s v="South"/>
    <x v="3"/>
    <n v="11.12"/>
    <n v="66.72"/>
    <s v="Net Banking"/>
    <x v="0"/>
  </r>
  <r>
    <x v="560"/>
    <s v="CUST365"/>
    <d v="2025-06-19T00:00:00"/>
    <s v="Fashion"/>
    <s v="West"/>
    <x v="9"/>
    <n v="52.14"/>
    <n v="521.4"/>
    <s v="Net Banking"/>
    <x v="0"/>
  </r>
  <r>
    <x v="561"/>
    <s v="CUST297"/>
    <d v="2024-06-01T00:00:00"/>
    <s v="Sports"/>
    <s v="North"/>
    <x v="8"/>
    <n v="446.57"/>
    <n v="4019.13"/>
    <s v="Credit Card"/>
    <x v="0"/>
  </r>
  <r>
    <x v="562"/>
    <s v="CUST180"/>
    <d v="2025-06-01T00:00:00"/>
    <s v="Fashion"/>
    <s v="North"/>
    <x v="7"/>
    <n v="426.68"/>
    <n v="3413.44"/>
    <s v="Wallet"/>
    <x v="0"/>
  </r>
  <r>
    <x v="563"/>
    <s v="CUST264"/>
    <d v="2024-09-03T00:00:00"/>
    <s v="Electronics"/>
    <s v="South"/>
    <x v="3"/>
    <n v="485.22"/>
    <n v="2911.32"/>
    <s v="Wallet"/>
    <x v="0"/>
  </r>
  <r>
    <x v="564"/>
    <s v="CUST306"/>
    <d v="2024-08-28T00:00:00"/>
    <s v="Sports"/>
    <s v="West"/>
    <x v="4"/>
    <n v="232.25"/>
    <n v="464.5"/>
    <s v="Credit Card"/>
    <x v="0"/>
  </r>
  <r>
    <x v="565"/>
    <s v="CUST355"/>
    <d v="2025-04-02T00:00:00"/>
    <s v="Beauty"/>
    <s v="North"/>
    <x v="3"/>
    <n v="63.76"/>
    <n v="382.56"/>
    <s v="Credit Card"/>
    <x v="0"/>
  </r>
  <r>
    <x v="566"/>
    <s v="CUST306"/>
    <d v="2025-02-26T00:00:00"/>
    <s v="Electronics"/>
    <s v="North"/>
    <x v="1"/>
    <n v="280.77999999999997"/>
    <n v="280.77999999999997"/>
    <s v="Net Banking"/>
    <x v="0"/>
  </r>
  <r>
    <x v="567"/>
    <s v="CUST360"/>
    <d v="2025-07-29T00:00:00"/>
    <s v="Beauty"/>
    <s v="East"/>
    <x v="2"/>
    <n v="329.03"/>
    <n v="1316.12"/>
    <s v="Net Banking"/>
    <x v="0"/>
  </r>
  <r>
    <x v="568"/>
    <s v="CUST127"/>
    <d v="2024-08-16T00:00:00"/>
    <s v="Sports"/>
    <s v="West"/>
    <x v="7"/>
    <n v="169.33"/>
    <n v="1354.64"/>
    <s v="Net Banking"/>
    <x v="0"/>
  </r>
  <r>
    <x v="569"/>
    <s v="CUST331"/>
    <d v="2024-04-26T00:00:00"/>
    <s v="Fashion"/>
    <s v="North"/>
    <x v="4"/>
    <n v="380.86"/>
    <n v="761.72"/>
    <s v="Net Banking"/>
    <x v="0"/>
  </r>
  <r>
    <x v="570"/>
    <s v="CUST281"/>
    <d v="2025-10-10T00:00:00"/>
    <s v="Home"/>
    <s v="North"/>
    <x v="0"/>
    <n v="276.11"/>
    <n v="1380.55"/>
    <s v="Credit Card"/>
    <x v="0"/>
  </r>
  <r>
    <x v="571"/>
    <s v="CUST184"/>
    <d v="2025-05-19T00:00:00"/>
    <s v="Beauty"/>
    <s v="North"/>
    <x v="6"/>
    <n v="411.81"/>
    <n v="1235.43"/>
    <s v="Net Banking"/>
    <x v="0"/>
  </r>
  <r>
    <x v="572"/>
    <s v="CUST200"/>
    <d v="2024-07-11T00:00:00"/>
    <s v="Beauty"/>
    <s v="South"/>
    <x v="4"/>
    <n v="465.46"/>
    <n v="930.92"/>
    <s v="Wallet"/>
    <x v="0"/>
  </r>
  <r>
    <x v="573"/>
    <s v="CUST197"/>
    <d v="2024-12-12T00:00:00"/>
    <s v="Electronics"/>
    <s v="North"/>
    <x v="4"/>
    <n v="379.79"/>
    <n v="759.58"/>
    <s v="Wallet"/>
    <x v="0"/>
  </r>
  <r>
    <x v="574"/>
    <s v="CUST334"/>
    <d v="2025-11-05T00:00:00"/>
    <s v="Fashion"/>
    <s v="West"/>
    <x v="9"/>
    <n v="478.31"/>
    <n v="4783.1000000000004"/>
    <s v="Credit Card"/>
    <x v="0"/>
  </r>
  <r>
    <x v="575"/>
    <s v="CUST371"/>
    <d v="2024-02-19T00:00:00"/>
    <s v="Sports"/>
    <s v="West"/>
    <x v="8"/>
    <n v="467.98"/>
    <n v="4211.82"/>
    <s v="UPI"/>
    <x v="0"/>
  </r>
  <r>
    <x v="576"/>
    <s v="CUST396"/>
    <d v="2024-06-26T00:00:00"/>
    <s v="Sports"/>
    <s v="East"/>
    <x v="6"/>
    <n v="56.26"/>
    <n v="168.78"/>
    <s v="Wallet"/>
    <x v="0"/>
  </r>
  <r>
    <x v="577"/>
    <s v="CUST314"/>
    <d v="2025-09-15T00:00:00"/>
    <s v="Home"/>
    <s v="East"/>
    <x v="2"/>
    <n v="140.43"/>
    <n v="561.72"/>
    <s v="Wallet"/>
    <x v="0"/>
  </r>
  <r>
    <x v="578"/>
    <s v="CUST168"/>
    <d v="2024-05-21T00:00:00"/>
    <s v="Sports"/>
    <s v="East"/>
    <x v="5"/>
    <n v="303.25"/>
    <n v="2122.75"/>
    <s v="Net Banking"/>
    <x v="0"/>
  </r>
  <r>
    <x v="579"/>
    <s v="CUST383"/>
    <d v="2025-10-09T00:00:00"/>
    <s v="Sports"/>
    <s v="East"/>
    <x v="2"/>
    <n v="104.44"/>
    <n v="417.76"/>
    <s v="Net Banking"/>
    <x v="0"/>
  </r>
  <r>
    <x v="580"/>
    <s v="CUST167"/>
    <d v="2025-12-28T00:00:00"/>
    <s v="Home"/>
    <s v="North"/>
    <x v="6"/>
    <n v="254.43"/>
    <n v="763.29"/>
    <s v="Net Banking"/>
    <x v="0"/>
  </r>
  <r>
    <x v="581"/>
    <s v="CUST387"/>
    <d v="2025-05-06T00:00:00"/>
    <s v="Beauty"/>
    <s v="East"/>
    <x v="9"/>
    <n v="287.47000000000003"/>
    <n v="2874.7"/>
    <s v="Wallet"/>
    <x v="0"/>
  </r>
  <r>
    <x v="582"/>
    <s v="CUST106"/>
    <d v="2025-06-19T00:00:00"/>
    <s v="Fashion"/>
    <s v="North"/>
    <x v="4"/>
    <n v="17.510000000000002"/>
    <n v="35.020000000000003"/>
    <s v="Credit Card"/>
    <x v="0"/>
  </r>
  <r>
    <x v="583"/>
    <s v="CUST202"/>
    <d v="2024-09-30T00:00:00"/>
    <s v="Home"/>
    <s v="South"/>
    <x v="6"/>
    <n v="491.85"/>
    <n v="1475.55"/>
    <s v="Credit Card"/>
    <x v="0"/>
  </r>
  <r>
    <x v="584"/>
    <s v="CUST251"/>
    <d v="2024-07-27T00:00:00"/>
    <s v="Beauty"/>
    <s v="North"/>
    <x v="8"/>
    <n v="20.99"/>
    <n v="188.91"/>
    <s v="UPI"/>
    <x v="0"/>
  </r>
  <r>
    <x v="585"/>
    <s v="CUST387"/>
    <d v="2025-02-02T00:00:00"/>
    <s v="Home"/>
    <s v="North"/>
    <x v="2"/>
    <n v="257.91000000000003"/>
    <n v="1031.6400000000001"/>
    <s v="Wallet"/>
    <x v="0"/>
  </r>
  <r>
    <x v="586"/>
    <s v="CUST298"/>
    <d v="2025-03-02T00:00:00"/>
    <s v="Electronics"/>
    <s v="North"/>
    <x v="3"/>
    <n v="483.09"/>
    <n v="2898.54"/>
    <s v="Net Banking"/>
    <x v="0"/>
  </r>
  <r>
    <x v="587"/>
    <s v="CUST203"/>
    <d v="2025-09-27T00:00:00"/>
    <s v="Home"/>
    <s v="South"/>
    <x v="7"/>
    <n v="415.84"/>
    <n v="3326.72"/>
    <s v="UPI"/>
    <x v="0"/>
  </r>
  <r>
    <x v="588"/>
    <s v="CUST250"/>
    <d v="2025-04-04T00:00:00"/>
    <s v="Electronics"/>
    <s v="South"/>
    <x v="6"/>
    <n v="491.81"/>
    <n v="1475.43"/>
    <s v="UPI"/>
    <x v="0"/>
  </r>
  <r>
    <x v="589"/>
    <s v="CUST363"/>
    <d v="2024-05-02T00:00:00"/>
    <s v="Home"/>
    <s v="East"/>
    <x v="5"/>
    <n v="25.11"/>
    <n v="175.77"/>
    <s v="UPI"/>
    <x v="0"/>
  </r>
  <r>
    <x v="590"/>
    <s v="CUST182"/>
    <d v="2025-08-21T00:00:00"/>
    <s v="Beauty"/>
    <s v="South"/>
    <x v="0"/>
    <n v="7.79"/>
    <n v="38.950000000000003"/>
    <s v="Credit Card"/>
    <x v="0"/>
  </r>
  <r>
    <x v="591"/>
    <s v="CUST178"/>
    <d v="2024-11-26T00:00:00"/>
    <s v="Sports"/>
    <s v="East"/>
    <x v="9"/>
    <n v="30.17"/>
    <n v="301.7"/>
    <s v="Wallet"/>
    <x v="0"/>
  </r>
  <r>
    <x v="592"/>
    <s v="CUST393"/>
    <d v="2025-07-17T00:00:00"/>
    <s v="Home"/>
    <s v="South"/>
    <x v="3"/>
    <n v="41.08"/>
    <n v="246.48"/>
    <s v="UPI"/>
    <x v="0"/>
  </r>
  <r>
    <x v="593"/>
    <s v="CUST366"/>
    <d v="2024-03-10T00:00:00"/>
    <s v="Sports"/>
    <s v="West"/>
    <x v="8"/>
    <n v="83.89"/>
    <n v="755.01"/>
    <s v="Credit Card"/>
    <x v="0"/>
  </r>
  <r>
    <x v="594"/>
    <s v="CUST278"/>
    <d v="2024-08-14T00:00:00"/>
    <s v="Home"/>
    <s v="East"/>
    <x v="2"/>
    <n v="333.35"/>
    <n v="1333.4"/>
    <s v="Net Banking"/>
    <x v="0"/>
  </r>
  <r>
    <x v="595"/>
    <s v="CUST211"/>
    <d v="2025-09-25T00:00:00"/>
    <s v="Sports"/>
    <s v="North"/>
    <x v="8"/>
    <n v="240.05"/>
    <n v="2160.4499999999998"/>
    <s v="Credit Card"/>
    <x v="0"/>
  </r>
  <r>
    <x v="596"/>
    <s v="CUST277"/>
    <d v="2025-04-01T00:00:00"/>
    <s v="Sports"/>
    <s v="South"/>
    <x v="2"/>
    <n v="452.73"/>
    <n v="1810.92"/>
    <s v="Credit Card"/>
    <x v="0"/>
  </r>
  <r>
    <x v="597"/>
    <s v="CUST264"/>
    <d v="2025-01-25T00:00:00"/>
    <s v="Sports"/>
    <s v="East"/>
    <x v="4"/>
    <n v="196.01"/>
    <n v="392.02"/>
    <s v="Credit Card"/>
    <x v="0"/>
  </r>
  <r>
    <x v="598"/>
    <s v="CUST364"/>
    <d v="2025-01-18T00:00:00"/>
    <s v="Beauty"/>
    <s v="West"/>
    <x v="8"/>
    <n v="402.39"/>
    <n v="3621.51"/>
    <s v="Credit Card"/>
    <x v="0"/>
  </r>
  <r>
    <x v="599"/>
    <s v="CUST251"/>
    <d v="2025-10-29T00:00:00"/>
    <s v="Electronics"/>
    <s v="North"/>
    <x v="2"/>
    <n v="163.55000000000001"/>
    <n v="654.20000000000005"/>
    <s v="UPI"/>
    <x v="0"/>
  </r>
  <r>
    <x v="600"/>
    <s v="CUST375"/>
    <d v="2025-06-30T00:00:00"/>
    <s v="Fashion"/>
    <s v="South"/>
    <x v="1"/>
    <n v="315.33"/>
    <n v="315.33"/>
    <s v="Wallet"/>
    <x v="0"/>
  </r>
  <r>
    <x v="601"/>
    <s v="CUST153"/>
    <d v="2024-07-29T00:00:00"/>
    <s v="Beauty"/>
    <s v="North"/>
    <x v="8"/>
    <n v="415.23"/>
    <n v="3737.07"/>
    <s v="UPI"/>
    <x v="0"/>
  </r>
  <r>
    <x v="602"/>
    <s v="CUST112"/>
    <d v="2025-04-15T00:00:00"/>
    <s v="Electronics"/>
    <s v="North"/>
    <x v="3"/>
    <n v="23.75"/>
    <n v="142.5"/>
    <s v="UPI"/>
    <x v="0"/>
  </r>
  <r>
    <x v="603"/>
    <s v="CUST228"/>
    <d v="2025-07-25T00:00:00"/>
    <s v="Fashion"/>
    <s v="East"/>
    <x v="4"/>
    <n v="289.61"/>
    <n v="579.22"/>
    <s v="Wallet"/>
    <x v="0"/>
  </r>
  <r>
    <x v="604"/>
    <s v="CUST298"/>
    <d v="2025-04-06T00:00:00"/>
    <s v="Electronics"/>
    <s v="West"/>
    <x v="5"/>
    <n v="219.35"/>
    <n v="1535.45"/>
    <s v="Credit Card"/>
    <x v="0"/>
  </r>
  <r>
    <x v="605"/>
    <s v="CUST373"/>
    <d v="2024-01-07T00:00:00"/>
    <s v="Sports"/>
    <s v="North"/>
    <x v="9"/>
    <n v="36.299999999999997"/>
    <n v="363"/>
    <s v="Credit Card"/>
    <x v="0"/>
  </r>
  <r>
    <x v="606"/>
    <s v="CUST283"/>
    <d v="2025-05-29T00:00:00"/>
    <s v="Home"/>
    <s v="North"/>
    <x v="4"/>
    <n v="148.47"/>
    <n v="296.94"/>
    <s v="Net Banking"/>
    <x v="0"/>
  </r>
  <r>
    <x v="607"/>
    <s v="CUST324"/>
    <d v="2025-01-25T00:00:00"/>
    <s v="Electronics"/>
    <s v="West"/>
    <x v="5"/>
    <n v="411.95"/>
    <n v="2883.65"/>
    <s v="UPI"/>
    <x v="0"/>
  </r>
  <r>
    <x v="608"/>
    <s v="CUST373"/>
    <d v="2024-08-13T00:00:00"/>
    <s v="Sports"/>
    <s v="East"/>
    <x v="6"/>
    <n v="374.64"/>
    <n v="1123.92"/>
    <s v="UPI"/>
    <x v="0"/>
  </r>
  <r>
    <x v="609"/>
    <s v="CUST252"/>
    <d v="2025-11-24T00:00:00"/>
    <s v="Electronics"/>
    <s v="South"/>
    <x v="3"/>
    <n v="478.91"/>
    <n v="2873.46"/>
    <s v="Credit Card"/>
    <x v="0"/>
  </r>
  <r>
    <x v="610"/>
    <s v="CUST121"/>
    <d v="2024-01-06T00:00:00"/>
    <s v="Sports"/>
    <s v="North"/>
    <x v="9"/>
    <n v="300.33999999999997"/>
    <n v="3003.4"/>
    <s v="Net Banking"/>
    <x v="0"/>
  </r>
  <r>
    <x v="611"/>
    <s v="CUST207"/>
    <d v="2024-12-18T00:00:00"/>
    <s v="Sports"/>
    <s v="South"/>
    <x v="2"/>
    <n v="209.26"/>
    <n v="837.04"/>
    <s v="UPI"/>
    <x v="0"/>
  </r>
  <r>
    <x v="612"/>
    <s v="CUST194"/>
    <d v="2024-08-14T00:00:00"/>
    <s v="Fashion"/>
    <s v="North"/>
    <x v="9"/>
    <n v="418.2"/>
    <n v="4182"/>
    <s v="UPI"/>
    <x v="0"/>
  </r>
  <r>
    <x v="613"/>
    <s v="CUST390"/>
    <d v="2024-02-25T00:00:00"/>
    <s v="Sports"/>
    <s v="North"/>
    <x v="8"/>
    <n v="233.33"/>
    <n v="2099.9699999999998"/>
    <s v="Net Banking"/>
    <x v="0"/>
  </r>
  <r>
    <x v="614"/>
    <s v="CUST134"/>
    <d v="2024-09-13T00:00:00"/>
    <s v="Sports"/>
    <s v="West"/>
    <x v="4"/>
    <n v="102.72"/>
    <n v="205.44"/>
    <s v="Net Banking"/>
    <x v="0"/>
  </r>
  <r>
    <x v="615"/>
    <s v="CUST282"/>
    <d v="2024-05-11T00:00:00"/>
    <s v="Sports"/>
    <s v="North"/>
    <x v="2"/>
    <n v="54.52"/>
    <n v="218.08"/>
    <s v="UPI"/>
    <x v="0"/>
  </r>
  <r>
    <x v="616"/>
    <s v="CUST262"/>
    <d v="2025-05-12T00:00:00"/>
    <s v="Home"/>
    <s v="South"/>
    <x v="7"/>
    <n v="167.53"/>
    <n v="1340.24"/>
    <s v="Net Banking"/>
    <x v="0"/>
  </r>
  <r>
    <x v="617"/>
    <s v="CUST261"/>
    <d v="2025-03-14T00:00:00"/>
    <s v="Fashion"/>
    <s v="South"/>
    <x v="6"/>
    <n v="7.39"/>
    <n v="22.17"/>
    <s v="Wallet"/>
    <x v="0"/>
  </r>
  <r>
    <x v="618"/>
    <s v="CUST241"/>
    <d v="2025-01-03T00:00:00"/>
    <s v="Home"/>
    <s v="West"/>
    <x v="6"/>
    <n v="341.39"/>
    <n v="1024.17"/>
    <s v="Wallet"/>
    <x v="0"/>
  </r>
  <r>
    <x v="619"/>
    <s v="CUST328"/>
    <d v="2025-01-02T00:00:00"/>
    <s v="Electronics"/>
    <s v="South"/>
    <x v="0"/>
    <n v="246.05"/>
    <n v="1230.25"/>
    <s v="Credit Card"/>
    <x v="0"/>
  </r>
  <r>
    <x v="620"/>
    <s v="CUST243"/>
    <d v="2024-05-23T00:00:00"/>
    <s v="Electronics"/>
    <s v="North"/>
    <x v="8"/>
    <n v="102.23"/>
    <n v="920.07"/>
    <s v="Credit Card"/>
    <x v="0"/>
  </r>
  <r>
    <x v="621"/>
    <s v="CUST359"/>
    <d v="2025-10-08T00:00:00"/>
    <s v="Sports"/>
    <s v="West"/>
    <x v="1"/>
    <n v="407.26"/>
    <n v="407.26"/>
    <s v="UPI"/>
    <x v="0"/>
  </r>
  <r>
    <x v="622"/>
    <s v="CUST118"/>
    <d v="2025-07-18T00:00:00"/>
    <s v="Sports"/>
    <s v="West"/>
    <x v="0"/>
    <n v="274.02"/>
    <n v="1370.1"/>
    <s v="UPI"/>
    <x v="0"/>
  </r>
  <r>
    <x v="623"/>
    <s v="CUST287"/>
    <d v="2025-02-05T00:00:00"/>
    <s v="Sports"/>
    <s v="East"/>
    <x v="2"/>
    <n v="446.26"/>
    <n v="1785.04"/>
    <s v="UPI"/>
    <x v="0"/>
  </r>
  <r>
    <x v="624"/>
    <s v="CUST337"/>
    <d v="2025-05-28T00:00:00"/>
    <s v="Home"/>
    <s v="North"/>
    <x v="8"/>
    <n v="49.82"/>
    <n v="448.38"/>
    <s v="UPI"/>
    <x v="0"/>
  </r>
  <r>
    <x v="625"/>
    <s v="CUST184"/>
    <d v="2025-06-10T00:00:00"/>
    <s v="Fashion"/>
    <s v="South"/>
    <x v="6"/>
    <n v="225.88"/>
    <n v="677.64"/>
    <s v="Wallet"/>
    <x v="0"/>
  </r>
  <r>
    <x v="626"/>
    <s v="CUST283"/>
    <d v="2024-02-11T00:00:00"/>
    <s v="Fashion"/>
    <s v="North"/>
    <x v="2"/>
    <n v="381.93"/>
    <n v="1527.72"/>
    <s v="Net Banking"/>
    <x v="0"/>
  </r>
  <r>
    <x v="627"/>
    <s v="CUST289"/>
    <d v="2024-08-27T00:00:00"/>
    <s v="Sports"/>
    <s v="East"/>
    <x v="1"/>
    <n v="335.95"/>
    <n v="335.95"/>
    <s v="Wallet"/>
    <x v="0"/>
  </r>
  <r>
    <x v="628"/>
    <s v="CUST340"/>
    <d v="2025-04-10T00:00:00"/>
    <s v="Home"/>
    <s v="North"/>
    <x v="1"/>
    <n v="24.75"/>
    <n v="24.75"/>
    <s v="Net Banking"/>
    <x v="0"/>
  </r>
  <r>
    <x v="629"/>
    <s v="CUST234"/>
    <d v="2025-08-15T00:00:00"/>
    <s v="Beauty"/>
    <s v="West"/>
    <x v="8"/>
    <n v="287.23"/>
    <n v="2585.0700000000002"/>
    <s v="Net Banking"/>
    <x v="1"/>
  </r>
  <r>
    <x v="630"/>
    <s v="CUST139"/>
    <d v="2025-06-13T00:00:00"/>
    <s v="Fashion"/>
    <s v="West"/>
    <x v="0"/>
    <n v="191.28"/>
    <n v="956.4"/>
    <s v="Net Banking"/>
    <x v="0"/>
  </r>
  <r>
    <x v="631"/>
    <s v="CUST276"/>
    <d v="2025-05-13T00:00:00"/>
    <s v="Electronics"/>
    <s v="South"/>
    <x v="7"/>
    <n v="444.15"/>
    <n v="3553.2"/>
    <s v="Wallet"/>
    <x v="0"/>
  </r>
  <r>
    <x v="632"/>
    <s v="CUST184"/>
    <d v="2024-08-23T00:00:00"/>
    <s v="Home"/>
    <s v="South"/>
    <x v="4"/>
    <n v="259.7"/>
    <n v="519.4"/>
    <s v="UPI"/>
    <x v="0"/>
  </r>
  <r>
    <x v="633"/>
    <s v="CUST195"/>
    <d v="2024-06-10T00:00:00"/>
    <s v="Electronics"/>
    <s v="South"/>
    <x v="3"/>
    <n v="303"/>
    <n v="1818"/>
    <s v="Wallet"/>
    <x v="0"/>
  </r>
  <r>
    <x v="634"/>
    <s v="CUST269"/>
    <d v="2024-04-26T00:00:00"/>
    <s v="Beauty"/>
    <s v="South"/>
    <x v="7"/>
    <n v="339.24"/>
    <n v="2713.92"/>
    <s v="UPI"/>
    <x v="0"/>
  </r>
  <r>
    <x v="635"/>
    <s v="CUST310"/>
    <d v="2024-01-23T00:00:00"/>
    <s v="Sports"/>
    <s v="South"/>
    <x v="2"/>
    <n v="26.36"/>
    <n v="105.44"/>
    <s v="UPI"/>
    <x v="0"/>
  </r>
  <r>
    <x v="636"/>
    <s v="CUST362"/>
    <d v="2024-02-10T00:00:00"/>
    <s v="Fashion"/>
    <s v="East"/>
    <x v="9"/>
    <n v="77.7"/>
    <n v="777"/>
    <s v="UPI"/>
    <x v="0"/>
  </r>
  <r>
    <x v="637"/>
    <s v="CUST364"/>
    <d v="2025-02-19T00:00:00"/>
    <s v="Electronics"/>
    <s v="East"/>
    <x v="9"/>
    <n v="484.78"/>
    <n v="4847.8"/>
    <s v="Credit Card"/>
    <x v="0"/>
  </r>
  <r>
    <x v="638"/>
    <s v="CUST210"/>
    <d v="2025-04-04T00:00:00"/>
    <s v="Beauty"/>
    <s v="South"/>
    <x v="9"/>
    <n v="496.42"/>
    <n v="4964.2"/>
    <s v="UPI"/>
    <x v="0"/>
  </r>
  <r>
    <x v="639"/>
    <s v="CUST310"/>
    <d v="2025-09-07T00:00:00"/>
    <s v="Fashion"/>
    <s v="East"/>
    <x v="6"/>
    <n v="398.33"/>
    <n v="1194.99"/>
    <s v="UPI"/>
    <x v="0"/>
  </r>
  <r>
    <x v="640"/>
    <s v="CUST275"/>
    <d v="2025-04-09T00:00:00"/>
    <s v="Fashion"/>
    <s v="West"/>
    <x v="9"/>
    <n v="297.35000000000002"/>
    <n v="2973.5"/>
    <s v="Wallet"/>
    <x v="0"/>
  </r>
  <r>
    <x v="641"/>
    <s v="CUST167"/>
    <d v="2024-04-21T00:00:00"/>
    <s v="Sports"/>
    <s v="West"/>
    <x v="1"/>
    <n v="105.16"/>
    <n v="105.16"/>
    <s v="UPI"/>
    <x v="0"/>
  </r>
  <r>
    <x v="642"/>
    <s v="CUST149"/>
    <d v="2024-06-30T00:00:00"/>
    <s v="Sports"/>
    <s v="North"/>
    <x v="7"/>
    <n v="451.3"/>
    <n v="3610.4"/>
    <s v="Credit Card"/>
    <x v="0"/>
  </r>
  <r>
    <x v="643"/>
    <s v="CUST147"/>
    <d v="2025-05-08T00:00:00"/>
    <s v="Sports"/>
    <s v="North"/>
    <x v="6"/>
    <n v="451.48"/>
    <n v="1354.44"/>
    <s v="Wallet"/>
    <x v="0"/>
  </r>
  <r>
    <x v="644"/>
    <s v="CUST367"/>
    <d v="2025-03-06T00:00:00"/>
    <s v="Sports"/>
    <s v="West"/>
    <x v="3"/>
    <n v="438.04"/>
    <n v="2628.24"/>
    <s v="UPI"/>
    <x v="0"/>
  </r>
  <r>
    <x v="645"/>
    <s v="CUST346"/>
    <d v="2025-01-25T00:00:00"/>
    <s v="Sports"/>
    <s v="North"/>
    <x v="3"/>
    <n v="296.58"/>
    <n v="1779.48"/>
    <s v="Wallet"/>
    <x v="0"/>
  </r>
  <r>
    <x v="646"/>
    <s v="CUST168"/>
    <d v="2024-09-17T00:00:00"/>
    <s v="Electronics"/>
    <s v="East"/>
    <x v="7"/>
    <n v="384.1"/>
    <n v="3072.8"/>
    <s v="Wallet"/>
    <x v="0"/>
  </r>
  <r>
    <x v="647"/>
    <s v="CUST231"/>
    <d v="2024-07-12T00:00:00"/>
    <s v="Electronics"/>
    <s v="North"/>
    <x v="1"/>
    <n v="356.03"/>
    <n v="356.03"/>
    <s v="Credit Card"/>
    <x v="0"/>
  </r>
  <r>
    <x v="648"/>
    <s v="CUST292"/>
    <d v="2025-11-01T00:00:00"/>
    <s v="Home"/>
    <s v="West"/>
    <x v="2"/>
    <n v="345.44"/>
    <n v="1381.76"/>
    <s v="Net Banking"/>
    <x v="0"/>
  </r>
  <r>
    <x v="649"/>
    <s v="CUST154"/>
    <d v="2024-06-07T00:00:00"/>
    <s v="Home"/>
    <s v="East"/>
    <x v="5"/>
    <n v="327.52999999999997"/>
    <n v="2292.71"/>
    <s v="Wallet"/>
    <x v="0"/>
  </r>
  <r>
    <x v="650"/>
    <s v="CUST389"/>
    <d v="2025-01-09T00:00:00"/>
    <s v="Beauty"/>
    <s v="South"/>
    <x v="9"/>
    <n v="141.4"/>
    <n v="1414"/>
    <s v="Wallet"/>
    <x v="0"/>
  </r>
  <r>
    <x v="651"/>
    <s v="CUST382"/>
    <d v="2025-07-24T00:00:00"/>
    <s v="Sports"/>
    <s v="West"/>
    <x v="7"/>
    <n v="93.47"/>
    <n v="747.76"/>
    <s v="Net Banking"/>
    <x v="0"/>
  </r>
  <r>
    <x v="652"/>
    <s v="CUST257"/>
    <d v="2025-08-14T00:00:00"/>
    <s v="Beauty"/>
    <s v="South"/>
    <x v="3"/>
    <n v="388.23"/>
    <n v="2329.38"/>
    <s v="Credit Card"/>
    <x v="0"/>
  </r>
  <r>
    <x v="653"/>
    <s v="CUST217"/>
    <d v="2025-04-02T00:00:00"/>
    <s v="Sports"/>
    <s v="West"/>
    <x v="6"/>
    <n v="54.64"/>
    <n v="163.92"/>
    <s v="Net Banking"/>
    <x v="0"/>
  </r>
  <r>
    <x v="654"/>
    <s v="CUST381"/>
    <d v="2025-09-20T00:00:00"/>
    <s v="Electronics"/>
    <s v="North"/>
    <x v="1"/>
    <n v="84.57"/>
    <n v="84.57"/>
    <s v="UPI"/>
    <x v="0"/>
  </r>
  <r>
    <x v="655"/>
    <s v="CUST341"/>
    <d v="2025-09-06T00:00:00"/>
    <s v="Home"/>
    <s v="South"/>
    <x v="5"/>
    <n v="48.63"/>
    <n v="340.41"/>
    <s v="Net Banking"/>
    <x v="0"/>
  </r>
  <r>
    <x v="656"/>
    <s v="CUST140"/>
    <d v="2025-09-15T00:00:00"/>
    <s v="Beauty"/>
    <s v="East"/>
    <x v="1"/>
    <n v="363.62"/>
    <n v="363.62"/>
    <s v="Credit Card"/>
    <x v="0"/>
  </r>
  <r>
    <x v="657"/>
    <s v="CUST189"/>
    <d v="2025-10-17T00:00:00"/>
    <s v="Fashion"/>
    <s v="East"/>
    <x v="7"/>
    <n v="222.29"/>
    <n v="1778.32"/>
    <s v="UPI"/>
    <x v="0"/>
  </r>
  <r>
    <x v="658"/>
    <s v="CUST117"/>
    <d v="2025-09-05T00:00:00"/>
    <s v="Fashion"/>
    <s v="South"/>
    <x v="8"/>
    <n v="260.33"/>
    <n v="2342.9699999999998"/>
    <s v="Credit Card"/>
    <x v="0"/>
  </r>
  <r>
    <x v="659"/>
    <s v="CUST284"/>
    <d v="2024-09-01T00:00:00"/>
    <s v="Electronics"/>
    <s v="East"/>
    <x v="1"/>
    <n v="487.94"/>
    <n v="487.94"/>
    <s v="Wallet"/>
    <x v="0"/>
  </r>
  <r>
    <x v="660"/>
    <s v="CUST280"/>
    <d v="2025-11-16T00:00:00"/>
    <s v="Fashion"/>
    <s v="North"/>
    <x v="5"/>
    <n v="205.7"/>
    <n v="1439.9"/>
    <s v="Credit Card"/>
    <x v="0"/>
  </r>
  <r>
    <x v="661"/>
    <s v="CUST146"/>
    <d v="2025-07-16T00:00:00"/>
    <s v="Sports"/>
    <s v="East"/>
    <x v="0"/>
    <n v="364.44"/>
    <n v="1822.2"/>
    <s v="Net Banking"/>
    <x v="0"/>
  </r>
  <r>
    <x v="662"/>
    <s v="CUST241"/>
    <d v="2024-08-19T00:00:00"/>
    <s v="Beauty"/>
    <s v="West"/>
    <x v="9"/>
    <n v="481.71"/>
    <n v="4817.1000000000004"/>
    <s v="Credit Card"/>
    <x v="0"/>
  </r>
  <r>
    <x v="663"/>
    <s v="CUST233"/>
    <d v="2024-06-28T00:00:00"/>
    <s v="Sports"/>
    <s v="North"/>
    <x v="5"/>
    <n v="255.59"/>
    <n v="1789.13"/>
    <s v="Net Banking"/>
    <x v="0"/>
  </r>
  <r>
    <x v="664"/>
    <s v="CUST274"/>
    <d v="2024-04-29T00:00:00"/>
    <s v="Sports"/>
    <s v="East"/>
    <x v="8"/>
    <n v="478.57"/>
    <n v="4307.13"/>
    <s v="Wallet"/>
    <x v="0"/>
  </r>
  <r>
    <x v="665"/>
    <s v="CUST293"/>
    <d v="2025-07-30T00:00:00"/>
    <s v="Home"/>
    <s v="West"/>
    <x v="7"/>
    <n v="386.13"/>
    <n v="3089.04"/>
    <s v="Wallet"/>
    <x v="0"/>
  </r>
  <r>
    <x v="666"/>
    <s v="CUST114"/>
    <d v="2025-05-08T00:00:00"/>
    <s v="Beauty"/>
    <s v="South"/>
    <x v="4"/>
    <n v="132.62"/>
    <n v="265.24"/>
    <s v="UPI"/>
    <x v="0"/>
  </r>
  <r>
    <x v="667"/>
    <s v="CUST261"/>
    <d v="2025-02-26T00:00:00"/>
    <s v="Electronics"/>
    <s v="East"/>
    <x v="3"/>
    <n v="260.67"/>
    <n v="1564.02"/>
    <s v="UPI"/>
    <x v="0"/>
  </r>
  <r>
    <x v="668"/>
    <s v="CUST247"/>
    <d v="2024-04-05T00:00:00"/>
    <s v="Home"/>
    <s v="North"/>
    <x v="5"/>
    <n v="338.48"/>
    <n v="2369.36"/>
    <s v="UPI"/>
    <x v="0"/>
  </r>
  <r>
    <x v="669"/>
    <s v="CUST343"/>
    <d v="2024-11-17T00:00:00"/>
    <s v="Sports"/>
    <s v="East"/>
    <x v="3"/>
    <n v="113.19"/>
    <n v="679.14"/>
    <s v="UPI"/>
    <x v="0"/>
  </r>
  <r>
    <x v="670"/>
    <s v="CUST197"/>
    <d v="2025-05-25T00:00:00"/>
    <s v="Fashion"/>
    <s v="East"/>
    <x v="2"/>
    <n v="121.26"/>
    <n v="485.04"/>
    <s v="UPI"/>
    <x v="0"/>
  </r>
  <r>
    <x v="671"/>
    <s v="CUST217"/>
    <d v="2024-07-26T00:00:00"/>
    <s v="Home"/>
    <s v="South"/>
    <x v="2"/>
    <n v="418.99"/>
    <n v="1675.96"/>
    <s v="Credit Card"/>
    <x v="0"/>
  </r>
  <r>
    <x v="672"/>
    <s v="CUST161"/>
    <d v="2024-03-21T00:00:00"/>
    <s v="Sports"/>
    <s v="North"/>
    <x v="7"/>
    <n v="308.83999999999997"/>
    <n v="2470.7199999999998"/>
    <s v="Wallet"/>
    <x v="0"/>
  </r>
  <r>
    <x v="673"/>
    <s v="CUST290"/>
    <d v="2025-09-27T00:00:00"/>
    <s v="Sports"/>
    <s v="East"/>
    <x v="3"/>
    <n v="248.71"/>
    <n v="1492.26"/>
    <s v="Wallet"/>
    <x v="0"/>
  </r>
  <r>
    <x v="674"/>
    <s v="CUST193"/>
    <d v="2025-06-07T00:00:00"/>
    <s v="Sports"/>
    <s v="South"/>
    <x v="0"/>
    <n v="201.95"/>
    <n v="1009.75"/>
    <s v="Credit Card"/>
    <x v="0"/>
  </r>
  <r>
    <x v="675"/>
    <s v="CUST369"/>
    <d v="2025-03-09T00:00:00"/>
    <s v="Electronics"/>
    <s v="East"/>
    <x v="7"/>
    <n v="470.13"/>
    <n v="3761.04"/>
    <s v="Wallet"/>
    <x v="0"/>
  </r>
  <r>
    <x v="676"/>
    <s v="CUST189"/>
    <d v="2025-04-13T00:00:00"/>
    <s v="Beauty"/>
    <s v="East"/>
    <x v="4"/>
    <n v="350.63"/>
    <n v="701.26"/>
    <s v="Credit Card"/>
    <x v="0"/>
  </r>
  <r>
    <x v="677"/>
    <s v="CUST106"/>
    <d v="2025-11-21T00:00:00"/>
    <s v="Electronics"/>
    <s v="East"/>
    <x v="2"/>
    <n v="192.82"/>
    <n v="771.28"/>
    <s v="Net Banking"/>
    <x v="0"/>
  </r>
  <r>
    <x v="678"/>
    <s v="CUST232"/>
    <d v="2024-07-10T00:00:00"/>
    <s v="Home"/>
    <s v="West"/>
    <x v="8"/>
    <n v="135.11000000000001"/>
    <n v="1215.99"/>
    <s v="Net Banking"/>
    <x v="0"/>
  </r>
  <r>
    <x v="679"/>
    <s v="CUST287"/>
    <d v="2024-07-07T00:00:00"/>
    <s v="Beauty"/>
    <s v="East"/>
    <x v="7"/>
    <n v="214.85"/>
    <n v="1718.8"/>
    <s v="Net Banking"/>
    <x v="0"/>
  </r>
  <r>
    <x v="680"/>
    <s v="CUST305"/>
    <d v="2024-10-13T00:00:00"/>
    <s v="Fashion"/>
    <s v="South"/>
    <x v="7"/>
    <n v="94.05"/>
    <n v="752.4"/>
    <s v="Credit Card"/>
    <x v="0"/>
  </r>
  <r>
    <x v="681"/>
    <s v="CUST238"/>
    <d v="2024-08-29T00:00:00"/>
    <s v="Beauty"/>
    <s v="South"/>
    <x v="8"/>
    <n v="218.95"/>
    <n v="1970.55"/>
    <s v="UPI"/>
    <x v="0"/>
  </r>
  <r>
    <x v="682"/>
    <s v="CUST176"/>
    <d v="2025-04-29T00:00:00"/>
    <s v="Beauty"/>
    <s v="South"/>
    <x v="1"/>
    <n v="92.42"/>
    <n v="92.42"/>
    <s v="Net Banking"/>
    <x v="0"/>
  </r>
  <r>
    <x v="683"/>
    <s v="CUST349"/>
    <d v="2024-11-03T00:00:00"/>
    <s v="Sports"/>
    <s v="North"/>
    <x v="0"/>
    <n v="283.26"/>
    <n v="1416.3"/>
    <s v="Wallet"/>
    <x v="0"/>
  </r>
  <r>
    <x v="684"/>
    <s v="CUST150"/>
    <d v="2025-12-08T00:00:00"/>
    <s v="Home"/>
    <s v="West"/>
    <x v="6"/>
    <n v="34.72"/>
    <n v="104.16"/>
    <s v="Credit Card"/>
    <x v="0"/>
  </r>
  <r>
    <x v="685"/>
    <s v="CUST330"/>
    <d v="2024-12-08T00:00:00"/>
    <s v="Sports"/>
    <s v="East"/>
    <x v="0"/>
    <n v="183.68"/>
    <n v="918.4"/>
    <s v="Net Banking"/>
    <x v="0"/>
  </r>
  <r>
    <x v="686"/>
    <s v="CUST110"/>
    <d v="2025-02-25T00:00:00"/>
    <s v="Sports"/>
    <s v="South"/>
    <x v="4"/>
    <n v="178.79"/>
    <n v="357.58"/>
    <s v="UPI"/>
    <x v="0"/>
  </r>
  <r>
    <x v="687"/>
    <s v="CUST245"/>
    <d v="2024-12-29T00:00:00"/>
    <s v="Beauty"/>
    <s v="West"/>
    <x v="3"/>
    <n v="338.23"/>
    <n v="2029.38"/>
    <s v="Credit Card"/>
    <x v="0"/>
  </r>
  <r>
    <x v="688"/>
    <s v="CUST295"/>
    <d v="2025-09-20T00:00:00"/>
    <s v="Fashion"/>
    <s v="South"/>
    <x v="0"/>
    <n v="234.56"/>
    <n v="1172.8"/>
    <s v="Net Banking"/>
    <x v="0"/>
  </r>
  <r>
    <x v="689"/>
    <s v="CUST315"/>
    <d v="2025-10-08T00:00:00"/>
    <s v="Electronics"/>
    <s v="North"/>
    <x v="9"/>
    <n v="287.95999999999998"/>
    <n v="2879.6"/>
    <s v="UPI"/>
    <x v="0"/>
  </r>
  <r>
    <x v="690"/>
    <s v="CUST275"/>
    <d v="2024-08-21T00:00:00"/>
    <s v="Home"/>
    <s v="East"/>
    <x v="3"/>
    <n v="161.85"/>
    <n v="971.1"/>
    <s v="Wallet"/>
    <x v="0"/>
  </r>
  <r>
    <x v="691"/>
    <s v="CUST238"/>
    <d v="2025-03-31T00:00:00"/>
    <s v="Sports"/>
    <s v="West"/>
    <x v="3"/>
    <n v="375.21"/>
    <n v="2251.2600000000002"/>
    <s v="Wallet"/>
    <x v="0"/>
  </r>
  <r>
    <x v="692"/>
    <s v="CUST185"/>
    <d v="2024-07-07T00:00:00"/>
    <s v="Fashion"/>
    <s v="East"/>
    <x v="1"/>
    <n v="66.89"/>
    <n v="66.89"/>
    <s v="Credit Card"/>
    <x v="0"/>
  </r>
  <r>
    <x v="693"/>
    <s v="CUST207"/>
    <d v="2024-06-19T00:00:00"/>
    <s v="Electronics"/>
    <s v="West"/>
    <x v="5"/>
    <n v="55.99"/>
    <n v="391.93"/>
    <s v="Credit Card"/>
    <x v="0"/>
  </r>
  <r>
    <x v="694"/>
    <s v="CUST113"/>
    <d v="2025-02-10T00:00:00"/>
    <s v="Electronics"/>
    <s v="North"/>
    <x v="8"/>
    <n v="383.67"/>
    <n v="3453.03"/>
    <s v="Net Banking"/>
    <x v="0"/>
  </r>
  <r>
    <x v="695"/>
    <s v="CUST179"/>
    <d v="2024-03-27T00:00:00"/>
    <s v="Fashion"/>
    <s v="East"/>
    <x v="5"/>
    <n v="158.13999999999999"/>
    <n v="1106.98"/>
    <s v="Wallet"/>
    <x v="0"/>
  </r>
  <r>
    <x v="696"/>
    <s v="CUST164"/>
    <d v="2024-05-14T00:00:00"/>
    <s v="Electronics"/>
    <s v="North"/>
    <x v="8"/>
    <n v="420.07"/>
    <n v="3780.63"/>
    <s v="Net Banking"/>
    <x v="0"/>
  </r>
  <r>
    <x v="697"/>
    <s v="CUST266"/>
    <d v="2025-05-02T00:00:00"/>
    <s v="Sports"/>
    <s v="East"/>
    <x v="7"/>
    <n v="487.62"/>
    <n v="3900.96"/>
    <s v="Wallet"/>
    <x v="0"/>
  </r>
  <r>
    <x v="698"/>
    <s v="CUST169"/>
    <d v="2025-12-15T00:00:00"/>
    <s v="Sports"/>
    <s v="West"/>
    <x v="8"/>
    <n v="92.63"/>
    <n v="833.67"/>
    <s v="Wallet"/>
    <x v="0"/>
  </r>
  <r>
    <x v="699"/>
    <s v="CUST368"/>
    <d v="2025-10-17T00:00:00"/>
    <s v="Home"/>
    <s v="West"/>
    <x v="8"/>
    <n v="158.28"/>
    <n v="1424.52"/>
    <s v="UPI"/>
    <x v="0"/>
  </r>
  <r>
    <x v="700"/>
    <s v="CUST145"/>
    <d v="2025-03-28T00:00:00"/>
    <s v="Home"/>
    <s v="South"/>
    <x v="0"/>
    <n v="186.06"/>
    <n v="930.3"/>
    <s v="Net Banking"/>
    <x v="0"/>
  </r>
  <r>
    <x v="701"/>
    <s v="CUST105"/>
    <d v="2024-01-01T00:00:00"/>
    <s v="Fashion"/>
    <s v="East"/>
    <x v="8"/>
    <n v="408.61"/>
    <n v="3677.49"/>
    <s v="Net Banking"/>
    <x v="0"/>
  </r>
  <r>
    <x v="702"/>
    <s v="CUST340"/>
    <d v="2025-07-01T00:00:00"/>
    <s v="Beauty"/>
    <s v="West"/>
    <x v="1"/>
    <n v="345.45"/>
    <n v="345.45"/>
    <s v="Net Banking"/>
    <x v="0"/>
  </r>
  <r>
    <x v="703"/>
    <s v="CUST104"/>
    <d v="2025-03-16T00:00:00"/>
    <s v="Electronics"/>
    <s v="East"/>
    <x v="0"/>
    <n v="300.52"/>
    <n v="1502.6"/>
    <s v="UPI"/>
    <x v="0"/>
  </r>
  <r>
    <x v="704"/>
    <s v="CUST310"/>
    <d v="2025-07-28T00:00:00"/>
    <s v="Fashion"/>
    <s v="West"/>
    <x v="5"/>
    <n v="200.4"/>
    <n v="1402.8"/>
    <s v="Wallet"/>
    <x v="0"/>
  </r>
  <r>
    <x v="705"/>
    <s v="CUST212"/>
    <d v="2024-09-26T00:00:00"/>
    <s v="Fashion"/>
    <s v="East"/>
    <x v="4"/>
    <n v="214.01"/>
    <n v="428.02"/>
    <s v="Net Banking"/>
    <x v="0"/>
  </r>
  <r>
    <x v="706"/>
    <s v="CUST372"/>
    <d v="2024-10-02T00:00:00"/>
    <s v="Electronics"/>
    <s v="South"/>
    <x v="5"/>
    <n v="98.06"/>
    <n v="686.42"/>
    <s v="UPI"/>
    <x v="0"/>
  </r>
  <r>
    <x v="707"/>
    <s v="CUST248"/>
    <d v="2024-04-23T00:00:00"/>
    <s v="Home"/>
    <s v="West"/>
    <x v="7"/>
    <n v="310.77999999999997"/>
    <n v="2486.2399999999998"/>
    <s v="UPI"/>
    <x v="0"/>
  </r>
  <r>
    <x v="708"/>
    <s v="CUST264"/>
    <d v="2024-01-20T00:00:00"/>
    <s v="Sports"/>
    <s v="North"/>
    <x v="6"/>
    <n v="29.57"/>
    <n v="88.71"/>
    <s v="UPI"/>
    <x v="0"/>
  </r>
  <r>
    <x v="709"/>
    <s v="CUST152"/>
    <d v="2024-10-15T00:00:00"/>
    <s v="Beauty"/>
    <s v="North"/>
    <x v="0"/>
    <n v="66.89"/>
    <n v="334.45"/>
    <s v="UPI"/>
    <x v="0"/>
  </r>
  <r>
    <x v="710"/>
    <s v="CUST146"/>
    <d v="2024-06-03T00:00:00"/>
    <s v="Home"/>
    <s v="West"/>
    <x v="1"/>
    <n v="249.32"/>
    <n v="249.32"/>
    <s v="Net Banking"/>
    <x v="0"/>
  </r>
  <r>
    <x v="711"/>
    <s v="CUST355"/>
    <d v="2025-01-15T00:00:00"/>
    <s v="Electronics"/>
    <s v="East"/>
    <x v="7"/>
    <n v="349.98"/>
    <n v="2799.84"/>
    <s v="Credit Card"/>
    <x v="0"/>
  </r>
  <r>
    <x v="712"/>
    <s v="CUST174"/>
    <d v="2024-02-27T00:00:00"/>
    <s v="Electronics"/>
    <s v="West"/>
    <x v="0"/>
    <n v="388.95"/>
    <n v="1944.75"/>
    <s v="UPI"/>
    <x v="0"/>
  </r>
  <r>
    <x v="713"/>
    <s v="CUST198"/>
    <d v="2024-09-13T00:00:00"/>
    <s v="Electronics"/>
    <s v="South"/>
    <x v="5"/>
    <n v="414.98"/>
    <n v="2904.86"/>
    <s v="Wallet"/>
    <x v="0"/>
  </r>
  <r>
    <x v="714"/>
    <s v="CUST326"/>
    <d v="2024-09-10T00:00:00"/>
    <s v="Electronics"/>
    <s v="South"/>
    <x v="1"/>
    <n v="103.59"/>
    <n v="103.59"/>
    <s v="Wallet"/>
    <x v="0"/>
  </r>
  <r>
    <x v="715"/>
    <s v="CUST299"/>
    <d v="2025-11-28T00:00:00"/>
    <s v="Fashion"/>
    <s v="North"/>
    <x v="0"/>
    <n v="468.43"/>
    <n v="2342.15"/>
    <s v="Credit Card"/>
    <x v="0"/>
  </r>
  <r>
    <x v="716"/>
    <s v="CUST229"/>
    <d v="2025-05-07T00:00:00"/>
    <s v="Electronics"/>
    <s v="South"/>
    <x v="0"/>
    <n v="103.37"/>
    <n v="516.85"/>
    <s v="Credit Card"/>
    <x v="0"/>
  </r>
  <r>
    <x v="717"/>
    <s v="CUST220"/>
    <d v="2025-10-10T00:00:00"/>
    <s v="Fashion"/>
    <s v="East"/>
    <x v="5"/>
    <n v="165.63"/>
    <n v="1159.4100000000001"/>
    <s v="Credit Card"/>
    <x v="0"/>
  </r>
  <r>
    <x v="718"/>
    <s v="CUST302"/>
    <d v="2024-09-05T00:00:00"/>
    <s v="Sports"/>
    <s v="West"/>
    <x v="1"/>
    <n v="484.57"/>
    <n v="484.57"/>
    <s v="UPI"/>
    <x v="0"/>
  </r>
  <r>
    <x v="719"/>
    <s v="CUST290"/>
    <d v="2024-04-01T00:00:00"/>
    <s v="Electronics"/>
    <s v="East"/>
    <x v="2"/>
    <n v="83.06"/>
    <n v="332.24"/>
    <s v="Credit Card"/>
    <x v="0"/>
  </r>
  <r>
    <x v="720"/>
    <s v="CUST130"/>
    <d v="2024-12-30T00:00:00"/>
    <s v="Electronics"/>
    <s v="South"/>
    <x v="6"/>
    <n v="352.16"/>
    <n v="1056.48"/>
    <s v="Wallet"/>
    <x v="0"/>
  </r>
  <r>
    <x v="721"/>
    <s v="CUST219"/>
    <d v="2024-11-20T00:00:00"/>
    <s v="Home"/>
    <s v="West"/>
    <x v="8"/>
    <n v="395.34"/>
    <n v="3558.06"/>
    <s v="UPI"/>
    <x v="0"/>
  </r>
  <r>
    <x v="722"/>
    <s v="CUST110"/>
    <d v="2025-12-06T00:00:00"/>
    <s v="Fashion"/>
    <s v="East"/>
    <x v="5"/>
    <n v="182.29"/>
    <n v="1276.03"/>
    <s v="Credit Card"/>
    <x v="0"/>
  </r>
  <r>
    <x v="723"/>
    <s v="CUST348"/>
    <d v="2025-12-24T00:00:00"/>
    <s v="Sports"/>
    <s v="West"/>
    <x v="7"/>
    <n v="281.72000000000003"/>
    <n v="2253.7600000000002"/>
    <s v="UPI"/>
    <x v="0"/>
  </r>
  <r>
    <x v="724"/>
    <s v="CUST390"/>
    <d v="2024-07-10T00:00:00"/>
    <s v="Beauty"/>
    <s v="East"/>
    <x v="8"/>
    <n v="177.09"/>
    <n v="1593.81"/>
    <s v="UPI"/>
    <x v="0"/>
  </r>
  <r>
    <x v="725"/>
    <s v="CUST135"/>
    <d v="2025-06-27T00:00:00"/>
    <s v="Home"/>
    <s v="East"/>
    <x v="6"/>
    <n v="227.45"/>
    <n v="682.35"/>
    <s v="Wallet"/>
    <x v="0"/>
  </r>
  <r>
    <x v="726"/>
    <s v="CUST100"/>
    <d v="2025-10-15T00:00:00"/>
    <s v="Fashion"/>
    <s v="North"/>
    <x v="8"/>
    <n v="192.63"/>
    <n v="1733.67"/>
    <s v="Net Banking"/>
    <x v="0"/>
  </r>
  <r>
    <x v="727"/>
    <s v="CUST222"/>
    <d v="2024-11-24T00:00:00"/>
    <s v="Sports"/>
    <s v="West"/>
    <x v="4"/>
    <n v="330.85"/>
    <n v="661.7"/>
    <s v="UPI"/>
    <x v="0"/>
  </r>
  <r>
    <x v="728"/>
    <s v="CUST368"/>
    <d v="2025-11-30T00:00:00"/>
    <s v="Fashion"/>
    <s v="East"/>
    <x v="7"/>
    <n v="384.04"/>
    <n v="3072.32"/>
    <s v="Net Banking"/>
    <x v="0"/>
  </r>
  <r>
    <x v="729"/>
    <s v="CUST309"/>
    <d v="2025-10-18T00:00:00"/>
    <s v="Sports"/>
    <s v="North"/>
    <x v="3"/>
    <n v="59.68"/>
    <n v="358.08"/>
    <s v="Credit Card"/>
    <x v="0"/>
  </r>
  <r>
    <x v="730"/>
    <s v="CUST166"/>
    <d v="2024-07-01T00:00:00"/>
    <s v="Beauty"/>
    <s v="South"/>
    <x v="1"/>
    <n v="105.03"/>
    <n v="105.03"/>
    <s v="Credit Card"/>
    <x v="1"/>
  </r>
  <r>
    <x v="731"/>
    <s v="CUST116"/>
    <d v="2025-08-07T00:00:00"/>
    <s v="Sports"/>
    <s v="East"/>
    <x v="5"/>
    <n v="330.67"/>
    <n v="2314.69"/>
    <s v="Credit Card"/>
    <x v="0"/>
  </r>
  <r>
    <x v="732"/>
    <s v="CUST287"/>
    <d v="2024-08-14T00:00:00"/>
    <s v="Electronics"/>
    <s v="South"/>
    <x v="9"/>
    <n v="360.33"/>
    <n v="3603.3"/>
    <s v="Wallet"/>
    <x v="0"/>
  </r>
  <r>
    <x v="733"/>
    <s v="CUST140"/>
    <d v="2025-04-24T00:00:00"/>
    <s v="Beauty"/>
    <s v="East"/>
    <x v="1"/>
    <n v="183.66"/>
    <n v="183.66"/>
    <s v="Credit Card"/>
    <x v="0"/>
  </r>
  <r>
    <x v="734"/>
    <s v="CUST236"/>
    <d v="2025-06-25T00:00:00"/>
    <s v="Home"/>
    <s v="North"/>
    <x v="1"/>
    <n v="368.48"/>
    <n v="368.48"/>
    <s v="UPI"/>
    <x v="0"/>
  </r>
  <r>
    <x v="735"/>
    <s v="CUST365"/>
    <d v="2024-04-09T00:00:00"/>
    <s v="Sports"/>
    <s v="West"/>
    <x v="4"/>
    <n v="363.96"/>
    <n v="727.92"/>
    <s v="UPI"/>
    <x v="0"/>
  </r>
  <r>
    <x v="736"/>
    <s v="CUST198"/>
    <d v="2025-06-22T00:00:00"/>
    <s v="Fashion"/>
    <s v="West"/>
    <x v="2"/>
    <n v="287.16000000000003"/>
    <n v="1148.6400000000001"/>
    <s v="Credit Card"/>
    <x v="0"/>
  </r>
  <r>
    <x v="737"/>
    <s v="CUST395"/>
    <d v="2025-01-01T00:00:00"/>
    <s v="Beauty"/>
    <s v="North"/>
    <x v="7"/>
    <n v="352.76"/>
    <n v="2822.08"/>
    <s v="UPI"/>
    <x v="0"/>
  </r>
  <r>
    <x v="738"/>
    <s v="CUST192"/>
    <d v="2025-07-17T00:00:00"/>
    <s v="Fashion"/>
    <s v="West"/>
    <x v="5"/>
    <n v="254.82"/>
    <n v="1783.74"/>
    <s v="Net Banking"/>
    <x v="0"/>
  </r>
  <r>
    <x v="739"/>
    <s v="CUST261"/>
    <d v="2025-07-17T00:00:00"/>
    <s v="Beauty"/>
    <s v="West"/>
    <x v="3"/>
    <n v="423.2"/>
    <n v="2539.1999999999998"/>
    <s v="Net Banking"/>
    <x v="0"/>
  </r>
  <r>
    <x v="740"/>
    <s v="CUST223"/>
    <d v="2025-07-30T00:00:00"/>
    <s v="Sports"/>
    <s v="East"/>
    <x v="8"/>
    <n v="110.89"/>
    <n v="998.01"/>
    <s v="Net Banking"/>
    <x v="0"/>
  </r>
  <r>
    <x v="741"/>
    <s v="CUST331"/>
    <d v="2025-04-03T00:00:00"/>
    <s v="Electronics"/>
    <s v="East"/>
    <x v="5"/>
    <n v="5.0999999999999996"/>
    <n v="35.700000000000003"/>
    <s v="Credit Card"/>
    <x v="0"/>
  </r>
  <r>
    <x v="742"/>
    <s v="CUST365"/>
    <d v="2024-05-18T00:00:00"/>
    <s v="Fashion"/>
    <s v="South"/>
    <x v="0"/>
    <n v="8.25"/>
    <n v="41.25"/>
    <s v="Net Banking"/>
    <x v="0"/>
  </r>
  <r>
    <x v="743"/>
    <s v="CUST111"/>
    <d v="2025-12-07T00:00:00"/>
    <s v="Sports"/>
    <s v="South"/>
    <x v="0"/>
    <n v="459.96"/>
    <n v="2299.8000000000002"/>
    <s v="Credit Card"/>
    <x v="0"/>
  </r>
  <r>
    <x v="744"/>
    <s v="CUST119"/>
    <d v="2025-04-16T00:00:00"/>
    <s v="Home"/>
    <s v="East"/>
    <x v="3"/>
    <n v="82.27"/>
    <n v="493.62"/>
    <s v="UPI"/>
    <x v="0"/>
  </r>
  <r>
    <x v="745"/>
    <s v="CUST219"/>
    <d v="2024-09-19T00:00:00"/>
    <s v="Beauty"/>
    <s v="South"/>
    <x v="0"/>
    <n v="50.49"/>
    <n v="252.45"/>
    <s v="Credit Card"/>
    <x v="0"/>
  </r>
  <r>
    <x v="746"/>
    <s v="CUST266"/>
    <d v="2025-05-09T00:00:00"/>
    <s v="Sports"/>
    <s v="North"/>
    <x v="6"/>
    <n v="246.7"/>
    <n v="740.1"/>
    <s v="Net Banking"/>
    <x v="0"/>
  </r>
  <r>
    <x v="747"/>
    <s v="CUST119"/>
    <d v="2025-08-13T00:00:00"/>
    <s v="Electronics"/>
    <s v="East"/>
    <x v="5"/>
    <n v="43.85"/>
    <n v="306.95"/>
    <s v="Net Banking"/>
    <x v="0"/>
  </r>
  <r>
    <x v="748"/>
    <s v="CUST322"/>
    <d v="2025-03-02T00:00:00"/>
    <s v="Fashion"/>
    <s v="North"/>
    <x v="4"/>
    <n v="435.54"/>
    <n v="871.08"/>
    <s v="Wallet"/>
    <x v="0"/>
  </r>
  <r>
    <x v="749"/>
    <s v="CUST127"/>
    <d v="2024-11-08T00:00:00"/>
    <s v="Sports"/>
    <s v="South"/>
    <x v="8"/>
    <n v="25.39"/>
    <n v="228.51"/>
    <s v="Net Banking"/>
    <x v="0"/>
  </r>
  <r>
    <x v="750"/>
    <s v="CUST357"/>
    <d v="2025-12-15T00:00:00"/>
    <s v="Beauty"/>
    <s v="West"/>
    <x v="2"/>
    <n v="80.83"/>
    <n v="323.32"/>
    <s v="Credit Card"/>
    <x v="0"/>
  </r>
  <r>
    <x v="751"/>
    <s v="CUST213"/>
    <d v="2025-03-18T00:00:00"/>
    <s v="Fashion"/>
    <s v="South"/>
    <x v="0"/>
    <n v="394.25"/>
    <n v="1971.25"/>
    <s v="Net Banking"/>
    <x v="0"/>
  </r>
  <r>
    <x v="752"/>
    <s v="CUST142"/>
    <d v="2025-05-02T00:00:00"/>
    <s v="Sports"/>
    <s v="West"/>
    <x v="9"/>
    <n v="373.93"/>
    <n v="3739.3"/>
    <s v="Net Banking"/>
    <x v="0"/>
  </r>
  <r>
    <x v="753"/>
    <s v="CUST143"/>
    <d v="2025-02-12T00:00:00"/>
    <s v="Fashion"/>
    <s v="South"/>
    <x v="8"/>
    <n v="220.07"/>
    <n v="1980.63"/>
    <s v="Wallet"/>
    <x v="0"/>
  </r>
  <r>
    <x v="754"/>
    <s v="CUST386"/>
    <d v="2024-07-21T00:00:00"/>
    <s v="Sports"/>
    <s v="South"/>
    <x v="7"/>
    <n v="200.68"/>
    <n v="1605.44"/>
    <s v="UPI"/>
    <x v="0"/>
  </r>
  <r>
    <x v="755"/>
    <s v="CUST224"/>
    <d v="2024-03-14T00:00:00"/>
    <s v="Home"/>
    <s v="North"/>
    <x v="0"/>
    <n v="389.5"/>
    <n v="1947.5"/>
    <s v="Credit Card"/>
    <x v="0"/>
  </r>
  <r>
    <x v="756"/>
    <s v="CUST311"/>
    <d v="2025-03-09T00:00:00"/>
    <s v="Home"/>
    <s v="East"/>
    <x v="3"/>
    <n v="177.41"/>
    <n v="1064.46"/>
    <s v="Credit Card"/>
    <x v="0"/>
  </r>
  <r>
    <x v="757"/>
    <s v="CUST256"/>
    <d v="2024-06-22T00:00:00"/>
    <s v="Beauty"/>
    <s v="South"/>
    <x v="3"/>
    <n v="310.02999999999997"/>
    <n v="1860.18"/>
    <s v="Wallet"/>
    <x v="0"/>
  </r>
  <r>
    <x v="758"/>
    <s v="CUST122"/>
    <d v="2024-08-27T00:00:00"/>
    <s v="Fashion"/>
    <s v="North"/>
    <x v="2"/>
    <n v="344.25"/>
    <n v="1377"/>
    <s v="Credit Card"/>
    <x v="0"/>
  </r>
  <r>
    <x v="759"/>
    <s v="CUST127"/>
    <d v="2024-09-05T00:00:00"/>
    <s v="Home"/>
    <s v="North"/>
    <x v="9"/>
    <n v="463.73"/>
    <n v="4637.3"/>
    <s v="Net Banking"/>
    <x v="0"/>
  </r>
  <r>
    <x v="760"/>
    <s v="CUST156"/>
    <d v="2024-11-08T00:00:00"/>
    <s v="Home"/>
    <s v="South"/>
    <x v="7"/>
    <n v="238.24"/>
    <n v="1905.92"/>
    <s v="UPI"/>
    <x v="0"/>
  </r>
  <r>
    <x v="761"/>
    <s v="CUST204"/>
    <d v="2025-07-13T00:00:00"/>
    <s v="Sports"/>
    <s v="West"/>
    <x v="8"/>
    <n v="376.43"/>
    <n v="3387.87"/>
    <s v="UPI"/>
    <x v="0"/>
  </r>
  <r>
    <x v="762"/>
    <s v="CUST109"/>
    <d v="2025-01-20T00:00:00"/>
    <s v="Sports"/>
    <s v="North"/>
    <x v="9"/>
    <n v="453.49"/>
    <n v="4534.8999999999996"/>
    <s v="Net Banking"/>
    <x v="0"/>
  </r>
  <r>
    <x v="763"/>
    <s v="CUST187"/>
    <d v="2024-03-02T00:00:00"/>
    <s v="Sports"/>
    <s v="East"/>
    <x v="0"/>
    <n v="104.34"/>
    <n v="521.70000000000005"/>
    <s v="Credit Card"/>
    <x v="0"/>
  </r>
  <r>
    <x v="764"/>
    <s v="CUST338"/>
    <d v="2025-11-01T00:00:00"/>
    <s v="Home"/>
    <s v="East"/>
    <x v="1"/>
    <n v="37.97"/>
    <n v="37.97"/>
    <s v="Credit Card"/>
    <x v="0"/>
  </r>
  <r>
    <x v="765"/>
    <s v="CUST109"/>
    <d v="2024-10-26T00:00:00"/>
    <s v="Beauty"/>
    <s v="North"/>
    <x v="5"/>
    <n v="119.43"/>
    <n v="836.01"/>
    <s v="Net Banking"/>
    <x v="0"/>
  </r>
  <r>
    <x v="766"/>
    <s v="CUST348"/>
    <d v="2025-09-03T00:00:00"/>
    <s v="Fashion"/>
    <s v="West"/>
    <x v="8"/>
    <n v="48.57"/>
    <n v="437.13"/>
    <s v="Credit Card"/>
    <x v="0"/>
  </r>
  <r>
    <x v="767"/>
    <s v="CUST120"/>
    <d v="2024-09-10T00:00:00"/>
    <s v="Beauty"/>
    <s v="West"/>
    <x v="8"/>
    <n v="155.94"/>
    <n v="1403.46"/>
    <s v="UPI"/>
    <x v="0"/>
  </r>
  <r>
    <x v="768"/>
    <s v="CUST109"/>
    <d v="2024-12-21T00:00:00"/>
    <s v="Home"/>
    <s v="South"/>
    <x v="3"/>
    <n v="180.91"/>
    <n v="1085.46"/>
    <s v="Net Banking"/>
    <x v="0"/>
  </r>
  <r>
    <x v="769"/>
    <s v="CUST131"/>
    <d v="2025-10-02T00:00:00"/>
    <s v="Electronics"/>
    <s v="East"/>
    <x v="0"/>
    <n v="439.95"/>
    <n v="2199.75"/>
    <s v="UPI"/>
    <x v="0"/>
  </r>
  <r>
    <x v="770"/>
    <s v="CUST177"/>
    <d v="2024-12-15T00:00:00"/>
    <s v="Electronics"/>
    <s v="West"/>
    <x v="5"/>
    <n v="330.18"/>
    <n v="2311.2600000000002"/>
    <s v="UPI"/>
    <x v="0"/>
  </r>
  <r>
    <x v="771"/>
    <s v="CUST313"/>
    <d v="2024-09-03T00:00:00"/>
    <s v="Home"/>
    <s v="East"/>
    <x v="9"/>
    <n v="80.61"/>
    <n v="806.1"/>
    <s v="Wallet"/>
    <x v="0"/>
  </r>
  <r>
    <x v="772"/>
    <s v="CUST377"/>
    <d v="2024-05-14T00:00:00"/>
    <s v="Sports"/>
    <s v="South"/>
    <x v="2"/>
    <n v="327.97"/>
    <n v="1311.88"/>
    <s v="UPI"/>
    <x v="0"/>
  </r>
  <r>
    <x v="773"/>
    <s v="CUST258"/>
    <d v="2025-12-06T00:00:00"/>
    <s v="Beauty"/>
    <s v="South"/>
    <x v="8"/>
    <n v="455.23"/>
    <n v="4097.07"/>
    <s v="UPI"/>
    <x v="0"/>
  </r>
  <r>
    <x v="774"/>
    <s v="CUST262"/>
    <d v="2024-03-10T00:00:00"/>
    <s v="Electronics"/>
    <s v="South"/>
    <x v="8"/>
    <n v="268.82"/>
    <n v="2419.38"/>
    <s v="Net Banking"/>
    <x v="0"/>
  </r>
  <r>
    <x v="775"/>
    <s v="CUST174"/>
    <d v="2024-01-31T00:00:00"/>
    <s v="Beauty"/>
    <s v="West"/>
    <x v="3"/>
    <n v="440.67"/>
    <n v="2644.02"/>
    <s v="Net Banking"/>
    <x v="0"/>
  </r>
  <r>
    <x v="776"/>
    <s v="CUST326"/>
    <d v="2025-10-14T00:00:00"/>
    <s v="Fashion"/>
    <s v="North"/>
    <x v="0"/>
    <n v="80.22"/>
    <n v="401.1"/>
    <s v="UPI"/>
    <x v="0"/>
  </r>
  <r>
    <x v="777"/>
    <s v="CUST194"/>
    <d v="2024-01-27T00:00:00"/>
    <s v="Sports"/>
    <s v="South"/>
    <x v="9"/>
    <n v="310.39"/>
    <n v="3103.9"/>
    <s v="UPI"/>
    <x v="0"/>
  </r>
  <r>
    <x v="778"/>
    <s v="CUST218"/>
    <d v="2025-12-04T00:00:00"/>
    <s v="Beauty"/>
    <s v="South"/>
    <x v="1"/>
    <n v="182.83"/>
    <n v="182.83"/>
    <s v="Wallet"/>
    <x v="0"/>
  </r>
  <r>
    <x v="779"/>
    <s v="CUST291"/>
    <d v="2024-07-07T00:00:00"/>
    <s v="Fashion"/>
    <s v="South"/>
    <x v="5"/>
    <n v="248.27"/>
    <n v="1737.89"/>
    <s v="UPI"/>
    <x v="0"/>
  </r>
  <r>
    <x v="780"/>
    <s v="CUST215"/>
    <d v="2024-02-03T00:00:00"/>
    <s v="Electronics"/>
    <s v="East"/>
    <x v="5"/>
    <n v="383.45"/>
    <n v="2684.15"/>
    <s v="Wallet"/>
    <x v="0"/>
  </r>
  <r>
    <x v="781"/>
    <s v="CUST213"/>
    <d v="2025-11-18T00:00:00"/>
    <s v="Electronics"/>
    <s v="South"/>
    <x v="2"/>
    <n v="380.1"/>
    <n v="1520.4"/>
    <s v="Wallet"/>
    <x v="0"/>
  </r>
  <r>
    <x v="782"/>
    <s v="CUST350"/>
    <d v="2025-12-05T00:00:00"/>
    <s v="Fashion"/>
    <s v="West"/>
    <x v="3"/>
    <n v="434.05"/>
    <n v="2604.3000000000002"/>
    <s v="Wallet"/>
    <x v="0"/>
  </r>
  <r>
    <x v="783"/>
    <s v="CUST121"/>
    <d v="2025-09-14T00:00:00"/>
    <s v="Beauty"/>
    <s v="North"/>
    <x v="5"/>
    <n v="361.5"/>
    <n v="2530.5"/>
    <s v="Credit Card"/>
    <x v="0"/>
  </r>
  <r>
    <x v="784"/>
    <s v="CUST331"/>
    <d v="2025-04-12T00:00:00"/>
    <s v="Fashion"/>
    <s v="West"/>
    <x v="1"/>
    <n v="439.5"/>
    <n v="439.5"/>
    <s v="Credit Card"/>
    <x v="0"/>
  </r>
  <r>
    <x v="785"/>
    <s v="CUST385"/>
    <d v="2025-01-31T00:00:00"/>
    <s v="Electronics"/>
    <s v="South"/>
    <x v="8"/>
    <n v="383.75"/>
    <n v="3453.75"/>
    <s v="Net Banking"/>
    <x v="0"/>
  </r>
  <r>
    <x v="786"/>
    <s v="CUST325"/>
    <d v="2025-02-11T00:00:00"/>
    <s v="Home"/>
    <s v="West"/>
    <x v="0"/>
    <n v="387.97"/>
    <n v="1939.85"/>
    <s v="UPI"/>
    <x v="0"/>
  </r>
  <r>
    <x v="787"/>
    <s v="CUST316"/>
    <d v="2024-10-28T00:00:00"/>
    <s v="Sports"/>
    <s v="South"/>
    <x v="9"/>
    <n v="459.92"/>
    <n v="4599.2"/>
    <s v="Wallet"/>
    <x v="0"/>
  </r>
  <r>
    <x v="788"/>
    <s v="CUST331"/>
    <d v="2024-04-02T00:00:00"/>
    <s v="Sports"/>
    <s v="South"/>
    <x v="8"/>
    <n v="61.02"/>
    <n v="549.17999999999995"/>
    <s v="Wallet"/>
    <x v="0"/>
  </r>
  <r>
    <x v="789"/>
    <s v="CUST311"/>
    <d v="2024-11-27T00:00:00"/>
    <s v="Beauty"/>
    <s v="South"/>
    <x v="7"/>
    <n v="17.329999999999998"/>
    <n v="138.63999999999999"/>
    <s v="Wallet"/>
    <x v="0"/>
  </r>
  <r>
    <x v="790"/>
    <s v="CUST146"/>
    <d v="2024-09-13T00:00:00"/>
    <s v="Fashion"/>
    <s v="North"/>
    <x v="3"/>
    <n v="347.4"/>
    <n v="2084.4"/>
    <s v="Credit Card"/>
    <x v="0"/>
  </r>
  <r>
    <x v="791"/>
    <s v="CUST158"/>
    <d v="2025-12-24T00:00:00"/>
    <s v="Electronics"/>
    <s v="West"/>
    <x v="7"/>
    <n v="318.87"/>
    <n v="2550.96"/>
    <s v="UPI"/>
    <x v="0"/>
  </r>
  <r>
    <x v="792"/>
    <s v="CUST293"/>
    <d v="2025-07-17T00:00:00"/>
    <s v="Fashion"/>
    <s v="East"/>
    <x v="5"/>
    <n v="26.73"/>
    <n v="187.11"/>
    <s v="UPI"/>
    <x v="0"/>
  </r>
  <r>
    <x v="793"/>
    <s v="CUST183"/>
    <d v="2024-05-28T00:00:00"/>
    <s v="Electronics"/>
    <s v="West"/>
    <x v="6"/>
    <n v="385.73"/>
    <n v="1157.19"/>
    <s v="Net Banking"/>
    <x v="0"/>
  </r>
  <r>
    <x v="794"/>
    <s v="CUST258"/>
    <d v="2025-04-01T00:00:00"/>
    <s v="Electronics"/>
    <s v="South"/>
    <x v="0"/>
    <n v="315.08999999999997"/>
    <n v="1575.45"/>
    <s v="UPI"/>
    <x v="0"/>
  </r>
  <r>
    <x v="795"/>
    <s v="CUST101"/>
    <d v="2025-09-29T00:00:00"/>
    <s v="Beauty"/>
    <s v="West"/>
    <x v="0"/>
    <n v="11.04"/>
    <n v="55.2"/>
    <s v="Credit Card"/>
    <x v="0"/>
  </r>
  <r>
    <x v="796"/>
    <s v="CUST352"/>
    <d v="2024-08-31T00:00:00"/>
    <s v="Beauty"/>
    <s v="West"/>
    <x v="2"/>
    <n v="296.49"/>
    <n v="1185.96"/>
    <s v="Wallet"/>
    <x v="1"/>
  </r>
  <r>
    <x v="797"/>
    <s v="CUST326"/>
    <d v="2024-03-22T00:00:00"/>
    <s v="Fashion"/>
    <s v="East"/>
    <x v="9"/>
    <n v="302.05"/>
    <n v="3020.5"/>
    <s v="UPI"/>
    <x v="0"/>
  </r>
  <r>
    <x v="798"/>
    <s v="CUST125"/>
    <d v="2024-07-08T00:00:00"/>
    <s v="Home"/>
    <s v="North"/>
    <x v="6"/>
    <n v="32.26"/>
    <n v="96.78"/>
    <s v="UPI"/>
    <x v="0"/>
  </r>
  <r>
    <x v="799"/>
    <s v="CUST116"/>
    <d v="2025-11-14T00:00:00"/>
    <s v="Home"/>
    <s v="East"/>
    <x v="9"/>
    <n v="419.82"/>
    <n v="4198.2"/>
    <s v="Credit Card"/>
    <x v="0"/>
  </r>
  <r>
    <x v="800"/>
    <s v="CUST125"/>
    <d v="2024-04-21T00:00:00"/>
    <s v="Fashion"/>
    <s v="East"/>
    <x v="5"/>
    <n v="496.9"/>
    <n v="3478.3"/>
    <s v="UPI"/>
    <x v="0"/>
  </r>
  <r>
    <x v="801"/>
    <s v="CUST333"/>
    <d v="2025-08-15T00:00:00"/>
    <s v="Electronics"/>
    <s v="East"/>
    <x v="3"/>
    <n v="466.08"/>
    <n v="2796.48"/>
    <s v="Net Banking"/>
    <x v="0"/>
  </r>
  <r>
    <x v="802"/>
    <s v="CUST288"/>
    <d v="2025-01-23T00:00:00"/>
    <s v="Sports"/>
    <s v="North"/>
    <x v="4"/>
    <n v="380.43"/>
    <n v="760.86"/>
    <s v="Net Banking"/>
    <x v="0"/>
  </r>
  <r>
    <x v="803"/>
    <s v="CUST341"/>
    <d v="2024-05-17T00:00:00"/>
    <s v="Home"/>
    <s v="East"/>
    <x v="4"/>
    <n v="348.84"/>
    <n v="697.68"/>
    <s v="Wallet"/>
    <x v="0"/>
  </r>
  <r>
    <x v="804"/>
    <s v="CUST368"/>
    <d v="2024-08-02T00:00:00"/>
    <s v="Electronics"/>
    <s v="North"/>
    <x v="2"/>
    <n v="307.97000000000003"/>
    <n v="1231.8800000000001"/>
    <s v="Wallet"/>
    <x v="0"/>
  </r>
  <r>
    <x v="805"/>
    <s v="CUST247"/>
    <d v="2025-03-13T00:00:00"/>
    <s v="Home"/>
    <s v="East"/>
    <x v="9"/>
    <n v="424.66"/>
    <n v="4246.6000000000004"/>
    <s v="UPI"/>
    <x v="0"/>
  </r>
  <r>
    <x v="806"/>
    <s v="CUST388"/>
    <d v="2025-05-23T00:00:00"/>
    <s v="Beauty"/>
    <s v="West"/>
    <x v="8"/>
    <n v="365.95"/>
    <n v="3293.55"/>
    <s v="UPI"/>
    <x v="0"/>
  </r>
  <r>
    <x v="807"/>
    <s v="CUST219"/>
    <d v="2025-12-26T00:00:00"/>
    <s v="Electronics"/>
    <s v="North"/>
    <x v="0"/>
    <n v="489.73"/>
    <n v="2448.65"/>
    <s v="Credit Card"/>
    <x v="0"/>
  </r>
  <r>
    <x v="808"/>
    <s v="CUST338"/>
    <d v="2025-10-02T00:00:00"/>
    <s v="Fashion"/>
    <s v="West"/>
    <x v="4"/>
    <n v="370.05"/>
    <n v="740.1"/>
    <s v="Wallet"/>
    <x v="0"/>
  </r>
  <r>
    <x v="809"/>
    <s v="CUST123"/>
    <d v="2024-12-07T00:00:00"/>
    <s v="Fashion"/>
    <s v="North"/>
    <x v="3"/>
    <n v="282.41000000000003"/>
    <n v="1694.46"/>
    <s v="UPI"/>
    <x v="0"/>
  </r>
  <r>
    <x v="810"/>
    <s v="CUST244"/>
    <d v="2024-09-17T00:00:00"/>
    <s v="Sports"/>
    <s v="East"/>
    <x v="4"/>
    <n v="157.35"/>
    <n v="314.7"/>
    <s v="Credit Card"/>
    <x v="0"/>
  </r>
  <r>
    <x v="811"/>
    <s v="CUST158"/>
    <d v="2025-12-03T00:00:00"/>
    <s v="Sports"/>
    <s v="North"/>
    <x v="3"/>
    <n v="173.97"/>
    <n v="1043.82"/>
    <s v="UPI"/>
    <x v="0"/>
  </r>
  <r>
    <x v="812"/>
    <s v="CUST199"/>
    <d v="2024-12-04T00:00:00"/>
    <s v="Beauty"/>
    <s v="West"/>
    <x v="3"/>
    <n v="461.53"/>
    <n v="2769.18"/>
    <s v="Credit Card"/>
    <x v="0"/>
  </r>
  <r>
    <x v="813"/>
    <s v="CUST169"/>
    <d v="2025-05-08T00:00:00"/>
    <s v="Sports"/>
    <s v="East"/>
    <x v="6"/>
    <n v="315.45999999999998"/>
    <n v="946.38"/>
    <s v="Wallet"/>
    <x v="0"/>
  </r>
  <r>
    <x v="814"/>
    <s v="CUST311"/>
    <d v="2024-02-27T00:00:00"/>
    <s v="Home"/>
    <s v="North"/>
    <x v="8"/>
    <n v="153.18"/>
    <n v="1378.62"/>
    <s v="UPI"/>
    <x v="0"/>
  </r>
  <r>
    <x v="815"/>
    <s v="CUST395"/>
    <d v="2025-12-02T00:00:00"/>
    <s v="Home"/>
    <s v="North"/>
    <x v="3"/>
    <n v="400.77"/>
    <n v="2404.62"/>
    <s v="UPI"/>
    <x v="0"/>
  </r>
  <r>
    <x v="816"/>
    <s v="CUST243"/>
    <d v="2024-02-01T00:00:00"/>
    <s v="Sports"/>
    <s v="South"/>
    <x v="3"/>
    <n v="491.89"/>
    <n v="2951.34"/>
    <s v="Wallet"/>
    <x v="0"/>
  </r>
  <r>
    <x v="817"/>
    <s v="CUST195"/>
    <d v="2025-09-01T00:00:00"/>
    <s v="Home"/>
    <s v="East"/>
    <x v="4"/>
    <n v="432.97"/>
    <n v="865.94"/>
    <s v="Credit Card"/>
    <x v="0"/>
  </r>
  <r>
    <x v="818"/>
    <s v="CUST239"/>
    <d v="2025-02-27T00:00:00"/>
    <s v="Fashion"/>
    <s v="East"/>
    <x v="4"/>
    <n v="251.04"/>
    <n v="502.08"/>
    <s v="Wallet"/>
    <x v="0"/>
  </r>
  <r>
    <x v="819"/>
    <s v="CUST254"/>
    <d v="2024-08-09T00:00:00"/>
    <s v="Electronics"/>
    <s v="East"/>
    <x v="8"/>
    <n v="154.65"/>
    <n v="1391.85"/>
    <s v="Credit Card"/>
    <x v="0"/>
  </r>
  <r>
    <x v="820"/>
    <s v="CUST203"/>
    <d v="2024-04-04T00:00:00"/>
    <s v="Beauty"/>
    <s v="South"/>
    <x v="7"/>
    <n v="255.47"/>
    <n v="2043.76"/>
    <s v="UPI"/>
    <x v="0"/>
  </r>
  <r>
    <x v="821"/>
    <s v="CUST274"/>
    <d v="2025-05-10T00:00:00"/>
    <s v="Home"/>
    <s v="South"/>
    <x v="8"/>
    <n v="158.63"/>
    <n v="1427.67"/>
    <s v="Credit Card"/>
    <x v="0"/>
  </r>
  <r>
    <x v="822"/>
    <s v="CUST364"/>
    <d v="2025-11-23T00:00:00"/>
    <s v="Electronics"/>
    <s v="West"/>
    <x v="6"/>
    <n v="106.57"/>
    <n v="319.70999999999998"/>
    <s v="Wallet"/>
    <x v="0"/>
  </r>
  <r>
    <x v="823"/>
    <s v="CUST367"/>
    <d v="2024-04-28T00:00:00"/>
    <s v="Electronics"/>
    <s v="North"/>
    <x v="1"/>
    <n v="158.94"/>
    <n v="158.94"/>
    <s v="Net Banking"/>
    <x v="0"/>
  </r>
  <r>
    <x v="824"/>
    <s v="CUST339"/>
    <d v="2024-02-17T00:00:00"/>
    <s v="Home"/>
    <s v="North"/>
    <x v="4"/>
    <n v="262.69"/>
    <n v="525.38"/>
    <s v="Net Banking"/>
    <x v="0"/>
  </r>
  <r>
    <x v="825"/>
    <s v="CUST207"/>
    <d v="2024-11-24T00:00:00"/>
    <s v="Home"/>
    <s v="East"/>
    <x v="2"/>
    <n v="100.31"/>
    <n v="401.24"/>
    <s v="Wallet"/>
    <x v="0"/>
  </r>
  <r>
    <x v="826"/>
    <s v="CUST160"/>
    <d v="2024-10-06T00:00:00"/>
    <s v="Electronics"/>
    <s v="North"/>
    <x v="6"/>
    <n v="82.96"/>
    <n v="248.88"/>
    <s v="Credit Card"/>
    <x v="0"/>
  </r>
  <r>
    <x v="827"/>
    <s v="CUST205"/>
    <d v="2025-07-09T00:00:00"/>
    <s v="Home"/>
    <s v="South"/>
    <x v="3"/>
    <n v="276.94"/>
    <n v="1661.64"/>
    <s v="Net Banking"/>
    <x v="0"/>
  </r>
  <r>
    <x v="828"/>
    <s v="CUST393"/>
    <d v="2024-09-07T00:00:00"/>
    <s v="Sports"/>
    <s v="East"/>
    <x v="6"/>
    <n v="40.270000000000003"/>
    <n v="120.81"/>
    <s v="Wallet"/>
    <x v="0"/>
  </r>
  <r>
    <x v="829"/>
    <s v="CUST125"/>
    <d v="2024-05-13T00:00:00"/>
    <s v="Electronics"/>
    <s v="North"/>
    <x v="1"/>
    <n v="238.01"/>
    <n v="238.01"/>
    <s v="Wallet"/>
    <x v="0"/>
  </r>
  <r>
    <x v="830"/>
    <s v="CUST127"/>
    <d v="2024-03-29T00:00:00"/>
    <s v="Sports"/>
    <s v="West"/>
    <x v="5"/>
    <n v="199"/>
    <n v="1393"/>
    <s v="Net Banking"/>
    <x v="0"/>
  </r>
  <r>
    <x v="831"/>
    <s v="CUST259"/>
    <d v="2024-12-06T00:00:00"/>
    <s v="Sports"/>
    <s v="North"/>
    <x v="2"/>
    <n v="357.88"/>
    <n v="1431.52"/>
    <s v="Wallet"/>
    <x v="0"/>
  </r>
  <r>
    <x v="832"/>
    <s v="CUST390"/>
    <d v="2024-05-14T00:00:00"/>
    <s v="Beauty"/>
    <s v="North"/>
    <x v="4"/>
    <n v="407.36"/>
    <n v="814.72"/>
    <s v="Wallet"/>
    <x v="0"/>
  </r>
  <r>
    <x v="833"/>
    <s v="CUST258"/>
    <d v="2025-12-01T00:00:00"/>
    <s v="Fashion"/>
    <s v="South"/>
    <x v="7"/>
    <n v="237.92"/>
    <n v="1903.36"/>
    <s v="Net Banking"/>
    <x v="0"/>
  </r>
  <r>
    <x v="834"/>
    <s v="CUST286"/>
    <d v="2025-02-05T00:00:00"/>
    <s v="Home"/>
    <s v="East"/>
    <x v="6"/>
    <n v="351.31"/>
    <n v="1053.93"/>
    <s v="Wallet"/>
    <x v="0"/>
  </r>
  <r>
    <x v="835"/>
    <s v="CUST349"/>
    <d v="2024-01-31T00:00:00"/>
    <s v="Home"/>
    <s v="West"/>
    <x v="4"/>
    <n v="240.29"/>
    <n v="480.58"/>
    <s v="Wallet"/>
    <x v="0"/>
  </r>
  <r>
    <x v="836"/>
    <s v="CUST187"/>
    <d v="2024-10-16T00:00:00"/>
    <s v="Fashion"/>
    <s v="North"/>
    <x v="3"/>
    <n v="304.2"/>
    <n v="1825.2"/>
    <s v="Wallet"/>
    <x v="0"/>
  </r>
  <r>
    <x v="837"/>
    <s v="CUST154"/>
    <d v="2024-11-29T00:00:00"/>
    <s v="Home"/>
    <s v="West"/>
    <x v="8"/>
    <n v="326.48"/>
    <n v="2938.32"/>
    <s v="Wallet"/>
    <x v="0"/>
  </r>
  <r>
    <x v="838"/>
    <s v="CUST311"/>
    <d v="2024-09-01T00:00:00"/>
    <s v="Fashion"/>
    <s v="West"/>
    <x v="9"/>
    <n v="125.63"/>
    <n v="1256.3"/>
    <s v="Wallet"/>
    <x v="0"/>
  </r>
  <r>
    <x v="839"/>
    <s v="CUST133"/>
    <d v="2024-12-14T00:00:00"/>
    <s v="Sports"/>
    <s v="West"/>
    <x v="2"/>
    <n v="407.89"/>
    <n v="1631.56"/>
    <s v="Wallet"/>
    <x v="0"/>
  </r>
  <r>
    <x v="840"/>
    <s v="CUST390"/>
    <d v="2024-12-16T00:00:00"/>
    <s v="Fashion"/>
    <s v="North"/>
    <x v="8"/>
    <n v="348.6"/>
    <n v="3137.4"/>
    <s v="Wallet"/>
    <x v="0"/>
  </r>
  <r>
    <x v="841"/>
    <s v="CUST158"/>
    <d v="2025-08-29T00:00:00"/>
    <s v="Sports"/>
    <s v="North"/>
    <x v="9"/>
    <n v="234.14"/>
    <n v="2341.4"/>
    <s v="Wallet"/>
    <x v="0"/>
  </r>
  <r>
    <x v="842"/>
    <s v="CUST190"/>
    <d v="2024-11-11T00:00:00"/>
    <s v="Electronics"/>
    <s v="West"/>
    <x v="5"/>
    <n v="39.46"/>
    <n v="276.22000000000003"/>
    <s v="Net Banking"/>
    <x v="0"/>
  </r>
  <r>
    <x v="843"/>
    <s v="CUST353"/>
    <d v="2025-10-22T00:00:00"/>
    <s v="Fashion"/>
    <s v="North"/>
    <x v="1"/>
    <n v="49.81"/>
    <n v="49.81"/>
    <s v="UPI"/>
    <x v="1"/>
  </r>
  <r>
    <x v="844"/>
    <s v="CUST176"/>
    <d v="2025-04-08T00:00:00"/>
    <s v="Sports"/>
    <s v="West"/>
    <x v="8"/>
    <n v="149.29"/>
    <n v="1343.61"/>
    <s v="UPI"/>
    <x v="0"/>
  </r>
  <r>
    <x v="845"/>
    <s v="CUST205"/>
    <d v="2025-11-28T00:00:00"/>
    <s v="Home"/>
    <s v="West"/>
    <x v="3"/>
    <n v="153.37"/>
    <n v="920.22"/>
    <s v="Net Banking"/>
    <x v="0"/>
  </r>
  <r>
    <x v="846"/>
    <s v="CUST145"/>
    <d v="2025-08-19T00:00:00"/>
    <s v="Sports"/>
    <s v="West"/>
    <x v="1"/>
    <n v="307.69"/>
    <n v="307.69"/>
    <s v="UPI"/>
    <x v="0"/>
  </r>
  <r>
    <x v="847"/>
    <s v="CUST250"/>
    <d v="2024-03-04T00:00:00"/>
    <s v="Electronics"/>
    <s v="North"/>
    <x v="3"/>
    <n v="451.03"/>
    <n v="2706.18"/>
    <s v="Net Banking"/>
    <x v="0"/>
  </r>
  <r>
    <x v="848"/>
    <s v="CUST156"/>
    <d v="2024-10-15T00:00:00"/>
    <s v="Sports"/>
    <s v="West"/>
    <x v="1"/>
    <n v="121.44"/>
    <n v="121.44"/>
    <s v="Net Banking"/>
    <x v="0"/>
  </r>
  <r>
    <x v="849"/>
    <s v="CUST295"/>
    <d v="2025-02-19T00:00:00"/>
    <s v="Fashion"/>
    <s v="South"/>
    <x v="5"/>
    <n v="220.42"/>
    <n v="1542.94"/>
    <s v="Wallet"/>
    <x v="0"/>
  </r>
  <r>
    <x v="850"/>
    <s v="CUST171"/>
    <d v="2024-07-11T00:00:00"/>
    <s v="Home"/>
    <s v="West"/>
    <x v="8"/>
    <n v="195.37"/>
    <n v="1758.33"/>
    <s v="UPI"/>
    <x v="0"/>
  </r>
  <r>
    <x v="851"/>
    <s v="CUST247"/>
    <d v="2025-11-17T00:00:00"/>
    <s v="Electronics"/>
    <s v="North"/>
    <x v="6"/>
    <n v="71.47"/>
    <n v="214.41"/>
    <s v="UPI"/>
    <x v="0"/>
  </r>
  <r>
    <x v="852"/>
    <s v="CUST349"/>
    <d v="2025-11-04T00:00:00"/>
    <s v="Fashion"/>
    <s v="North"/>
    <x v="5"/>
    <n v="487.61"/>
    <n v="3413.27"/>
    <s v="UPI"/>
    <x v="0"/>
  </r>
  <r>
    <x v="853"/>
    <s v="CUST312"/>
    <d v="2025-04-11T00:00:00"/>
    <s v="Sports"/>
    <s v="South"/>
    <x v="9"/>
    <n v="465.5"/>
    <n v="4655"/>
    <s v="Wallet"/>
    <x v="0"/>
  </r>
  <r>
    <x v="854"/>
    <s v="CUST360"/>
    <d v="2025-03-10T00:00:00"/>
    <s v="Beauty"/>
    <s v="East"/>
    <x v="8"/>
    <n v="410.94"/>
    <n v="3698.46"/>
    <s v="UPI"/>
    <x v="0"/>
  </r>
  <r>
    <x v="855"/>
    <s v="CUST195"/>
    <d v="2025-03-10T00:00:00"/>
    <s v="Beauty"/>
    <s v="South"/>
    <x v="9"/>
    <n v="8.68"/>
    <n v="86.8"/>
    <s v="Net Banking"/>
    <x v="0"/>
  </r>
  <r>
    <x v="856"/>
    <s v="CUST310"/>
    <d v="2025-07-13T00:00:00"/>
    <s v="Electronics"/>
    <s v="West"/>
    <x v="9"/>
    <n v="186.65"/>
    <n v="1866.5"/>
    <s v="Net Banking"/>
    <x v="0"/>
  </r>
  <r>
    <x v="857"/>
    <s v="CUST157"/>
    <d v="2025-08-17T00:00:00"/>
    <s v="Electronics"/>
    <s v="South"/>
    <x v="7"/>
    <n v="481.06"/>
    <n v="3848.48"/>
    <s v="Net Banking"/>
    <x v="0"/>
  </r>
  <r>
    <x v="858"/>
    <s v="CUST338"/>
    <d v="2025-06-13T00:00:00"/>
    <s v="Sports"/>
    <s v="North"/>
    <x v="4"/>
    <n v="264.06"/>
    <n v="528.12"/>
    <s v="UPI"/>
    <x v="0"/>
  </r>
  <r>
    <x v="859"/>
    <s v="CUST341"/>
    <d v="2025-10-07T00:00:00"/>
    <s v="Sports"/>
    <s v="East"/>
    <x v="4"/>
    <n v="343.62"/>
    <n v="687.24"/>
    <s v="Credit Card"/>
    <x v="0"/>
  </r>
  <r>
    <x v="860"/>
    <s v="CUST275"/>
    <d v="2025-07-01T00:00:00"/>
    <s v="Sports"/>
    <s v="West"/>
    <x v="1"/>
    <n v="237.09"/>
    <n v="237.09"/>
    <s v="Net Banking"/>
    <x v="0"/>
  </r>
  <r>
    <x v="861"/>
    <s v="CUST315"/>
    <d v="2024-12-27T00:00:00"/>
    <s v="Electronics"/>
    <s v="East"/>
    <x v="0"/>
    <n v="148.16"/>
    <n v="740.8"/>
    <s v="Net Banking"/>
    <x v="0"/>
  </r>
  <r>
    <x v="862"/>
    <s v="CUST131"/>
    <d v="2025-10-06T00:00:00"/>
    <s v="Sports"/>
    <s v="North"/>
    <x v="7"/>
    <n v="291.18"/>
    <n v="2329.44"/>
    <s v="Net Banking"/>
    <x v="0"/>
  </r>
  <r>
    <x v="863"/>
    <s v="CUST113"/>
    <d v="2024-10-20T00:00:00"/>
    <s v="Sports"/>
    <s v="North"/>
    <x v="7"/>
    <n v="45.84"/>
    <n v="366.72"/>
    <s v="Net Banking"/>
    <x v="0"/>
  </r>
  <r>
    <x v="864"/>
    <s v="CUST229"/>
    <d v="2024-05-15T00:00:00"/>
    <s v="Home"/>
    <s v="North"/>
    <x v="9"/>
    <n v="144.08000000000001"/>
    <n v="1440.8"/>
    <s v="Credit Card"/>
    <x v="0"/>
  </r>
  <r>
    <x v="865"/>
    <s v="CUST189"/>
    <d v="2025-08-28T00:00:00"/>
    <s v="Home"/>
    <s v="South"/>
    <x v="6"/>
    <n v="331.28"/>
    <n v="993.84"/>
    <s v="Net Banking"/>
    <x v="0"/>
  </r>
  <r>
    <x v="866"/>
    <s v="CUST220"/>
    <d v="2025-05-11T00:00:00"/>
    <s v="Electronics"/>
    <s v="East"/>
    <x v="6"/>
    <n v="400.69"/>
    <n v="1202.07"/>
    <s v="Credit Card"/>
    <x v="0"/>
  </r>
  <r>
    <x v="867"/>
    <s v="CUST174"/>
    <d v="2025-09-01T00:00:00"/>
    <s v="Beauty"/>
    <s v="West"/>
    <x v="6"/>
    <n v="419.62"/>
    <n v="1258.8599999999999"/>
    <s v="UPI"/>
    <x v="0"/>
  </r>
  <r>
    <x v="868"/>
    <s v="CUST325"/>
    <d v="2025-10-14T00:00:00"/>
    <s v="Home"/>
    <s v="North"/>
    <x v="6"/>
    <n v="109.37"/>
    <n v="328.11"/>
    <s v="Net Banking"/>
    <x v="0"/>
  </r>
  <r>
    <x v="869"/>
    <s v="CUST159"/>
    <d v="2024-02-23T00:00:00"/>
    <s v="Beauty"/>
    <s v="East"/>
    <x v="6"/>
    <n v="234.69"/>
    <n v="704.07"/>
    <s v="Wallet"/>
    <x v="0"/>
  </r>
  <r>
    <x v="870"/>
    <s v="CUST372"/>
    <d v="2024-08-27T00:00:00"/>
    <s v="Beauty"/>
    <s v="West"/>
    <x v="5"/>
    <n v="343.34"/>
    <n v="2403.38"/>
    <s v="Net Banking"/>
    <x v="0"/>
  </r>
  <r>
    <x v="871"/>
    <s v="CUST174"/>
    <d v="2025-06-27T00:00:00"/>
    <s v="Beauty"/>
    <s v="West"/>
    <x v="5"/>
    <n v="10.87"/>
    <n v="76.09"/>
    <s v="Net Banking"/>
    <x v="0"/>
  </r>
  <r>
    <x v="872"/>
    <s v="CUST371"/>
    <d v="2025-11-30T00:00:00"/>
    <s v="Sports"/>
    <s v="East"/>
    <x v="1"/>
    <n v="53.2"/>
    <n v="53.2"/>
    <s v="Wallet"/>
    <x v="0"/>
  </r>
  <r>
    <x v="873"/>
    <s v="CUST239"/>
    <d v="2024-12-09T00:00:00"/>
    <s v="Electronics"/>
    <s v="East"/>
    <x v="0"/>
    <n v="137.21"/>
    <n v="686.05"/>
    <s v="Wallet"/>
    <x v="0"/>
  </r>
  <r>
    <x v="874"/>
    <s v="CUST336"/>
    <d v="2025-11-22T00:00:00"/>
    <s v="Sports"/>
    <s v="South"/>
    <x v="2"/>
    <n v="368.49"/>
    <n v="1473.96"/>
    <s v="Net Banking"/>
    <x v="0"/>
  </r>
  <r>
    <x v="875"/>
    <s v="CUST192"/>
    <d v="2024-11-16T00:00:00"/>
    <s v="Electronics"/>
    <s v="North"/>
    <x v="8"/>
    <n v="10.24"/>
    <n v="92.16"/>
    <s v="Credit Card"/>
    <x v="0"/>
  </r>
  <r>
    <x v="876"/>
    <s v="CUST310"/>
    <d v="2024-04-10T00:00:00"/>
    <s v="Beauty"/>
    <s v="East"/>
    <x v="8"/>
    <n v="56.43"/>
    <n v="507.87"/>
    <s v="UPI"/>
    <x v="0"/>
  </r>
  <r>
    <x v="877"/>
    <s v="CUST245"/>
    <d v="2024-09-14T00:00:00"/>
    <s v="Sports"/>
    <s v="North"/>
    <x v="2"/>
    <n v="21.85"/>
    <n v="87.4"/>
    <s v="Credit Card"/>
    <x v="0"/>
  </r>
  <r>
    <x v="878"/>
    <s v="CUST211"/>
    <d v="2025-09-05T00:00:00"/>
    <s v="Electronics"/>
    <s v="North"/>
    <x v="4"/>
    <n v="355.5"/>
    <n v="711"/>
    <s v="UPI"/>
    <x v="0"/>
  </r>
  <r>
    <x v="879"/>
    <s v="CUST292"/>
    <d v="2025-11-03T00:00:00"/>
    <s v="Fashion"/>
    <s v="North"/>
    <x v="9"/>
    <n v="402.58"/>
    <n v="4025.8"/>
    <s v="UPI"/>
    <x v="0"/>
  </r>
  <r>
    <x v="880"/>
    <s v="CUST229"/>
    <d v="2024-10-28T00:00:00"/>
    <s v="Electronics"/>
    <s v="West"/>
    <x v="7"/>
    <n v="331.94"/>
    <n v="2655.52"/>
    <s v="Net Banking"/>
    <x v="0"/>
  </r>
  <r>
    <x v="881"/>
    <s v="CUST318"/>
    <d v="2025-12-09T00:00:00"/>
    <s v="Electronics"/>
    <s v="East"/>
    <x v="3"/>
    <n v="132.38"/>
    <n v="794.28"/>
    <s v="Credit Card"/>
    <x v="0"/>
  </r>
  <r>
    <x v="882"/>
    <s v="CUST295"/>
    <d v="2025-02-01T00:00:00"/>
    <s v="Home"/>
    <s v="East"/>
    <x v="3"/>
    <n v="498"/>
    <n v="2988"/>
    <s v="UPI"/>
    <x v="0"/>
  </r>
  <r>
    <x v="883"/>
    <s v="CUST325"/>
    <d v="2024-03-12T00:00:00"/>
    <s v="Fashion"/>
    <s v="West"/>
    <x v="7"/>
    <n v="489.81"/>
    <n v="3918.48"/>
    <s v="UPI"/>
    <x v="0"/>
  </r>
  <r>
    <x v="884"/>
    <s v="CUST351"/>
    <d v="2024-04-21T00:00:00"/>
    <s v="Beauty"/>
    <s v="South"/>
    <x v="6"/>
    <n v="272.61"/>
    <n v="817.83"/>
    <s v="Credit Card"/>
    <x v="0"/>
  </r>
  <r>
    <x v="885"/>
    <s v="CUST326"/>
    <d v="2024-09-22T00:00:00"/>
    <s v="Electronics"/>
    <s v="East"/>
    <x v="4"/>
    <n v="22.26"/>
    <n v="44.52"/>
    <s v="Wallet"/>
    <x v="0"/>
  </r>
  <r>
    <x v="886"/>
    <s v="CUST109"/>
    <d v="2025-05-24T00:00:00"/>
    <s v="Electronics"/>
    <s v="North"/>
    <x v="6"/>
    <n v="328.17"/>
    <n v="984.51"/>
    <s v="Wallet"/>
    <x v="0"/>
  </r>
  <r>
    <x v="887"/>
    <s v="CUST236"/>
    <d v="2024-06-04T00:00:00"/>
    <s v="Sports"/>
    <s v="North"/>
    <x v="3"/>
    <n v="452.79"/>
    <n v="2716.74"/>
    <s v="Wallet"/>
    <x v="0"/>
  </r>
  <r>
    <x v="888"/>
    <s v="CUST344"/>
    <d v="2025-03-22T00:00:00"/>
    <s v="Electronics"/>
    <s v="South"/>
    <x v="5"/>
    <n v="422.8"/>
    <n v="2959.6"/>
    <s v="Credit Card"/>
    <x v="0"/>
  </r>
  <r>
    <x v="889"/>
    <s v="CUST296"/>
    <d v="2025-12-06T00:00:00"/>
    <s v="Sports"/>
    <s v="East"/>
    <x v="7"/>
    <n v="65"/>
    <n v="520"/>
    <s v="Net Banking"/>
    <x v="0"/>
  </r>
  <r>
    <x v="890"/>
    <s v="CUST255"/>
    <d v="2025-02-14T00:00:00"/>
    <s v="Electronics"/>
    <s v="East"/>
    <x v="1"/>
    <n v="317.97000000000003"/>
    <n v="317.97000000000003"/>
    <s v="Net Banking"/>
    <x v="0"/>
  </r>
  <r>
    <x v="891"/>
    <s v="CUST141"/>
    <d v="2025-04-15T00:00:00"/>
    <s v="Fashion"/>
    <s v="North"/>
    <x v="0"/>
    <n v="325.66000000000003"/>
    <n v="1628.3"/>
    <s v="Wallet"/>
    <x v="0"/>
  </r>
  <r>
    <x v="892"/>
    <s v="CUST197"/>
    <d v="2024-11-02T00:00:00"/>
    <s v="Home"/>
    <s v="West"/>
    <x v="5"/>
    <n v="448.75"/>
    <n v="3141.25"/>
    <s v="Credit Card"/>
    <x v="0"/>
  </r>
  <r>
    <x v="893"/>
    <s v="CUST324"/>
    <d v="2024-07-13T00:00:00"/>
    <s v="Electronics"/>
    <s v="South"/>
    <x v="6"/>
    <n v="22.67"/>
    <n v="68.010000000000005"/>
    <s v="Wallet"/>
    <x v="0"/>
  </r>
  <r>
    <x v="894"/>
    <s v="CUST299"/>
    <d v="2024-03-05T00:00:00"/>
    <s v="Beauty"/>
    <s v="West"/>
    <x v="8"/>
    <n v="323.49"/>
    <n v="2911.41"/>
    <s v="Credit Card"/>
    <x v="0"/>
  </r>
  <r>
    <x v="895"/>
    <s v="CUST118"/>
    <d v="2024-12-13T00:00:00"/>
    <s v="Electronics"/>
    <s v="West"/>
    <x v="1"/>
    <n v="172.17"/>
    <n v="172.17"/>
    <s v="Credit Card"/>
    <x v="0"/>
  </r>
  <r>
    <x v="896"/>
    <s v="CUST208"/>
    <d v="2025-10-31T00:00:00"/>
    <s v="Sports"/>
    <s v="South"/>
    <x v="8"/>
    <n v="231.89"/>
    <n v="2087.0100000000002"/>
    <s v="UPI"/>
    <x v="0"/>
  </r>
  <r>
    <x v="897"/>
    <s v="CUST136"/>
    <d v="2024-02-07T00:00:00"/>
    <s v="Electronics"/>
    <s v="West"/>
    <x v="6"/>
    <n v="247"/>
    <n v="741"/>
    <s v="Credit Card"/>
    <x v="0"/>
  </r>
  <r>
    <x v="898"/>
    <s v="CUST224"/>
    <d v="2025-12-19T00:00:00"/>
    <s v="Electronics"/>
    <s v="East"/>
    <x v="6"/>
    <n v="12.11"/>
    <n v="36.33"/>
    <s v="Credit Card"/>
    <x v="0"/>
  </r>
  <r>
    <x v="899"/>
    <s v="CUST333"/>
    <d v="2025-09-17T00:00:00"/>
    <s v="Electronics"/>
    <s v="North"/>
    <x v="6"/>
    <n v="418.5"/>
    <n v="1255.5"/>
    <s v="Credit Card"/>
    <x v="0"/>
  </r>
  <r>
    <x v="900"/>
    <s v="CUST354"/>
    <d v="2025-09-01T00:00:00"/>
    <s v="Fashion"/>
    <s v="West"/>
    <x v="9"/>
    <n v="114.18"/>
    <n v="1141.8"/>
    <s v="Net Banking"/>
    <x v="0"/>
  </r>
  <r>
    <x v="901"/>
    <s v="CUST305"/>
    <d v="2024-11-28T00:00:00"/>
    <s v="Sports"/>
    <s v="South"/>
    <x v="4"/>
    <n v="488.05"/>
    <n v="976.1"/>
    <s v="Net Banking"/>
    <x v="0"/>
  </r>
  <r>
    <x v="902"/>
    <s v="CUST209"/>
    <d v="2024-02-16T00:00:00"/>
    <s v="Electronics"/>
    <s v="North"/>
    <x v="9"/>
    <n v="90.86"/>
    <n v="908.6"/>
    <s v="Net Banking"/>
    <x v="0"/>
  </r>
  <r>
    <x v="903"/>
    <s v="CUST172"/>
    <d v="2025-03-01T00:00:00"/>
    <s v="Sports"/>
    <s v="South"/>
    <x v="6"/>
    <n v="349.67"/>
    <n v="1049.01"/>
    <s v="Wallet"/>
    <x v="0"/>
  </r>
  <r>
    <x v="904"/>
    <s v="CUST224"/>
    <d v="2025-08-18T00:00:00"/>
    <s v="Sports"/>
    <s v="West"/>
    <x v="1"/>
    <n v="71.02"/>
    <n v="71.02"/>
    <s v="UPI"/>
    <x v="0"/>
  </r>
  <r>
    <x v="905"/>
    <s v="CUST108"/>
    <d v="2025-05-13T00:00:00"/>
    <s v="Fashion"/>
    <s v="North"/>
    <x v="4"/>
    <n v="8.14"/>
    <n v="16.28"/>
    <s v="Net Banking"/>
    <x v="0"/>
  </r>
  <r>
    <x v="906"/>
    <s v="CUST313"/>
    <d v="2025-12-11T00:00:00"/>
    <s v="Fashion"/>
    <s v="South"/>
    <x v="7"/>
    <n v="347.72"/>
    <n v="2781.76"/>
    <s v="Net Banking"/>
    <x v="0"/>
  </r>
  <r>
    <x v="907"/>
    <s v="CUST367"/>
    <d v="2025-04-06T00:00:00"/>
    <s v="Fashion"/>
    <s v="North"/>
    <x v="5"/>
    <n v="123.43"/>
    <n v="864.01"/>
    <s v="UPI"/>
    <x v="0"/>
  </r>
  <r>
    <x v="908"/>
    <s v="CUST355"/>
    <d v="2025-09-18T00:00:00"/>
    <s v="Home"/>
    <s v="East"/>
    <x v="4"/>
    <n v="315.45999999999998"/>
    <n v="630.91999999999996"/>
    <s v="Wallet"/>
    <x v="0"/>
  </r>
  <r>
    <x v="909"/>
    <s v="CUST102"/>
    <d v="2025-07-25T00:00:00"/>
    <s v="Sports"/>
    <s v="North"/>
    <x v="2"/>
    <n v="99.99"/>
    <n v="399.96"/>
    <s v="Net Banking"/>
    <x v="0"/>
  </r>
  <r>
    <x v="910"/>
    <s v="CUST376"/>
    <d v="2025-06-03T00:00:00"/>
    <s v="Fashion"/>
    <s v="East"/>
    <x v="2"/>
    <n v="234.79"/>
    <n v="939.16"/>
    <s v="Credit Card"/>
    <x v="0"/>
  </r>
  <r>
    <x v="911"/>
    <s v="CUST199"/>
    <d v="2024-04-25T00:00:00"/>
    <s v="Beauty"/>
    <s v="West"/>
    <x v="6"/>
    <n v="344.2"/>
    <n v="1032.5999999999999"/>
    <s v="UPI"/>
    <x v="0"/>
  </r>
  <r>
    <x v="912"/>
    <s v="CUST181"/>
    <d v="2025-11-17T00:00:00"/>
    <s v="Home"/>
    <s v="East"/>
    <x v="1"/>
    <n v="31.74"/>
    <n v="31.74"/>
    <s v="UPI"/>
    <x v="0"/>
  </r>
  <r>
    <x v="913"/>
    <s v="CUST322"/>
    <d v="2024-09-14T00:00:00"/>
    <s v="Beauty"/>
    <s v="North"/>
    <x v="3"/>
    <n v="310.33"/>
    <n v="1861.98"/>
    <s v="Credit Card"/>
    <x v="0"/>
  </r>
  <r>
    <x v="914"/>
    <s v="CUST126"/>
    <d v="2025-07-04T00:00:00"/>
    <s v="Electronics"/>
    <s v="West"/>
    <x v="6"/>
    <n v="83.23"/>
    <n v="249.69"/>
    <s v="Credit Card"/>
    <x v="0"/>
  </r>
  <r>
    <x v="915"/>
    <s v="CUST136"/>
    <d v="2024-08-28T00:00:00"/>
    <s v="Home"/>
    <s v="West"/>
    <x v="7"/>
    <n v="298.39"/>
    <n v="2387.12"/>
    <s v="UPI"/>
    <x v="0"/>
  </r>
  <r>
    <x v="916"/>
    <s v="CUST266"/>
    <d v="2024-08-23T00:00:00"/>
    <s v="Electronics"/>
    <s v="South"/>
    <x v="4"/>
    <n v="166.44"/>
    <n v="332.88"/>
    <s v="Wallet"/>
    <x v="0"/>
  </r>
  <r>
    <x v="917"/>
    <s v="CUST202"/>
    <d v="2025-01-19T00:00:00"/>
    <s v="Sports"/>
    <s v="West"/>
    <x v="2"/>
    <n v="41.4"/>
    <n v="165.6"/>
    <s v="Credit Card"/>
    <x v="0"/>
  </r>
  <r>
    <x v="918"/>
    <s v="CUST323"/>
    <d v="2024-05-28T00:00:00"/>
    <s v="Beauty"/>
    <s v="South"/>
    <x v="2"/>
    <n v="464.3"/>
    <n v="1857.2"/>
    <s v="Wallet"/>
    <x v="0"/>
  </r>
  <r>
    <x v="919"/>
    <s v="CUST291"/>
    <d v="2024-05-19T00:00:00"/>
    <s v="Home"/>
    <s v="East"/>
    <x v="7"/>
    <n v="361.31"/>
    <n v="2890.48"/>
    <s v="UPI"/>
    <x v="0"/>
  </r>
  <r>
    <x v="920"/>
    <s v="CUST271"/>
    <d v="2024-05-10T00:00:00"/>
    <s v="Electronics"/>
    <s v="East"/>
    <x v="1"/>
    <n v="347.64"/>
    <n v="347.64"/>
    <s v="UPI"/>
    <x v="0"/>
  </r>
  <r>
    <x v="921"/>
    <s v="CUST156"/>
    <d v="2025-04-21T00:00:00"/>
    <s v="Home"/>
    <s v="South"/>
    <x v="7"/>
    <n v="212.02"/>
    <n v="1696.16"/>
    <s v="Net Banking"/>
    <x v="0"/>
  </r>
  <r>
    <x v="922"/>
    <s v="CUST180"/>
    <d v="2025-10-15T00:00:00"/>
    <s v="Sports"/>
    <s v="South"/>
    <x v="9"/>
    <n v="453.26"/>
    <n v="4532.6000000000004"/>
    <s v="Credit Card"/>
    <x v="0"/>
  </r>
  <r>
    <x v="923"/>
    <s v="CUST310"/>
    <d v="2025-06-18T00:00:00"/>
    <s v="Fashion"/>
    <s v="West"/>
    <x v="7"/>
    <n v="431.79"/>
    <n v="3454.32"/>
    <s v="Wallet"/>
    <x v="0"/>
  </r>
  <r>
    <x v="924"/>
    <s v="CUST242"/>
    <d v="2024-01-15T00:00:00"/>
    <s v="Fashion"/>
    <s v="South"/>
    <x v="5"/>
    <n v="369.41"/>
    <n v="2585.87"/>
    <s v="Net Banking"/>
    <x v="0"/>
  </r>
  <r>
    <x v="925"/>
    <s v="CUST322"/>
    <d v="2025-08-16T00:00:00"/>
    <s v="Sports"/>
    <s v="South"/>
    <x v="2"/>
    <n v="446.45"/>
    <n v="1785.8"/>
    <s v="Credit Card"/>
    <x v="0"/>
  </r>
  <r>
    <x v="926"/>
    <s v="CUST313"/>
    <d v="2024-02-15T00:00:00"/>
    <s v="Sports"/>
    <s v="North"/>
    <x v="1"/>
    <n v="495.68"/>
    <n v="495.68"/>
    <s v="Wallet"/>
    <x v="0"/>
  </r>
  <r>
    <x v="927"/>
    <s v="CUST371"/>
    <d v="2025-02-07T00:00:00"/>
    <s v="Electronics"/>
    <s v="West"/>
    <x v="7"/>
    <n v="405.81"/>
    <n v="3246.48"/>
    <s v="Wallet"/>
    <x v="0"/>
  </r>
  <r>
    <x v="928"/>
    <s v="CUST223"/>
    <d v="2024-03-26T00:00:00"/>
    <s v="Beauty"/>
    <s v="South"/>
    <x v="8"/>
    <n v="377.77"/>
    <n v="3399.93"/>
    <s v="UPI"/>
    <x v="0"/>
  </r>
  <r>
    <x v="929"/>
    <s v="CUST283"/>
    <d v="2024-10-29T00:00:00"/>
    <s v="Electronics"/>
    <s v="North"/>
    <x v="2"/>
    <n v="325.58"/>
    <n v="1302.32"/>
    <s v="Wallet"/>
    <x v="0"/>
  </r>
  <r>
    <x v="930"/>
    <s v="CUST256"/>
    <d v="2024-06-14T00:00:00"/>
    <s v="Sports"/>
    <s v="North"/>
    <x v="7"/>
    <n v="429.67"/>
    <n v="3437.36"/>
    <s v="Wallet"/>
    <x v="0"/>
  </r>
  <r>
    <x v="931"/>
    <s v="CUST337"/>
    <d v="2024-05-21T00:00:00"/>
    <s v="Home"/>
    <s v="West"/>
    <x v="5"/>
    <n v="96.55"/>
    <n v="675.85"/>
    <s v="Credit Card"/>
    <x v="0"/>
  </r>
  <r>
    <x v="932"/>
    <s v="CUST136"/>
    <d v="2025-01-29T00:00:00"/>
    <s v="Home"/>
    <s v="West"/>
    <x v="3"/>
    <n v="267.81"/>
    <n v="1606.86"/>
    <s v="Net Banking"/>
    <x v="0"/>
  </r>
  <r>
    <x v="933"/>
    <s v="CUST377"/>
    <d v="2025-08-12T00:00:00"/>
    <s v="Electronics"/>
    <s v="East"/>
    <x v="2"/>
    <n v="394.91"/>
    <n v="1579.64"/>
    <s v="Credit Card"/>
    <x v="0"/>
  </r>
  <r>
    <x v="934"/>
    <s v="CUST363"/>
    <d v="2025-11-21T00:00:00"/>
    <s v="Electronics"/>
    <s v="West"/>
    <x v="3"/>
    <n v="444.55"/>
    <n v="2667.3"/>
    <s v="Net Banking"/>
    <x v="0"/>
  </r>
  <r>
    <x v="935"/>
    <s v="CUST338"/>
    <d v="2025-09-25T00:00:00"/>
    <s v="Fashion"/>
    <s v="North"/>
    <x v="1"/>
    <n v="185.96"/>
    <n v="185.96"/>
    <s v="UPI"/>
    <x v="0"/>
  </r>
  <r>
    <x v="936"/>
    <s v="CUST170"/>
    <d v="2024-12-08T00:00:00"/>
    <s v="Beauty"/>
    <s v="South"/>
    <x v="2"/>
    <n v="272.12"/>
    <n v="1088.48"/>
    <s v="UPI"/>
    <x v="0"/>
  </r>
  <r>
    <x v="937"/>
    <s v="CUST264"/>
    <d v="2024-12-27T00:00:00"/>
    <s v="Beauty"/>
    <s v="East"/>
    <x v="0"/>
    <n v="254.27"/>
    <n v="1271.3499999999999"/>
    <s v="Credit Card"/>
    <x v="0"/>
  </r>
  <r>
    <x v="938"/>
    <s v="CUST132"/>
    <d v="2025-01-16T00:00:00"/>
    <s v="Sports"/>
    <s v="North"/>
    <x v="3"/>
    <n v="228.94"/>
    <n v="1373.64"/>
    <s v="Wallet"/>
    <x v="0"/>
  </r>
  <r>
    <x v="939"/>
    <s v="CUST372"/>
    <d v="2025-11-25T00:00:00"/>
    <s v="Beauty"/>
    <s v="East"/>
    <x v="8"/>
    <n v="450.23"/>
    <n v="4052.07"/>
    <s v="Credit Card"/>
    <x v="0"/>
  </r>
  <r>
    <x v="940"/>
    <s v="CUST196"/>
    <d v="2025-04-13T00:00:00"/>
    <s v="Fashion"/>
    <s v="East"/>
    <x v="4"/>
    <n v="44.68"/>
    <n v="89.36"/>
    <s v="Credit Card"/>
    <x v="0"/>
  </r>
  <r>
    <x v="941"/>
    <s v="CUST155"/>
    <d v="2024-06-17T00:00:00"/>
    <s v="Fashion"/>
    <s v="West"/>
    <x v="0"/>
    <n v="60.45"/>
    <n v="302.25"/>
    <s v="UPI"/>
    <x v="0"/>
  </r>
  <r>
    <x v="942"/>
    <s v="CUST204"/>
    <d v="2025-06-17T00:00:00"/>
    <s v="Sports"/>
    <s v="South"/>
    <x v="1"/>
    <n v="150.12"/>
    <n v="150.12"/>
    <s v="Wallet"/>
    <x v="0"/>
  </r>
  <r>
    <x v="943"/>
    <s v="CUST277"/>
    <d v="2025-03-06T00:00:00"/>
    <s v="Electronics"/>
    <s v="East"/>
    <x v="7"/>
    <n v="370.17"/>
    <n v="2961.36"/>
    <s v="UPI"/>
    <x v="0"/>
  </r>
  <r>
    <x v="944"/>
    <s v="CUST132"/>
    <d v="2024-01-23T00:00:00"/>
    <s v="Sports"/>
    <s v="East"/>
    <x v="2"/>
    <n v="418.3"/>
    <n v="1673.2"/>
    <s v="Wallet"/>
    <x v="0"/>
  </r>
  <r>
    <x v="945"/>
    <s v="CUST396"/>
    <d v="2024-12-17T00:00:00"/>
    <s v="Sports"/>
    <s v="West"/>
    <x v="3"/>
    <n v="245.64"/>
    <n v="1473.84"/>
    <s v="Wallet"/>
    <x v="0"/>
  </r>
  <r>
    <x v="946"/>
    <s v="CUST255"/>
    <d v="2025-08-03T00:00:00"/>
    <s v="Home"/>
    <s v="South"/>
    <x v="6"/>
    <n v="449.65"/>
    <n v="1348.95"/>
    <s v="Net Banking"/>
    <x v="0"/>
  </r>
  <r>
    <x v="947"/>
    <s v="CUST216"/>
    <d v="2025-05-10T00:00:00"/>
    <s v="Electronics"/>
    <s v="South"/>
    <x v="3"/>
    <n v="485.51"/>
    <n v="2913.06"/>
    <s v="Net Banking"/>
    <x v="0"/>
  </r>
  <r>
    <x v="948"/>
    <s v="CUST245"/>
    <d v="2025-04-11T00:00:00"/>
    <s v="Fashion"/>
    <s v="East"/>
    <x v="6"/>
    <n v="311.22000000000003"/>
    <n v="933.66"/>
    <s v="UPI"/>
    <x v="0"/>
  </r>
  <r>
    <x v="949"/>
    <s v="CUST189"/>
    <d v="2025-12-26T00:00:00"/>
    <s v="Electronics"/>
    <s v="North"/>
    <x v="6"/>
    <n v="84.82"/>
    <n v="254.46"/>
    <s v="Net Banking"/>
    <x v="0"/>
  </r>
  <r>
    <x v="950"/>
    <s v="CUST394"/>
    <d v="2024-05-09T00:00:00"/>
    <s v="Fashion"/>
    <s v="South"/>
    <x v="7"/>
    <n v="133.9"/>
    <n v="1071.2"/>
    <s v="Credit Card"/>
    <x v="0"/>
  </r>
  <r>
    <x v="951"/>
    <s v="CUST262"/>
    <d v="2024-12-18T00:00:00"/>
    <s v="Sports"/>
    <s v="South"/>
    <x v="6"/>
    <n v="189.59"/>
    <n v="568.77"/>
    <s v="Net Banking"/>
    <x v="0"/>
  </r>
  <r>
    <x v="952"/>
    <s v="CUST162"/>
    <d v="2024-01-26T00:00:00"/>
    <s v="Fashion"/>
    <s v="West"/>
    <x v="5"/>
    <n v="465.88"/>
    <n v="3261.16"/>
    <s v="Net Banking"/>
    <x v="0"/>
  </r>
  <r>
    <x v="953"/>
    <s v="CUST179"/>
    <d v="2024-01-05T00:00:00"/>
    <s v="Home"/>
    <s v="East"/>
    <x v="8"/>
    <n v="487.92"/>
    <n v="4391.28"/>
    <s v="Wallet"/>
    <x v="0"/>
  </r>
  <r>
    <x v="954"/>
    <s v="CUST248"/>
    <d v="2025-08-10T00:00:00"/>
    <s v="Beauty"/>
    <s v="East"/>
    <x v="6"/>
    <n v="400.79"/>
    <n v="1202.3699999999999"/>
    <s v="Credit Card"/>
    <x v="0"/>
  </r>
  <r>
    <x v="955"/>
    <s v="CUST345"/>
    <d v="2024-02-11T00:00:00"/>
    <s v="Electronics"/>
    <s v="East"/>
    <x v="6"/>
    <n v="340.61"/>
    <n v="1021.83"/>
    <s v="Credit Card"/>
    <x v="0"/>
  </r>
  <r>
    <x v="956"/>
    <s v="CUST305"/>
    <d v="2025-09-24T00:00:00"/>
    <s v="Electronics"/>
    <s v="East"/>
    <x v="2"/>
    <n v="225.76"/>
    <n v="903.04"/>
    <s v="Credit Card"/>
    <x v="0"/>
  </r>
  <r>
    <x v="957"/>
    <s v="CUST199"/>
    <d v="2025-08-20T00:00:00"/>
    <s v="Home"/>
    <s v="South"/>
    <x v="8"/>
    <n v="114.96"/>
    <n v="1034.6400000000001"/>
    <s v="Credit Card"/>
    <x v="0"/>
  </r>
  <r>
    <x v="958"/>
    <s v="CUST142"/>
    <d v="2025-07-05T00:00:00"/>
    <s v="Electronics"/>
    <s v="West"/>
    <x v="7"/>
    <n v="340.15"/>
    <n v="2721.2"/>
    <s v="UPI"/>
    <x v="0"/>
  </r>
  <r>
    <x v="959"/>
    <s v="CUST351"/>
    <d v="2024-11-21T00:00:00"/>
    <s v="Electronics"/>
    <s v="East"/>
    <x v="9"/>
    <n v="304.51"/>
    <n v="3045.1"/>
    <s v="Wallet"/>
    <x v="0"/>
  </r>
  <r>
    <x v="960"/>
    <s v="CUST175"/>
    <d v="2025-03-13T00:00:00"/>
    <s v="Electronics"/>
    <s v="East"/>
    <x v="3"/>
    <n v="196.13"/>
    <n v="1176.78"/>
    <s v="Net Banking"/>
    <x v="0"/>
  </r>
  <r>
    <x v="961"/>
    <s v="CUST279"/>
    <d v="2024-11-11T00:00:00"/>
    <s v="Electronics"/>
    <s v="South"/>
    <x v="7"/>
    <n v="437.78"/>
    <n v="3502.24"/>
    <s v="Wallet"/>
    <x v="0"/>
  </r>
  <r>
    <x v="962"/>
    <s v="CUST312"/>
    <d v="2025-03-29T00:00:00"/>
    <s v="Beauty"/>
    <s v="West"/>
    <x v="0"/>
    <n v="86.08"/>
    <n v="430.4"/>
    <s v="UPI"/>
    <x v="0"/>
  </r>
  <r>
    <x v="963"/>
    <s v="CUST144"/>
    <d v="2024-05-27T00:00:00"/>
    <s v="Sports"/>
    <s v="East"/>
    <x v="2"/>
    <n v="155.1"/>
    <n v="620.4"/>
    <s v="Credit Card"/>
    <x v="0"/>
  </r>
  <r>
    <x v="964"/>
    <s v="CUST292"/>
    <d v="2024-03-31T00:00:00"/>
    <s v="Home"/>
    <s v="West"/>
    <x v="1"/>
    <n v="207.68"/>
    <n v="207.68"/>
    <s v="UPI"/>
    <x v="0"/>
  </r>
  <r>
    <x v="965"/>
    <s v="CUST384"/>
    <d v="2025-04-18T00:00:00"/>
    <s v="Fashion"/>
    <s v="South"/>
    <x v="9"/>
    <n v="378.85"/>
    <n v="3788.5"/>
    <s v="UPI"/>
    <x v="0"/>
  </r>
  <r>
    <x v="966"/>
    <s v="CUST295"/>
    <d v="2024-10-23T00:00:00"/>
    <s v="Home"/>
    <s v="East"/>
    <x v="8"/>
    <n v="247.84"/>
    <n v="2230.56"/>
    <s v="Wallet"/>
    <x v="0"/>
  </r>
  <r>
    <x v="967"/>
    <s v="CUST386"/>
    <d v="2025-04-19T00:00:00"/>
    <s v="Electronics"/>
    <s v="South"/>
    <x v="2"/>
    <n v="18.29"/>
    <n v="73.16"/>
    <s v="Net Banking"/>
    <x v="0"/>
  </r>
  <r>
    <x v="968"/>
    <s v="CUST253"/>
    <d v="2025-10-17T00:00:00"/>
    <s v="Home"/>
    <s v="West"/>
    <x v="7"/>
    <n v="66.47"/>
    <n v="531.76"/>
    <s v="UPI"/>
    <x v="0"/>
  </r>
  <r>
    <x v="969"/>
    <s v="CUST351"/>
    <d v="2025-12-05T00:00:00"/>
    <s v="Home"/>
    <s v="West"/>
    <x v="2"/>
    <n v="19.079999999999998"/>
    <n v="76.319999999999993"/>
    <s v="Credit Card"/>
    <x v="0"/>
  </r>
  <r>
    <x v="970"/>
    <s v="CUST285"/>
    <d v="2025-08-18T00:00:00"/>
    <s v="Home"/>
    <s v="West"/>
    <x v="7"/>
    <n v="284.95999999999998"/>
    <n v="2279.6799999999998"/>
    <s v="Credit Card"/>
    <x v="0"/>
  </r>
  <r>
    <x v="971"/>
    <s v="CUST291"/>
    <d v="2025-06-08T00:00:00"/>
    <s v="Home"/>
    <s v="South"/>
    <x v="9"/>
    <n v="13.68"/>
    <n v="136.80000000000001"/>
    <s v="Credit Card"/>
    <x v="0"/>
  </r>
  <r>
    <x v="972"/>
    <s v="CUST174"/>
    <d v="2024-11-23T00:00:00"/>
    <s v="Fashion"/>
    <s v="East"/>
    <x v="7"/>
    <n v="439.77"/>
    <n v="3518.16"/>
    <s v="UPI"/>
    <x v="0"/>
  </r>
  <r>
    <x v="973"/>
    <s v="CUST127"/>
    <d v="2024-10-06T00:00:00"/>
    <s v="Home"/>
    <s v="North"/>
    <x v="3"/>
    <n v="212.66"/>
    <n v="1275.96"/>
    <s v="Net Banking"/>
    <x v="0"/>
  </r>
  <r>
    <x v="974"/>
    <s v="CUST249"/>
    <d v="2025-06-26T00:00:00"/>
    <s v="Fashion"/>
    <s v="North"/>
    <x v="4"/>
    <n v="259.36"/>
    <n v="518.72"/>
    <s v="UPI"/>
    <x v="0"/>
  </r>
  <r>
    <x v="975"/>
    <s v="CUST378"/>
    <d v="2024-11-26T00:00:00"/>
    <s v="Home"/>
    <s v="East"/>
    <x v="3"/>
    <n v="414.28"/>
    <n v="2485.6799999999998"/>
    <s v="Net Banking"/>
    <x v="0"/>
  </r>
  <r>
    <x v="976"/>
    <s v="CUST149"/>
    <d v="2025-07-01T00:00:00"/>
    <s v="Fashion"/>
    <s v="North"/>
    <x v="9"/>
    <n v="179.06"/>
    <n v="1790.6"/>
    <s v="UPI"/>
    <x v="0"/>
  </r>
  <r>
    <x v="977"/>
    <s v="CUST365"/>
    <d v="2024-10-15T00:00:00"/>
    <s v="Beauty"/>
    <s v="East"/>
    <x v="3"/>
    <n v="390.51"/>
    <n v="2343.06"/>
    <s v="UPI"/>
    <x v="0"/>
  </r>
  <r>
    <x v="978"/>
    <s v="CUST152"/>
    <d v="2024-08-11T00:00:00"/>
    <s v="Fashion"/>
    <s v="North"/>
    <x v="6"/>
    <n v="254.17"/>
    <n v="762.51"/>
    <s v="Wallet"/>
    <x v="0"/>
  </r>
  <r>
    <x v="979"/>
    <s v="CUST335"/>
    <d v="2024-03-19T00:00:00"/>
    <s v="Electronics"/>
    <s v="West"/>
    <x v="4"/>
    <n v="410.33"/>
    <n v="820.66"/>
    <s v="Net Banking"/>
    <x v="0"/>
  </r>
  <r>
    <x v="980"/>
    <s v="CUST259"/>
    <d v="2025-12-08T00:00:00"/>
    <s v="Beauty"/>
    <s v="East"/>
    <x v="3"/>
    <n v="73.81"/>
    <n v="442.86"/>
    <s v="UPI"/>
    <x v="0"/>
  </r>
  <r>
    <x v="981"/>
    <s v="CUST255"/>
    <d v="2024-01-30T00:00:00"/>
    <s v="Fashion"/>
    <s v="South"/>
    <x v="4"/>
    <n v="115.07"/>
    <n v="230.14"/>
    <s v="Net Banking"/>
    <x v="0"/>
  </r>
  <r>
    <x v="982"/>
    <s v="CUST164"/>
    <d v="2024-08-02T00:00:00"/>
    <s v="Beauty"/>
    <s v="North"/>
    <x v="6"/>
    <n v="490.65"/>
    <n v="1471.95"/>
    <s v="Credit Card"/>
    <x v="0"/>
  </r>
  <r>
    <x v="983"/>
    <s v="CUST109"/>
    <d v="2025-05-10T00:00:00"/>
    <s v="Electronics"/>
    <s v="North"/>
    <x v="5"/>
    <n v="26.05"/>
    <n v="182.35"/>
    <s v="Credit Card"/>
    <x v="0"/>
  </r>
  <r>
    <x v="984"/>
    <s v="CUST340"/>
    <d v="2024-05-01T00:00:00"/>
    <s v="Home"/>
    <s v="North"/>
    <x v="0"/>
    <n v="26.42"/>
    <n v="132.1"/>
    <s v="Credit Card"/>
    <x v="0"/>
  </r>
  <r>
    <x v="985"/>
    <s v="CUST163"/>
    <d v="2025-09-08T00:00:00"/>
    <s v="Fashion"/>
    <s v="South"/>
    <x v="2"/>
    <n v="295.86"/>
    <n v="1183.44"/>
    <s v="Net Banking"/>
    <x v="0"/>
  </r>
  <r>
    <x v="986"/>
    <s v="CUST114"/>
    <d v="2024-04-02T00:00:00"/>
    <s v="Home"/>
    <s v="East"/>
    <x v="6"/>
    <n v="423.7"/>
    <n v="1271.0999999999999"/>
    <s v="Net Banking"/>
    <x v="0"/>
  </r>
  <r>
    <x v="987"/>
    <s v="CUST182"/>
    <d v="2025-05-27T00:00:00"/>
    <s v="Sports"/>
    <s v="North"/>
    <x v="9"/>
    <n v="124.7"/>
    <n v="1247"/>
    <s v="Credit Card"/>
    <x v="0"/>
  </r>
  <r>
    <x v="988"/>
    <s v="CUST396"/>
    <d v="2024-01-15T00:00:00"/>
    <s v="Fashion"/>
    <s v="East"/>
    <x v="8"/>
    <n v="112.41"/>
    <n v="1011.69"/>
    <s v="UPI"/>
    <x v="0"/>
  </r>
  <r>
    <x v="989"/>
    <s v="CUST375"/>
    <d v="2024-01-05T00:00:00"/>
    <s v="Sports"/>
    <s v="West"/>
    <x v="4"/>
    <n v="462.49"/>
    <n v="924.98"/>
    <s v="Net Banking"/>
    <x v="0"/>
  </r>
  <r>
    <x v="990"/>
    <s v="CUST194"/>
    <d v="2025-03-26T00:00:00"/>
    <s v="Home"/>
    <s v="West"/>
    <x v="4"/>
    <n v="94.52"/>
    <n v="189.04"/>
    <s v="Wallet"/>
    <x v="0"/>
  </r>
  <r>
    <x v="991"/>
    <s v="CUST209"/>
    <d v="2025-06-10T00:00:00"/>
    <s v="Home"/>
    <s v="North"/>
    <x v="2"/>
    <n v="206.75"/>
    <n v="827"/>
    <s v="Wallet"/>
    <x v="0"/>
  </r>
  <r>
    <x v="992"/>
    <s v="CUST156"/>
    <d v="2025-06-16T00:00:00"/>
    <s v="Home"/>
    <s v="East"/>
    <x v="6"/>
    <n v="250.43"/>
    <n v="751.29"/>
    <s v="Credit Card"/>
    <x v="0"/>
  </r>
  <r>
    <x v="993"/>
    <s v="CUST142"/>
    <d v="2024-12-01T00:00:00"/>
    <s v="Home"/>
    <s v="West"/>
    <x v="7"/>
    <n v="62.28"/>
    <n v="498.24"/>
    <s v="Net Banking"/>
    <x v="0"/>
  </r>
  <r>
    <x v="994"/>
    <s v="CUST327"/>
    <d v="2024-08-19T00:00:00"/>
    <s v="Beauty"/>
    <s v="South"/>
    <x v="8"/>
    <n v="206.6"/>
    <n v="1859.4"/>
    <s v="Credit Card"/>
    <x v="0"/>
  </r>
  <r>
    <x v="995"/>
    <s v="CUST343"/>
    <d v="2025-11-26T00:00:00"/>
    <s v="Beauty"/>
    <s v="North"/>
    <x v="3"/>
    <n v="93.75"/>
    <n v="562.5"/>
    <s v="Wallet"/>
    <x v="0"/>
  </r>
  <r>
    <x v="996"/>
    <s v="CUST324"/>
    <d v="2025-06-19T00:00:00"/>
    <s v="Beauty"/>
    <s v="West"/>
    <x v="4"/>
    <n v="64.010000000000005"/>
    <n v="128.02000000000001"/>
    <s v="Credit Card"/>
    <x v="0"/>
  </r>
  <r>
    <x v="997"/>
    <s v="CUST186"/>
    <d v="2024-03-07T00:00:00"/>
    <s v="Home"/>
    <s v="South"/>
    <x v="3"/>
    <n v="487.73"/>
    <n v="2926.38"/>
    <s v="Wallet"/>
    <x v="0"/>
  </r>
  <r>
    <x v="998"/>
    <s v="CUST162"/>
    <d v="2024-08-26T00:00:00"/>
    <s v="Home"/>
    <s v="East"/>
    <x v="5"/>
    <n v="363.97"/>
    <n v="2547.79"/>
    <s v="Wallet"/>
    <x v="0"/>
  </r>
  <r>
    <x v="999"/>
    <s v="CUST282"/>
    <d v="2025-05-02T00:00:00"/>
    <s v="Beauty"/>
    <s v="East"/>
    <x v="9"/>
    <n v="475.32"/>
    <n v="4753.2"/>
    <s v="UPI"/>
    <x v="0"/>
  </r>
  <r>
    <x v="1000"/>
    <s v="CUST332"/>
    <d v="2024-04-20T00:00:00"/>
    <s v="Beauty"/>
    <s v="South"/>
    <x v="4"/>
    <n v="129.09"/>
    <n v="258.18"/>
    <s v="UPI"/>
    <x v="0"/>
  </r>
  <r>
    <x v="1001"/>
    <s v="CUST115"/>
    <d v="2024-04-11T00:00:00"/>
    <s v="Beauty"/>
    <s v="North"/>
    <x v="1"/>
    <n v="416"/>
    <n v="416"/>
    <s v="UPI"/>
    <x v="0"/>
  </r>
  <r>
    <x v="1002"/>
    <s v="CUST295"/>
    <d v="2025-09-11T00:00:00"/>
    <s v="Sports"/>
    <s v="North"/>
    <x v="3"/>
    <n v="80.599999999999994"/>
    <n v="483.6"/>
    <s v="Credit Card"/>
    <x v="0"/>
  </r>
  <r>
    <x v="1003"/>
    <s v="CUST366"/>
    <d v="2025-05-19T00:00:00"/>
    <s v="Beauty"/>
    <s v="West"/>
    <x v="7"/>
    <n v="104.96"/>
    <n v="839.68"/>
    <s v="Net Banking"/>
    <x v="0"/>
  </r>
  <r>
    <x v="1004"/>
    <s v="CUST377"/>
    <d v="2024-12-17T00:00:00"/>
    <s v="Electronics"/>
    <s v="West"/>
    <x v="8"/>
    <n v="275.58"/>
    <n v="2480.2199999999998"/>
    <s v="Credit Card"/>
    <x v="0"/>
  </r>
  <r>
    <x v="1005"/>
    <s v="CUST296"/>
    <d v="2025-04-05T00:00:00"/>
    <s v="Beauty"/>
    <s v="West"/>
    <x v="3"/>
    <n v="427.17"/>
    <n v="2563.02"/>
    <s v="Credit Card"/>
    <x v="0"/>
  </r>
  <r>
    <x v="1006"/>
    <s v="CUST116"/>
    <d v="2024-06-30T00:00:00"/>
    <s v="Home"/>
    <s v="South"/>
    <x v="8"/>
    <n v="331.41"/>
    <n v="2982.69"/>
    <s v="Wallet"/>
    <x v="0"/>
  </r>
  <r>
    <x v="1007"/>
    <s v="CUST320"/>
    <d v="2024-05-17T00:00:00"/>
    <s v="Beauty"/>
    <s v="North"/>
    <x v="0"/>
    <n v="359.28"/>
    <n v="1796.4"/>
    <s v="Wallet"/>
    <x v="0"/>
  </r>
  <r>
    <x v="1008"/>
    <s v="CUST383"/>
    <d v="2025-12-02T00:00:00"/>
    <s v="Beauty"/>
    <s v="South"/>
    <x v="8"/>
    <n v="288.24"/>
    <n v="2594.16"/>
    <s v="Credit Card"/>
    <x v="0"/>
  </r>
  <r>
    <x v="1009"/>
    <s v="CUST300"/>
    <d v="2024-09-26T00:00:00"/>
    <s v="Beauty"/>
    <s v="East"/>
    <x v="7"/>
    <n v="297.57"/>
    <n v="2380.56"/>
    <s v="Net Banking"/>
    <x v="0"/>
  </r>
  <r>
    <x v="1010"/>
    <s v="CUST264"/>
    <d v="2024-03-03T00:00:00"/>
    <s v="Fashion"/>
    <s v="East"/>
    <x v="1"/>
    <n v="297.27999999999997"/>
    <n v="297.27999999999997"/>
    <s v="Net Banking"/>
    <x v="0"/>
  </r>
  <r>
    <x v="1011"/>
    <s v="CUST398"/>
    <d v="2024-01-28T00:00:00"/>
    <s v="Beauty"/>
    <s v="East"/>
    <x v="3"/>
    <n v="193.38"/>
    <n v="1160.28"/>
    <s v="Net Banking"/>
    <x v="0"/>
  </r>
  <r>
    <x v="1012"/>
    <s v="CUST310"/>
    <d v="2024-12-25T00:00:00"/>
    <s v="Fashion"/>
    <s v="South"/>
    <x v="1"/>
    <n v="332.31"/>
    <n v="332.31"/>
    <s v="Net Banking"/>
    <x v="0"/>
  </r>
  <r>
    <x v="1013"/>
    <s v="CUST143"/>
    <d v="2025-12-05T00:00:00"/>
    <s v="Electronics"/>
    <s v="East"/>
    <x v="4"/>
    <n v="435.13"/>
    <n v="870.26"/>
    <s v="UPI"/>
    <x v="0"/>
  </r>
  <r>
    <x v="1014"/>
    <s v="CUST110"/>
    <d v="2025-07-05T00:00:00"/>
    <s v="Beauty"/>
    <s v="West"/>
    <x v="3"/>
    <n v="23.5"/>
    <n v="141"/>
    <s v="Net Banking"/>
    <x v="0"/>
  </r>
  <r>
    <x v="1015"/>
    <s v="CUST110"/>
    <d v="2025-12-13T00:00:00"/>
    <s v="Home"/>
    <s v="West"/>
    <x v="7"/>
    <n v="296.05"/>
    <n v="2368.4"/>
    <s v="Wallet"/>
    <x v="0"/>
  </r>
  <r>
    <x v="1016"/>
    <s v="CUST265"/>
    <d v="2025-08-09T00:00:00"/>
    <s v="Electronics"/>
    <s v="South"/>
    <x v="4"/>
    <n v="405.12"/>
    <n v="810.24"/>
    <s v="Net Banking"/>
    <x v="1"/>
  </r>
  <r>
    <x v="1017"/>
    <s v="CUST354"/>
    <d v="2025-05-29T00:00:00"/>
    <s v="Home"/>
    <s v="East"/>
    <x v="3"/>
    <n v="87.48"/>
    <n v="524.88"/>
    <s v="Wallet"/>
    <x v="0"/>
  </r>
  <r>
    <x v="1018"/>
    <s v="CUST203"/>
    <d v="2025-05-23T00:00:00"/>
    <s v="Sports"/>
    <s v="South"/>
    <x v="4"/>
    <n v="420.99"/>
    <n v="841.98"/>
    <s v="Net Banking"/>
    <x v="0"/>
  </r>
  <r>
    <x v="1019"/>
    <s v="CUST235"/>
    <d v="2024-02-18T00:00:00"/>
    <s v="Beauty"/>
    <s v="South"/>
    <x v="0"/>
    <n v="498.13"/>
    <n v="2490.65"/>
    <s v="Credit Card"/>
    <x v="0"/>
  </r>
  <r>
    <x v="1020"/>
    <s v="CUST396"/>
    <d v="2024-04-07T00:00:00"/>
    <s v="Electronics"/>
    <s v="West"/>
    <x v="9"/>
    <n v="171.73"/>
    <n v="1717.3"/>
    <s v="Wallet"/>
    <x v="0"/>
  </r>
  <r>
    <x v="1021"/>
    <s v="CUST207"/>
    <d v="2024-12-21T00:00:00"/>
    <s v="Home"/>
    <s v="East"/>
    <x v="4"/>
    <n v="327.51"/>
    <n v="655.02"/>
    <s v="Wallet"/>
    <x v="0"/>
  </r>
  <r>
    <x v="1022"/>
    <s v="CUST376"/>
    <d v="2024-11-16T00:00:00"/>
    <s v="Home"/>
    <s v="West"/>
    <x v="2"/>
    <n v="210.09"/>
    <n v="840.36"/>
    <s v="UPI"/>
    <x v="0"/>
  </r>
  <r>
    <x v="1023"/>
    <s v="CUST109"/>
    <d v="2025-10-04T00:00:00"/>
    <s v="Sports"/>
    <s v="West"/>
    <x v="8"/>
    <n v="432.04"/>
    <n v="3888.36"/>
    <s v="UPI"/>
    <x v="0"/>
  </r>
  <r>
    <x v="1024"/>
    <s v="CUST339"/>
    <d v="2024-10-01T00:00:00"/>
    <s v="Beauty"/>
    <s v="North"/>
    <x v="8"/>
    <n v="405.42"/>
    <n v="3648.78"/>
    <s v="UPI"/>
    <x v="0"/>
  </r>
  <r>
    <x v="1025"/>
    <s v="CUST286"/>
    <d v="2025-04-18T00:00:00"/>
    <s v="Home"/>
    <s v="West"/>
    <x v="6"/>
    <n v="123.99"/>
    <n v="371.97"/>
    <s v="Wallet"/>
    <x v="0"/>
  </r>
  <r>
    <x v="1026"/>
    <s v="CUST263"/>
    <d v="2024-03-06T00:00:00"/>
    <s v="Home"/>
    <s v="East"/>
    <x v="2"/>
    <n v="423.75"/>
    <n v="1695"/>
    <s v="UPI"/>
    <x v="0"/>
  </r>
  <r>
    <x v="1027"/>
    <s v="CUST231"/>
    <d v="2025-12-04T00:00:00"/>
    <s v="Fashion"/>
    <s v="North"/>
    <x v="9"/>
    <n v="121.88"/>
    <n v="1218.8"/>
    <s v="UPI"/>
    <x v="0"/>
  </r>
  <r>
    <x v="1028"/>
    <s v="CUST198"/>
    <d v="2024-01-29T00:00:00"/>
    <s v="Home"/>
    <s v="West"/>
    <x v="2"/>
    <n v="399.54"/>
    <n v="1598.16"/>
    <s v="Wallet"/>
    <x v="0"/>
  </r>
  <r>
    <x v="1029"/>
    <s v="CUST386"/>
    <d v="2025-03-22T00:00:00"/>
    <s v="Electronics"/>
    <s v="South"/>
    <x v="5"/>
    <n v="325.23"/>
    <n v="2276.61"/>
    <s v="UPI"/>
    <x v="0"/>
  </r>
  <r>
    <x v="1030"/>
    <s v="CUST239"/>
    <d v="2024-05-19T00:00:00"/>
    <s v="Home"/>
    <s v="South"/>
    <x v="1"/>
    <n v="132.91"/>
    <n v="132.91"/>
    <s v="Credit Card"/>
    <x v="0"/>
  </r>
  <r>
    <x v="1031"/>
    <s v="CUST348"/>
    <d v="2024-01-21T00:00:00"/>
    <s v="Electronics"/>
    <s v="East"/>
    <x v="1"/>
    <n v="430.49"/>
    <n v="430.49"/>
    <s v="Net Banking"/>
    <x v="0"/>
  </r>
  <r>
    <x v="1032"/>
    <s v="CUST132"/>
    <d v="2025-02-20T00:00:00"/>
    <s v="Electronics"/>
    <s v="West"/>
    <x v="3"/>
    <n v="337.48"/>
    <n v="2024.88"/>
    <s v="UPI"/>
    <x v="0"/>
  </r>
  <r>
    <x v="1033"/>
    <s v="CUST220"/>
    <d v="2024-04-24T00:00:00"/>
    <s v="Electronics"/>
    <s v="East"/>
    <x v="9"/>
    <n v="368.57"/>
    <n v="3685.7"/>
    <s v="Wallet"/>
    <x v="0"/>
  </r>
  <r>
    <x v="1034"/>
    <s v="CUST146"/>
    <d v="2024-08-31T00:00:00"/>
    <s v="Home"/>
    <s v="East"/>
    <x v="9"/>
    <n v="65.53"/>
    <n v="655.29999999999995"/>
    <s v="Wallet"/>
    <x v="0"/>
  </r>
  <r>
    <x v="1035"/>
    <s v="CUST220"/>
    <d v="2025-03-09T00:00:00"/>
    <s v="Fashion"/>
    <s v="South"/>
    <x v="2"/>
    <n v="76.42"/>
    <n v="305.68"/>
    <s v="Net Banking"/>
    <x v="0"/>
  </r>
  <r>
    <x v="1036"/>
    <s v="CUST325"/>
    <d v="2025-02-22T00:00:00"/>
    <s v="Electronics"/>
    <s v="West"/>
    <x v="0"/>
    <n v="432.14"/>
    <n v="2160.6999999999998"/>
    <s v="Net Banking"/>
    <x v="0"/>
  </r>
  <r>
    <x v="1037"/>
    <s v="CUST157"/>
    <d v="2024-11-20T00:00:00"/>
    <s v="Fashion"/>
    <s v="East"/>
    <x v="8"/>
    <n v="214.77"/>
    <n v="1932.93"/>
    <s v="UPI"/>
    <x v="0"/>
  </r>
  <r>
    <x v="1038"/>
    <s v="CUST285"/>
    <d v="2025-05-01T00:00:00"/>
    <s v="Electronics"/>
    <s v="North"/>
    <x v="3"/>
    <n v="411.58"/>
    <n v="2469.48"/>
    <s v="Credit Card"/>
    <x v="0"/>
  </r>
  <r>
    <x v="1039"/>
    <s v="CUST222"/>
    <d v="2024-09-16T00:00:00"/>
    <s v="Home"/>
    <s v="North"/>
    <x v="8"/>
    <n v="195.42"/>
    <n v="1758.78"/>
    <s v="UPI"/>
    <x v="0"/>
  </r>
  <r>
    <x v="1040"/>
    <s v="CUST326"/>
    <d v="2025-02-01T00:00:00"/>
    <s v="Beauty"/>
    <s v="East"/>
    <x v="1"/>
    <n v="455.35"/>
    <n v="455.35"/>
    <s v="Net Banking"/>
    <x v="0"/>
  </r>
  <r>
    <x v="1041"/>
    <s v="CUST146"/>
    <d v="2024-08-29T00:00:00"/>
    <s v="Fashion"/>
    <s v="West"/>
    <x v="0"/>
    <n v="109.14"/>
    <n v="545.70000000000005"/>
    <s v="Net Banking"/>
    <x v="0"/>
  </r>
  <r>
    <x v="1042"/>
    <s v="CUST308"/>
    <d v="2024-02-04T00:00:00"/>
    <s v="Beauty"/>
    <s v="West"/>
    <x v="0"/>
    <n v="433.89"/>
    <n v="2169.4499999999998"/>
    <s v="Wallet"/>
    <x v="0"/>
  </r>
  <r>
    <x v="1043"/>
    <s v="CUST270"/>
    <d v="2025-03-08T00:00:00"/>
    <s v="Home"/>
    <s v="North"/>
    <x v="4"/>
    <n v="413.08"/>
    <n v="826.16"/>
    <s v="Net Banking"/>
    <x v="0"/>
  </r>
  <r>
    <x v="1044"/>
    <s v="CUST315"/>
    <d v="2025-09-08T00:00:00"/>
    <s v="Beauty"/>
    <s v="North"/>
    <x v="8"/>
    <n v="370.2"/>
    <n v="3331.8"/>
    <s v="Credit Card"/>
    <x v="0"/>
  </r>
  <r>
    <x v="1045"/>
    <s v="CUST194"/>
    <d v="2025-10-07T00:00:00"/>
    <s v="Fashion"/>
    <s v="North"/>
    <x v="7"/>
    <n v="396.55"/>
    <n v="3172.4"/>
    <s v="Wallet"/>
    <x v="0"/>
  </r>
  <r>
    <x v="1046"/>
    <s v="CUST202"/>
    <d v="2025-10-05T00:00:00"/>
    <s v="Electronics"/>
    <s v="North"/>
    <x v="0"/>
    <n v="160.29"/>
    <n v="801.45"/>
    <s v="UPI"/>
    <x v="0"/>
  </r>
  <r>
    <x v="1047"/>
    <s v="CUST227"/>
    <d v="2025-06-12T00:00:00"/>
    <s v="Beauty"/>
    <s v="East"/>
    <x v="6"/>
    <n v="424.25"/>
    <n v="1272.75"/>
    <s v="Wallet"/>
    <x v="0"/>
  </r>
  <r>
    <x v="1048"/>
    <s v="CUST344"/>
    <d v="2024-05-16T00:00:00"/>
    <s v="Sports"/>
    <s v="East"/>
    <x v="0"/>
    <n v="90.87"/>
    <n v="454.35"/>
    <s v="Net Banking"/>
    <x v="0"/>
  </r>
  <r>
    <x v="1049"/>
    <s v="CUST201"/>
    <d v="2024-03-27T00:00:00"/>
    <s v="Beauty"/>
    <s v="West"/>
    <x v="5"/>
    <n v="186.96"/>
    <n v="1308.72"/>
    <s v="UPI"/>
    <x v="0"/>
  </r>
  <r>
    <x v="1050"/>
    <s v="CUST110"/>
    <d v="2024-01-24T00:00:00"/>
    <s v="Fashion"/>
    <s v="North"/>
    <x v="8"/>
    <n v="325.32"/>
    <n v="2927.88"/>
    <s v="Wallet"/>
    <x v="0"/>
  </r>
  <r>
    <x v="1051"/>
    <s v="CUST201"/>
    <d v="2024-09-25T00:00:00"/>
    <s v="Sports"/>
    <s v="West"/>
    <x v="6"/>
    <n v="29.64"/>
    <n v="88.92"/>
    <s v="Net Banking"/>
    <x v="0"/>
  </r>
  <r>
    <x v="1052"/>
    <s v="CUST176"/>
    <d v="2024-04-01T00:00:00"/>
    <s v="Sports"/>
    <s v="North"/>
    <x v="3"/>
    <n v="89.21"/>
    <n v="535.26"/>
    <s v="Credit Card"/>
    <x v="0"/>
  </r>
  <r>
    <x v="1053"/>
    <s v="CUST369"/>
    <d v="2025-03-21T00:00:00"/>
    <s v="Beauty"/>
    <s v="North"/>
    <x v="7"/>
    <n v="414.49"/>
    <n v="3315.92"/>
    <s v="UPI"/>
    <x v="0"/>
  </r>
  <r>
    <x v="1054"/>
    <s v="CUST204"/>
    <d v="2024-07-14T00:00:00"/>
    <s v="Beauty"/>
    <s v="West"/>
    <x v="0"/>
    <n v="147.54"/>
    <n v="737.7"/>
    <s v="UPI"/>
    <x v="0"/>
  </r>
  <r>
    <x v="1055"/>
    <s v="CUST320"/>
    <d v="2024-07-30T00:00:00"/>
    <s v="Home"/>
    <s v="South"/>
    <x v="9"/>
    <n v="111.71"/>
    <n v="1117.0999999999999"/>
    <s v="Wallet"/>
    <x v="0"/>
  </r>
  <r>
    <x v="1056"/>
    <s v="CUST192"/>
    <d v="2025-02-22T00:00:00"/>
    <s v="Home"/>
    <s v="South"/>
    <x v="6"/>
    <n v="19.239999999999998"/>
    <n v="57.72"/>
    <s v="Wallet"/>
    <x v="0"/>
  </r>
  <r>
    <x v="1057"/>
    <s v="CUST227"/>
    <d v="2025-01-13T00:00:00"/>
    <s v="Beauty"/>
    <s v="North"/>
    <x v="9"/>
    <n v="343.71"/>
    <n v="3437.1"/>
    <s v="Credit Card"/>
    <x v="0"/>
  </r>
  <r>
    <x v="1058"/>
    <s v="CUST340"/>
    <d v="2024-05-16T00:00:00"/>
    <s v="Beauty"/>
    <s v="South"/>
    <x v="3"/>
    <n v="487.33"/>
    <n v="2923.98"/>
    <s v="Wallet"/>
    <x v="0"/>
  </r>
  <r>
    <x v="1059"/>
    <s v="CUST316"/>
    <d v="2025-09-03T00:00:00"/>
    <s v="Sports"/>
    <s v="North"/>
    <x v="0"/>
    <n v="41.16"/>
    <n v="205.8"/>
    <s v="Credit Card"/>
    <x v="0"/>
  </r>
  <r>
    <x v="1060"/>
    <s v="CUST270"/>
    <d v="2024-08-28T00:00:00"/>
    <s v="Sports"/>
    <s v="North"/>
    <x v="7"/>
    <n v="454.57"/>
    <n v="3636.56"/>
    <s v="Credit Card"/>
    <x v="0"/>
  </r>
  <r>
    <x v="1061"/>
    <s v="CUST229"/>
    <d v="2025-05-31T00:00:00"/>
    <s v="Beauty"/>
    <s v="East"/>
    <x v="9"/>
    <n v="193.56"/>
    <n v="1935.6"/>
    <s v="UPI"/>
    <x v="0"/>
  </r>
  <r>
    <x v="1062"/>
    <s v="CUST386"/>
    <d v="2024-02-12T00:00:00"/>
    <s v="Fashion"/>
    <s v="West"/>
    <x v="9"/>
    <n v="93.79"/>
    <n v="937.9"/>
    <s v="Net Banking"/>
    <x v="0"/>
  </r>
  <r>
    <x v="1063"/>
    <s v="CUST339"/>
    <d v="2024-05-15T00:00:00"/>
    <s v="Sports"/>
    <s v="West"/>
    <x v="4"/>
    <n v="162.07"/>
    <n v="324.14"/>
    <s v="UPI"/>
    <x v="0"/>
  </r>
  <r>
    <x v="1064"/>
    <s v="CUST233"/>
    <d v="2024-04-29T00:00:00"/>
    <s v="Fashion"/>
    <s v="West"/>
    <x v="3"/>
    <n v="26.86"/>
    <n v="161.16"/>
    <s v="Net Banking"/>
    <x v="0"/>
  </r>
  <r>
    <x v="1065"/>
    <s v="CUST284"/>
    <d v="2025-03-16T00:00:00"/>
    <s v="Home"/>
    <s v="East"/>
    <x v="0"/>
    <n v="451.88"/>
    <n v="2259.4"/>
    <s v="Net Banking"/>
    <x v="0"/>
  </r>
  <r>
    <x v="1066"/>
    <s v="CUST323"/>
    <d v="2024-06-17T00:00:00"/>
    <s v="Beauty"/>
    <s v="South"/>
    <x v="3"/>
    <n v="369.75"/>
    <n v="2218.5"/>
    <s v="Wallet"/>
    <x v="0"/>
  </r>
  <r>
    <x v="1067"/>
    <s v="CUST127"/>
    <d v="2024-07-12T00:00:00"/>
    <s v="Fashion"/>
    <s v="North"/>
    <x v="6"/>
    <n v="32.01"/>
    <n v="96.03"/>
    <s v="Wallet"/>
    <x v="0"/>
  </r>
  <r>
    <x v="1068"/>
    <s v="CUST233"/>
    <d v="2024-06-16T00:00:00"/>
    <s v="Beauty"/>
    <s v="North"/>
    <x v="7"/>
    <n v="221.03"/>
    <n v="1768.24"/>
    <s v="Wallet"/>
    <x v="0"/>
  </r>
  <r>
    <x v="1069"/>
    <s v="CUST282"/>
    <d v="2025-12-27T00:00:00"/>
    <s v="Beauty"/>
    <s v="North"/>
    <x v="8"/>
    <n v="245.17"/>
    <n v="2206.5300000000002"/>
    <s v="UPI"/>
    <x v="0"/>
  </r>
  <r>
    <x v="1070"/>
    <s v="CUST163"/>
    <d v="2024-12-23T00:00:00"/>
    <s v="Home"/>
    <s v="South"/>
    <x v="4"/>
    <n v="105.85"/>
    <n v="211.7"/>
    <s v="UPI"/>
    <x v="0"/>
  </r>
  <r>
    <x v="1071"/>
    <s v="CUST360"/>
    <d v="2024-10-06T00:00:00"/>
    <s v="Sports"/>
    <s v="South"/>
    <x v="9"/>
    <n v="445.99"/>
    <n v="4459.8999999999996"/>
    <s v="Credit Card"/>
    <x v="0"/>
  </r>
  <r>
    <x v="1072"/>
    <s v="CUST369"/>
    <d v="2025-08-07T00:00:00"/>
    <s v="Electronics"/>
    <s v="South"/>
    <x v="6"/>
    <n v="211.13"/>
    <n v="633.39"/>
    <s v="Wallet"/>
    <x v="0"/>
  </r>
  <r>
    <x v="1073"/>
    <s v="CUST148"/>
    <d v="2024-12-02T00:00:00"/>
    <s v="Electronics"/>
    <s v="West"/>
    <x v="1"/>
    <n v="145.72"/>
    <n v="145.72"/>
    <s v="Net Banking"/>
    <x v="0"/>
  </r>
  <r>
    <x v="1074"/>
    <s v="CUST154"/>
    <d v="2024-11-27T00:00:00"/>
    <s v="Beauty"/>
    <s v="West"/>
    <x v="6"/>
    <n v="19.29"/>
    <n v="57.87"/>
    <s v="Wallet"/>
    <x v="0"/>
  </r>
  <r>
    <x v="1075"/>
    <s v="CUST237"/>
    <d v="2025-08-31T00:00:00"/>
    <s v="Electronics"/>
    <s v="West"/>
    <x v="1"/>
    <n v="168.07"/>
    <n v="168.07"/>
    <s v="Net Banking"/>
    <x v="0"/>
  </r>
  <r>
    <x v="1076"/>
    <s v="CUST391"/>
    <d v="2024-05-12T00:00:00"/>
    <s v="Home"/>
    <s v="East"/>
    <x v="2"/>
    <n v="432.32"/>
    <n v="1729.28"/>
    <s v="Credit Card"/>
    <x v="0"/>
  </r>
  <r>
    <x v="1077"/>
    <s v="CUST136"/>
    <d v="2025-07-14T00:00:00"/>
    <s v="Beauty"/>
    <s v="East"/>
    <x v="9"/>
    <n v="193.79"/>
    <n v="1937.9"/>
    <s v="UPI"/>
    <x v="0"/>
  </r>
  <r>
    <x v="1078"/>
    <s v="CUST222"/>
    <d v="2025-02-12T00:00:00"/>
    <s v="Fashion"/>
    <s v="South"/>
    <x v="4"/>
    <n v="15.15"/>
    <n v="30.3"/>
    <s v="Wallet"/>
    <x v="0"/>
  </r>
  <r>
    <x v="1079"/>
    <s v="CUST306"/>
    <d v="2024-10-18T00:00:00"/>
    <s v="Beauty"/>
    <s v="West"/>
    <x v="6"/>
    <n v="64.7"/>
    <n v="194.1"/>
    <s v="Net Banking"/>
    <x v="0"/>
  </r>
  <r>
    <x v="1080"/>
    <s v="CUST167"/>
    <d v="2025-01-02T00:00:00"/>
    <s v="Sports"/>
    <s v="South"/>
    <x v="4"/>
    <n v="416.87"/>
    <n v="833.74"/>
    <s v="Wallet"/>
    <x v="0"/>
  </r>
  <r>
    <x v="1081"/>
    <s v="CUST328"/>
    <d v="2025-02-01T00:00:00"/>
    <s v="Sports"/>
    <s v="West"/>
    <x v="7"/>
    <n v="137.9"/>
    <n v="1103.2"/>
    <s v="Credit Card"/>
    <x v="0"/>
  </r>
  <r>
    <x v="1082"/>
    <s v="CUST316"/>
    <d v="2025-01-12T00:00:00"/>
    <s v="Beauty"/>
    <s v="North"/>
    <x v="9"/>
    <n v="97.25"/>
    <n v="972.5"/>
    <s v="Credit Card"/>
    <x v="0"/>
  </r>
  <r>
    <x v="1083"/>
    <s v="CUST362"/>
    <d v="2024-12-15T00:00:00"/>
    <s v="Fashion"/>
    <s v="West"/>
    <x v="7"/>
    <n v="339.84"/>
    <n v="2718.72"/>
    <s v="Credit Card"/>
    <x v="0"/>
  </r>
  <r>
    <x v="1084"/>
    <s v="CUST248"/>
    <d v="2025-04-24T00:00:00"/>
    <s v="Beauty"/>
    <s v="East"/>
    <x v="5"/>
    <n v="44.2"/>
    <n v="309.39999999999998"/>
    <s v="UPI"/>
    <x v="0"/>
  </r>
  <r>
    <x v="1085"/>
    <s v="CUST165"/>
    <d v="2025-12-01T00:00:00"/>
    <s v="Sports"/>
    <s v="West"/>
    <x v="0"/>
    <n v="421.56"/>
    <n v="2107.8000000000002"/>
    <s v="Net Banking"/>
    <x v="0"/>
  </r>
  <r>
    <x v="1086"/>
    <s v="CUST391"/>
    <d v="2024-02-18T00:00:00"/>
    <s v="Electronics"/>
    <s v="North"/>
    <x v="8"/>
    <n v="42.88"/>
    <n v="385.92"/>
    <s v="Wallet"/>
    <x v="0"/>
  </r>
  <r>
    <x v="1087"/>
    <s v="CUST311"/>
    <d v="2024-04-06T00:00:00"/>
    <s v="Sports"/>
    <s v="East"/>
    <x v="7"/>
    <n v="332.12"/>
    <n v="2656.96"/>
    <s v="Net Banking"/>
    <x v="0"/>
  </r>
  <r>
    <x v="1088"/>
    <s v="CUST230"/>
    <d v="2025-08-22T00:00:00"/>
    <s v="Electronics"/>
    <s v="North"/>
    <x v="4"/>
    <n v="385.48"/>
    <n v="770.96"/>
    <s v="Wallet"/>
    <x v="0"/>
  </r>
  <r>
    <x v="1089"/>
    <s v="CUST191"/>
    <d v="2024-07-05T00:00:00"/>
    <s v="Beauty"/>
    <s v="East"/>
    <x v="5"/>
    <n v="27.4"/>
    <n v="191.8"/>
    <s v="Net Banking"/>
    <x v="0"/>
  </r>
  <r>
    <x v="1090"/>
    <s v="CUST332"/>
    <d v="2025-11-17T00:00:00"/>
    <s v="Home"/>
    <s v="East"/>
    <x v="7"/>
    <n v="313.79000000000002"/>
    <n v="2510.3200000000002"/>
    <s v="UPI"/>
    <x v="0"/>
  </r>
  <r>
    <x v="1091"/>
    <s v="CUST208"/>
    <d v="2024-07-08T00:00:00"/>
    <s v="Sports"/>
    <s v="East"/>
    <x v="4"/>
    <n v="374.78"/>
    <n v="749.56"/>
    <s v="Credit Card"/>
    <x v="0"/>
  </r>
  <r>
    <x v="1092"/>
    <s v="CUST322"/>
    <d v="2025-07-01T00:00:00"/>
    <s v="Electronics"/>
    <s v="North"/>
    <x v="1"/>
    <n v="7.89"/>
    <n v="7.89"/>
    <s v="UPI"/>
    <x v="0"/>
  </r>
  <r>
    <x v="1093"/>
    <s v="CUST344"/>
    <d v="2025-04-16T00:00:00"/>
    <s v="Sports"/>
    <s v="West"/>
    <x v="5"/>
    <n v="435.05"/>
    <n v="3045.35"/>
    <s v="Net Banking"/>
    <x v="0"/>
  </r>
  <r>
    <x v="1094"/>
    <s v="CUST284"/>
    <d v="2025-12-08T00:00:00"/>
    <s v="Electronics"/>
    <s v="South"/>
    <x v="5"/>
    <n v="403.3"/>
    <n v="2823.1"/>
    <s v="UPI"/>
    <x v="0"/>
  </r>
  <r>
    <x v="1095"/>
    <s v="CUST107"/>
    <d v="2024-07-14T00:00:00"/>
    <s v="Fashion"/>
    <s v="North"/>
    <x v="4"/>
    <n v="408.9"/>
    <n v="817.8"/>
    <s v="UPI"/>
    <x v="0"/>
  </r>
  <r>
    <x v="1096"/>
    <s v="CUST346"/>
    <d v="2025-10-26T00:00:00"/>
    <s v="Beauty"/>
    <s v="South"/>
    <x v="6"/>
    <n v="326.62"/>
    <n v="979.86"/>
    <s v="Credit Card"/>
    <x v="0"/>
  </r>
  <r>
    <x v="1097"/>
    <s v="CUST254"/>
    <d v="2025-04-19T00:00:00"/>
    <s v="Electronics"/>
    <s v="North"/>
    <x v="6"/>
    <n v="239.62"/>
    <n v="718.86"/>
    <s v="UPI"/>
    <x v="0"/>
  </r>
  <r>
    <x v="1098"/>
    <s v="CUST178"/>
    <d v="2025-12-20T00:00:00"/>
    <s v="Beauty"/>
    <s v="North"/>
    <x v="7"/>
    <n v="482.11"/>
    <n v="3856.88"/>
    <s v="Wallet"/>
    <x v="0"/>
  </r>
  <r>
    <x v="1099"/>
    <s v="CUST399"/>
    <d v="2024-09-05T00:00:00"/>
    <s v="Beauty"/>
    <s v="North"/>
    <x v="2"/>
    <n v="150.94"/>
    <n v="603.76"/>
    <s v="Net Banking"/>
    <x v="0"/>
  </r>
  <r>
    <x v="1100"/>
    <s v="CUST104"/>
    <d v="2024-04-15T00:00:00"/>
    <s v="Beauty"/>
    <s v="East"/>
    <x v="5"/>
    <n v="489.85"/>
    <n v="3428.95"/>
    <s v="Credit Card"/>
    <x v="0"/>
  </r>
  <r>
    <x v="1101"/>
    <s v="CUST349"/>
    <d v="2025-02-13T00:00:00"/>
    <s v="Sports"/>
    <s v="West"/>
    <x v="7"/>
    <n v="259.11"/>
    <n v="2072.88"/>
    <s v="UPI"/>
    <x v="0"/>
  </r>
  <r>
    <x v="1102"/>
    <s v="CUST131"/>
    <d v="2025-06-24T00:00:00"/>
    <s v="Home"/>
    <s v="North"/>
    <x v="1"/>
    <n v="213.89"/>
    <n v="213.89"/>
    <s v="Net Banking"/>
    <x v="0"/>
  </r>
  <r>
    <x v="1103"/>
    <s v="CUST313"/>
    <d v="2025-04-29T00:00:00"/>
    <s v="Home"/>
    <s v="West"/>
    <x v="4"/>
    <n v="249.92"/>
    <n v="499.84"/>
    <s v="Wallet"/>
    <x v="0"/>
  </r>
  <r>
    <x v="1104"/>
    <s v="CUST110"/>
    <d v="2024-06-14T00:00:00"/>
    <s v="Beauty"/>
    <s v="East"/>
    <x v="0"/>
    <n v="364.47"/>
    <n v="1822.35"/>
    <s v="Wallet"/>
    <x v="0"/>
  </r>
  <r>
    <x v="1105"/>
    <s v="CUST218"/>
    <d v="2025-06-03T00:00:00"/>
    <s v="Home"/>
    <s v="West"/>
    <x v="2"/>
    <n v="295.89"/>
    <n v="1183.56"/>
    <s v="UPI"/>
    <x v="0"/>
  </r>
  <r>
    <x v="1106"/>
    <s v="CUST250"/>
    <d v="2025-12-29T00:00:00"/>
    <s v="Home"/>
    <s v="West"/>
    <x v="5"/>
    <n v="480.1"/>
    <n v="3360.7"/>
    <s v="UPI"/>
    <x v="0"/>
  </r>
  <r>
    <x v="1107"/>
    <s v="CUST206"/>
    <d v="2024-10-16T00:00:00"/>
    <s v="Fashion"/>
    <s v="South"/>
    <x v="4"/>
    <n v="335.19"/>
    <n v="670.38"/>
    <s v="UPI"/>
    <x v="0"/>
  </r>
  <r>
    <x v="1108"/>
    <s v="CUST180"/>
    <d v="2025-09-12T00:00:00"/>
    <s v="Beauty"/>
    <s v="West"/>
    <x v="7"/>
    <n v="54.95"/>
    <n v="439.6"/>
    <s v="Net Banking"/>
    <x v="0"/>
  </r>
  <r>
    <x v="1109"/>
    <s v="CUST220"/>
    <d v="2024-08-02T00:00:00"/>
    <s v="Electronics"/>
    <s v="East"/>
    <x v="8"/>
    <n v="28.29"/>
    <n v="254.61"/>
    <s v="Net Banking"/>
    <x v="0"/>
  </r>
  <r>
    <x v="1110"/>
    <s v="CUST282"/>
    <d v="2025-11-24T00:00:00"/>
    <s v="Sports"/>
    <s v="North"/>
    <x v="6"/>
    <n v="91.48"/>
    <n v="274.44"/>
    <s v="Credit Card"/>
    <x v="0"/>
  </r>
  <r>
    <x v="1111"/>
    <s v="CUST272"/>
    <d v="2025-03-16T00:00:00"/>
    <s v="Electronics"/>
    <s v="South"/>
    <x v="4"/>
    <n v="310.69"/>
    <n v="621.38"/>
    <s v="Wallet"/>
    <x v="0"/>
  </r>
  <r>
    <x v="1112"/>
    <s v="CUST232"/>
    <d v="2024-12-14T00:00:00"/>
    <s v="Sports"/>
    <s v="East"/>
    <x v="3"/>
    <n v="385.84"/>
    <n v="2315.04"/>
    <s v="UPI"/>
    <x v="0"/>
  </r>
  <r>
    <x v="1113"/>
    <s v="CUST363"/>
    <d v="2025-09-10T00:00:00"/>
    <s v="Beauty"/>
    <s v="West"/>
    <x v="4"/>
    <n v="354.67"/>
    <n v="709.34"/>
    <s v="Credit Card"/>
    <x v="0"/>
  </r>
  <r>
    <x v="1114"/>
    <s v="CUST154"/>
    <d v="2025-09-17T00:00:00"/>
    <s v="Electronics"/>
    <s v="North"/>
    <x v="9"/>
    <n v="392.17"/>
    <n v="3921.7"/>
    <s v="Credit Card"/>
    <x v="0"/>
  </r>
  <r>
    <x v="1115"/>
    <s v="CUST185"/>
    <d v="2025-10-07T00:00:00"/>
    <s v="Home"/>
    <s v="South"/>
    <x v="4"/>
    <n v="436.08"/>
    <n v="872.16"/>
    <s v="Net Banking"/>
    <x v="0"/>
  </r>
  <r>
    <x v="1116"/>
    <s v="CUST326"/>
    <d v="2025-06-02T00:00:00"/>
    <s v="Electronics"/>
    <s v="South"/>
    <x v="7"/>
    <n v="367.61"/>
    <n v="2940.88"/>
    <s v="Net Banking"/>
    <x v="0"/>
  </r>
  <r>
    <x v="1117"/>
    <s v="CUST271"/>
    <d v="2024-05-21T00:00:00"/>
    <s v="Beauty"/>
    <s v="West"/>
    <x v="4"/>
    <n v="425.05"/>
    <n v="850.1"/>
    <s v="Credit Card"/>
    <x v="0"/>
  </r>
  <r>
    <x v="1118"/>
    <s v="CUST225"/>
    <d v="2025-04-30T00:00:00"/>
    <s v="Fashion"/>
    <s v="North"/>
    <x v="3"/>
    <n v="146.94999999999999"/>
    <n v="881.7"/>
    <s v="Net Banking"/>
    <x v="0"/>
  </r>
  <r>
    <x v="1119"/>
    <s v="CUST290"/>
    <d v="2025-02-28T00:00:00"/>
    <s v="Fashion"/>
    <s v="South"/>
    <x v="3"/>
    <n v="316.57"/>
    <n v="1899.42"/>
    <s v="Wallet"/>
    <x v="0"/>
  </r>
  <r>
    <x v="1120"/>
    <s v="CUST216"/>
    <d v="2024-05-21T00:00:00"/>
    <s v="Beauty"/>
    <s v="West"/>
    <x v="5"/>
    <n v="209.64"/>
    <n v="1467.48"/>
    <s v="Net Banking"/>
    <x v="0"/>
  </r>
  <r>
    <x v="1121"/>
    <s v="CUST115"/>
    <d v="2025-03-29T00:00:00"/>
    <s v="Sports"/>
    <s v="North"/>
    <x v="6"/>
    <n v="386.23"/>
    <n v="1158.69"/>
    <s v="Credit Card"/>
    <x v="0"/>
  </r>
  <r>
    <x v="1122"/>
    <s v="CUST273"/>
    <d v="2024-11-18T00:00:00"/>
    <s v="Fashion"/>
    <s v="West"/>
    <x v="5"/>
    <n v="491.06"/>
    <n v="3437.42"/>
    <s v="Credit Card"/>
    <x v="0"/>
  </r>
  <r>
    <x v="1123"/>
    <s v="CUST301"/>
    <d v="2024-02-07T00:00:00"/>
    <s v="Electronics"/>
    <s v="East"/>
    <x v="6"/>
    <n v="451.74"/>
    <n v="1355.22"/>
    <s v="Wallet"/>
    <x v="1"/>
  </r>
  <r>
    <x v="1124"/>
    <s v="CUST305"/>
    <d v="2025-11-28T00:00:00"/>
    <s v="Home"/>
    <s v="East"/>
    <x v="8"/>
    <n v="437.41"/>
    <n v="3936.69"/>
    <s v="Credit Card"/>
    <x v="0"/>
  </r>
  <r>
    <x v="1125"/>
    <s v="CUST243"/>
    <d v="2025-06-24T00:00:00"/>
    <s v="Beauty"/>
    <s v="West"/>
    <x v="9"/>
    <n v="460.62"/>
    <n v="4606.2"/>
    <s v="UPI"/>
    <x v="0"/>
  </r>
  <r>
    <x v="1126"/>
    <s v="CUST378"/>
    <d v="2025-10-01T00:00:00"/>
    <s v="Home"/>
    <s v="West"/>
    <x v="9"/>
    <n v="327.76"/>
    <n v="3277.6"/>
    <s v="UPI"/>
    <x v="0"/>
  </r>
  <r>
    <x v="1127"/>
    <s v="CUST254"/>
    <d v="2024-03-27T00:00:00"/>
    <s v="Beauty"/>
    <s v="South"/>
    <x v="1"/>
    <n v="271.02999999999997"/>
    <n v="271.02999999999997"/>
    <s v="Net Banking"/>
    <x v="0"/>
  </r>
  <r>
    <x v="1128"/>
    <s v="CUST209"/>
    <d v="2024-04-05T00:00:00"/>
    <s v="Sports"/>
    <s v="East"/>
    <x v="8"/>
    <n v="278.13"/>
    <n v="2503.17"/>
    <s v="UPI"/>
    <x v="0"/>
  </r>
  <r>
    <x v="1129"/>
    <s v="CUST111"/>
    <d v="2024-01-29T00:00:00"/>
    <s v="Fashion"/>
    <s v="East"/>
    <x v="8"/>
    <n v="298.29000000000002"/>
    <n v="2684.61"/>
    <s v="Wallet"/>
    <x v="0"/>
  </r>
  <r>
    <x v="1130"/>
    <s v="CUST358"/>
    <d v="2024-04-23T00:00:00"/>
    <s v="Home"/>
    <s v="East"/>
    <x v="1"/>
    <n v="421.58"/>
    <n v="421.58"/>
    <s v="Credit Card"/>
    <x v="0"/>
  </r>
  <r>
    <x v="1131"/>
    <s v="CUST124"/>
    <d v="2025-10-28T00:00:00"/>
    <s v="Sports"/>
    <s v="North"/>
    <x v="4"/>
    <n v="227.12"/>
    <n v="454.24"/>
    <s v="Wallet"/>
    <x v="0"/>
  </r>
  <r>
    <x v="1132"/>
    <s v="CUST273"/>
    <d v="2024-08-29T00:00:00"/>
    <s v="Sports"/>
    <s v="South"/>
    <x v="9"/>
    <n v="284.97000000000003"/>
    <n v="2849.7"/>
    <s v="Net Banking"/>
    <x v="0"/>
  </r>
  <r>
    <x v="1133"/>
    <s v="CUST253"/>
    <d v="2024-10-18T00:00:00"/>
    <s v="Beauty"/>
    <s v="South"/>
    <x v="9"/>
    <n v="337.85"/>
    <n v="3378.5"/>
    <s v="Credit Card"/>
    <x v="0"/>
  </r>
  <r>
    <x v="1134"/>
    <s v="CUST267"/>
    <d v="2025-06-12T00:00:00"/>
    <s v="Home"/>
    <s v="West"/>
    <x v="9"/>
    <n v="100.31"/>
    <n v="1003.1"/>
    <s v="Credit Card"/>
    <x v="0"/>
  </r>
  <r>
    <x v="1135"/>
    <s v="CUST175"/>
    <d v="2025-12-29T00:00:00"/>
    <s v="Electronics"/>
    <s v="North"/>
    <x v="5"/>
    <n v="415.08"/>
    <n v="2905.56"/>
    <s v="Credit Card"/>
    <x v="0"/>
  </r>
  <r>
    <x v="1136"/>
    <s v="CUST317"/>
    <d v="2024-05-13T00:00:00"/>
    <s v="Electronics"/>
    <s v="East"/>
    <x v="7"/>
    <n v="111.32"/>
    <n v="890.56"/>
    <s v="Wallet"/>
    <x v="0"/>
  </r>
  <r>
    <x v="1137"/>
    <s v="CUST386"/>
    <d v="2025-06-15T00:00:00"/>
    <s v="Sports"/>
    <s v="West"/>
    <x v="5"/>
    <n v="436.65"/>
    <n v="3056.55"/>
    <s v="Wallet"/>
    <x v="0"/>
  </r>
  <r>
    <x v="1138"/>
    <s v="CUST325"/>
    <d v="2025-12-06T00:00:00"/>
    <s v="Beauty"/>
    <s v="South"/>
    <x v="7"/>
    <n v="367.2"/>
    <n v="2937.6"/>
    <s v="UPI"/>
    <x v="0"/>
  </r>
  <r>
    <x v="1139"/>
    <s v="CUST358"/>
    <d v="2024-05-10T00:00:00"/>
    <s v="Fashion"/>
    <s v="North"/>
    <x v="7"/>
    <n v="357.02"/>
    <n v="2856.16"/>
    <s v="UPI"/>
    <x v="0"/>
  </r>
  <r>
    <x v="1140"/>
    <s v="CUST333"/>
    <d v="2025-04-29T00:00:00"/>
    <s v="Sports"/>
    <s v="East"/>
    <x v="1"/>
    <n v="374.52"/>
    <n v="374.52"/>
    <s v="Credit Card"/>
    <x v="0"/>
  </r>
  <r>
    <x v="1141"/>
    <s v="CUST309"/>
    <d v="2024-04-22T00:00:00"/>
    <s v="Home"/>
    <s v="North"/>
    <x v="4"/>
    <n v="187.95"/>
    <n v="375.9"/>
    <s v="UPI"/>
    <x v="0"/>
  </r>
  <r>
    <x v="1142"/>
    <s v="CUST160"/>
    <d v="2025-01-15T00:00:00"/>
    <s v="Home"/>
    <s v="East"/>
    <x v="0"/>
    <n v="495.55"/>
    <n v="2477.75"/>
    <s v="Wallet"/>
    <x v="0"/>
  </r>
  <r>
    <x v="1143"/>
    <s v="CUST114"/>
    <d v="2024-05-26T00:00:00"/>
    <s v="Beauty"/>
    <s v="North"/>
    <x v="6"/>
    <n v="392.98"/>
    <n v="1178.94"/>
    <s v="Net Banking"/>
    <x v="0"/>
  </r>
  <r>
    <x v="1144"/>
    <s v="CUST245"/>
    <d v="2024-08-08T00:00:00"/>
    <s v="Beauty"/>
    <s v="North"/>
    <x v="6"/>
    <n v="410.47"/>
    <n v="1231.4100000000001"/>
    <s v="Credit Card"/>
    <x v="0"/>
  </r>
  <r>
    <x v="1145"/>
    <s v="CUST380"/>
    <d v="2024-12-23T00:00:00"/>
    <s v="Beauty"/>
    <s v="West"/>
    <x v="4"/>
    <n v="435.86"/>
    <n v="871.72"/>
    <s v="Net Banking"/>
    <x v="1"/>
  </r>
  <r>
    <x v="1146"/>
    <s v="CUST389"/>
    <d v="2025-04-08T00:00:00"/>
    <s v="Beauty"/>
    <s v="South"/>
    <x v="3"/>
    <n v="391.77"/>
    <n v="2350.62"/>
    <s v="UPI"/>
    <x v="0"/>
  </r>
  <r>
    <x v="1147"/>
    <s v="CUST358"/>
    <d v="2025-10-13T00:00:00"/>
    <s v="Beauty"/>
    <s v="South"/>
    <x v="7"/>
    <n v="382.03"/>
    <n v="3056.24"/>
    <s v="Net Banking"/>
    <x v="0"/>
  </r>
  <r>
    <x v="1148"/>
    <s v="CUST145"/>
    <d v="2025-10-01T00:00:00"/>
    <s v="Fashion"/>
    <s v="West"/>
    <x v="9"/>
    <n v="207.77"/>
    <n v="2077.6999999999998"/>
    <s v="Net Banking"/>
    <x v="0"/>
  </r>
  <r>
    <x v="1149"/>
    <s v="CUST376"/>
    <d v="2024-02-16T00:00:00"/>
    <s v="Electronics"/>
    <s v="South"/>
    <x v="7"/>
    <n v="369.28"/>
    <n v="2954.24"/>
    <s v="Credit Card"/>
    <x v="0"/>
  </r>
  <r>
    <x v="1150"/>
    <s v="CUST392"/>
    <d v="2025-10-07T00:00:00"/>
    <s v="Electronics"/>
    <s v="North"/>
    <x v="0"/>
    <n v="282.72000000000003"/>
    <n v="1413.6"/>
    <s v="UPI"/>
    <x v="0"/>
  </r>
  <r>
    <x v="1151"/>
    <s v="CUST377"/>
    <d v="2025-08-13T00:00:00"/>
    <s v="Sports"/>
    <s v="South"/>
    <x v="1"/>
    <n v="478.86"/>
    <n v="478.86"/>
    <s v="Wallet"/>
    <x v="0"/>
  </r>
  <r>
    <x v="1152"/>
    <s v="CUST357"/>
    <d v="2024-01-20T00:00:00"/>
    <s v="Sports"/>
    <s v="South"/>
    <x v="4"/>
    <n v="330.84"/>
    <n v="661.68"/>
    <s v="Credit Card"/>
    <x v="0"/>
  </r>
  <r>
    <x v="1153"/>
    <s v="CUST240"/>
    <d v="2024-07-29T00:00:00"/>
    <s v="Sports"/>
    <s v="West"/>
    <x v="2"/>
    <n v="415.7"/>
    <n v="1662.8"/>
    <s v="Credit Card"/>
    <x v="0"/>
  </r>
  <r>
    <x v="1154"/>
    <s v="CUST373"/>
    <d v="2025-09-13T00:00:00"/>
    <s v="Electronics"/>
    <s v="West"/>
    <x v="3"/>
    <n v="203.89"/>
    <n v="1223.3399999999999"/>
    <s v="Credit Card"/>
    <x v="0"/>
  </r>
  <r>
    <x v="1155"/>
    <s v="CUST274"/>
    <d v="2025-03-23T00:00:00"/>
    <s v="Sports"/>
    <s v="East"/>
    <x v="6"/>
    <n v="210.39"/>
    <n v="631.16999999999996"/>
    <s v="Wallet"/>
    <x v="0"/>
  </r>
  <r>
    <x v="1156"/>
    <s v="CUST231"/>
    <d v="2024-04-03T00:00:00"/>
    <s v="Sports"/>
    <s v="South"/>
    <x v="4"/>
    <n v="489.99"/>
    <n v="979.98"/>
    <s v="Net Banking"/>
    <x v="0"/>
  </r>
  <r>
    <x v="1157"/>
    <s v="CUST173"/>
    <d v="2024-07-06T00:00:00"/>
    <s v="Fashion"/>
    <s v="East"/>
    <x v="0"/>
    <n v="385.31"/>
    <n v="1926.55"/>
    <s v="Wallet"/>
    <x v="0"/>
  </r>
  <r>
    <x v="1158"/>
    <s v="CUST186"/>
    <d v="2024-03-01T00:00:00"/>
    <s v="Fashion"/>
    <s v="North"/>
    <x v="9"/>
    <n v="480.76"/>
    <n v="4807.6000000000004"/>
    <s v="Credit Card"/>
    <x v="0"/>
  </r>
  <r>
    <x v="1159"/>
    <s v="CUST252"/>
    <d v="2025-02-03T00:00:00"/>
    <s v="Beauty"/>
    <s v="East"/>
    <x v="4"/>
    <n v="163.41999999999999"/>
    <n v="326.83999999999997"/>
    <s v="Net Banking"/>
    <x v="0"/>
  </r>
  <r>
    <x v="1160"/>
    <s v="CUST292"/>
    <d v="2024-05-03T00:00:00"/>
    <s v="Sports"/>
    <s v="South"/>
    <x v="1"/>
    <n v="105.27"/>
    <n v="105.27"/>
    <s v="Wallet"/>
    <x v="0"/>
  </r>
  <r>
    <x v="1161"/>
    <s v="CUST360"/>
    <d v="2025-05-31T00:00:00"/>
    <s v="Home"/>
    <s v="North"/>
    <x v="5"/>
    <n v="474.93"/>
    <n v="3324.51"/>
    <s v="Net Banking"/>
    <x v="0"/>
  </r>
  <r>
    <x v="1162"/>
    <s v="CUST337"/>
    <d v="2025-07-20T00:00:00"/>
    <s v="Electronics"/>
    <s v="West"/>
    <x v="5"/>
    <n v="37.4"/>
    <n v="261.8"/>
    <s v="UPI"/>
    <x v="0"/>
  </r>
  <r>
    <x v="1163"/>
    <s v="CUST109"/>
    <d v="2024-10-02T00:00:00"/>
    <s v="Electronics"/>
    <s v="South"/>
    <x v="8"/>
    <n v="481.92"/>
    <n v="4337.28"/>
    <s v="UPI"/>
    <x v="0"/>
  </r>
  <r>
    <x v="1164"/>
    <s v="CUST255"/>
    <d v="2025-08-04T00:00:00"/>
    <s v="Sports"/>
    <s v="South"/>
    <x v="5"/>
    <n v="225.76"/>
    <n v="1580.32"/>
    <s v="UPI"/>
    <x v="0"/>
  </r>
  <r>
    <x v="1165"/>
    <s v="CUST291"/>
    <d v="2025-07-07T00:00:00"/>
    <s v="Sports"/>
    <s v="West"/>
    <x v="6"/>
    <n v="392.1"/>
    <n v="1176.3"/>
    <s v="Wallet"/>
    <x v="0"/>
  </r>
  <r>
    <x v="1166"/>
    <s v="CUST121"/>
    <d v="2024-01-02T00:00:00"/>
    <s v="Sports"/>
    <s v="East"/>
    <x v="7"/>
    <n v="480.75"/>
    <n v="3846"/>
    <s v="UPI"/>
    <x v="0"/>
  </r>
  <r>
    <x v="1167"/>
    <s v="CUST100"/>
    <d v="2024-03-02T00:00:00"/>
    <s v="Home"/>
    <s v="West"/>
    <x v="7"/>
    <n v="140.28"/>
    <n v="1122.24"/>
    <s v="Net Banking"/>
    <x v="0"/>
  </r>
  <r>
    <x v="1168"/>
    <s v="CUST208"/>
    <d v="2025-08-22T00:00:00"/>
    <s v="Fashion"/>
    <s v="North"/>
    <x v="8"/>
    <n v="144.25"/>
    <n v="1298.25"/>
    <s v="Net Banking"/>
    <x v="0"/>
  </r>
  <r>
    <x v="1169"/>
    <s v="CUST145"/>
    <d v="2025-02-08T00:00:00"/>
    <s v="Sports"/>
    <s v="East"/>
    <x v="4"/>
    <n v="416.1"/>
    <n v="832.2"/>
    <s v="Wallet"/>
    <x v="0"/>
  </r>
  <r>
    <x v="1170"/>
    <s v="CUST207"/>
    <d v="2025-09-17T00:00:00"/>
    <s v="Home"/>
    <s v="East"/>
    <x v="8"/>
    <n v="478.92"/>
    <n v="4310.28"/>
    <s v="Net Banking"/>
    <x v="0"/>
  </r>
  <r>
    <x v="1171"/>
    <s v="CUST331"/>
    <d v="2024-10-06T00:00:00"/>
    <s v="Home"/>
    <s v="East"/>
    <x v="2"/>
    <n v="332.83"/>
    <n v="1331.32"/>
    <s v="UPI"/>
    <x v="0"/>
  </r>
  <r>
    <x v="1172"/>
    <s v="CUST335"/>
    <d v="2025-09-05T00:00:00"/>
    <s v="Fashion"/>
    <s v="North"/>
    <x v="3"/>
    <n v="12.86"/>
    <n v="77.16"/>
    <s v="Wallet"/>
    <x v="0"/>
  </r>
  <r>
    <x v="1173"/>
    <s v="CUST102"/>
    <d v="2024-01-10T00:00:00"/>
    <s v="Beauty"/>
    <s v="West"/>
    <x v="6"/>
    <n v="209.52"/>
    <n v="628.55999999999995"/>
    <s v="Credit Card"/>
    <x v="0"/>
  </r>
  <r>
    <x v="1174"/>
    <s v="CUST139"/>
    <d v="2025-07-05T00:00:00"/>
    <s v="Beauty"/>
    <s v="North"/>
    <x v="1"/>
    <n v="446.82"/>
    <n v="446.82"/>
    <s v="Net Banking"/>
    <x v="0"/>
  </r>
  <r>
    <x v="1175"/>
    <s v="CUST292"/>
    <d v="2025-09-07T00:00:00"/>
    <s v="Electronics"/>
    <s v="North"/>
    <x v="3"/>
    <n v="196.44"/>
    <n v="1178.6400000000001"/>
    <s v="Wallet"/>
    <x v="0"/>
  </r>
  <r>
    <x v="1176"/>
    <s v="CUST289"/>
    <d v="2024-07-16T00:00:00"/>
    <s v="Electronics"/>
    <s v="East"/>
    <x v="7"/>
    <n v="9.6300000000000008"/>
    <n v="77.040000000000006"/>
    <s v="Net Banking"/>
    <x v="0"/>
  </r>
  <r>
    <x v="1177"/>
    <s v="CUST198"/>
    <d v="2024-04-02T00:00:00"/>
    <s v="Fashion"/>
    <s v="South"/>
    <x v="9"/>
    <n v="314.49"/>
    <n v="3144.9"/>
    <s v="Wallet"/>
    <x v="0"/>
  </r>
  <r>
    <x v="1178"/>
    <s v="CUST285"/>
    <d v="2024-02-07T00:00:00"/>
    <s v="Sports"/>
    <s v="South"/>
    <x v="0"/>
    <n v="248.95"/>
    <n v="1244.75"/>
    <s v="Credit Card"/>
    <x v="0"/>
  </r>
  <r>
    <x v="1179"/>
    <s v="CUST200"/>
    <d v="2025-10-15T00:00:00"/>
    <s v="Home"/>
    <s v="West"/>
    <x v="5"/>
    <n v="59.92"/>
    <n v="419.44"/>
    <s v="UPI"/>
    <x v="0"/>
  </r>
  <r>
    <x v="1180"/>
    <s v="CUST382"/>
    <d v="2024-07-17T00:00:00"/>
    <s v="Sports"/>
    <s v="South"/>
    <x v="9"/>
    <n v="337.73"/>
    <n v="3377.3"/>
    <s v="Credit Card"/>
    <x v="0"/>
  </r>
  <r>
    <x v="1181"/>
    <s v="CUST165"/>
    <d v="2024-03-07T00:00:00"/>
    <s v="Sports"/>
    <s v="South"/>
    <x v="6"/>
    <n v="133.51"/>
    <n v="400.53"/>
    <s v="Net Banking"/>
    <x v="0"/>
  </r>
  <r>
    <x v="1182"/>
    <s v="CUST198"/>
    <d v="2025-11-25T00:00:00"/>
    <s v="Sports"/>
    <s v="East"/>
    <x v="1"/>
    <n v="496.02"/>
    <n v="496.02"/>
    <s v="Wallet"/>
    <x v="0"/>
  </r>
  <r>
    <x v="1183"/>
    <s v="CUST101"/>
    <d v="2025-03-13T00:00:00"/>
    <s v="Home"/>
    <s v="West"/>
    <x v="1"/>
    <n v="427.66"/>
    <n v="427.66"/>
    <s v="Wallet"/>
    <x v="0"/>
  </r>
  <r>
    <x v="1184"/>
    <s v="CUST240"/>
    <d v="2024-05-04T00:00:00"/>
    <s v="Home"/>
    <s v="North"/>
    <x v="8"/>
    <n v="235.96"/>
    <n v="2123.64"/>
    <s v="UPI"/>
    <x v="0"/>
  </r>
  <r>
    <x v="1185"/>
    <s v="CUST124"/>
    <d v="2024-10-11T00:00:00"/>
    <s v="Home"/>
    <s v="North"/>
    <x v="5"/>
    <n v="268.54000000000002"/>
    <n v="1879.78"/>
    <s v="Wallet"/>
    <x v="0"/>
  </r>
  <r>
    <x v="1186"/>
    <s v="CUST199"/>
    <d v="2024-12-08T00:00:00"/>
    <s v="Electronics"/>
    <s v="South"/>
    <x v="4"/>
    <n v="440.65"/>
    <n v="881.3"/>
    <s v="Wallet"/>
    <x v="0"/>
  </r>
  <r>
    <x v="1187"/>
    <s v="CUST138"/>
    <d v="2024-09-12T00:00:00"/>
    <s v="Home"/>
    <s v="North"/>
    <x v="2"/>
    <n v="86.42"/>
    <n v="345.68"/>
    <s v="Credit Card"/>
    <x v="1"/>
  </r>
  <r>
    <x v="1188"/>
    <s v="CUST114"/>
    <d v="2025-05-06T00:00:00"/>
    <s v="Sports"/>
    <s v="East"/>
    <x v="5"/>
    <n v="404.99"/>
    <n v="2834.93"/>
    <s v="Net Banking"/>
    <x v="0"/>
  </r>
  <r>
    <x v="1189"/>
    <s v="CUST226"/>
    <d v="2024-04-20T00:00:00"/>
    <s v="Home"/>
    <s v="North"/>
    <x v="7"/>
    <n v="122.99"/>
    <n v="983.92"/>
    <s v="Net Banking"/>
    <x v="0"/>
  </r>
  <r>
    <x v="1190"/>
    <s v="CUST366"/>
    <d v="2024-08-30T00:00:00"/>
    <s v="Sports"/>
    <s v="West"/>
    <x v="4"/>
    <n v="389"/>
    <n v="778"/>
    <s v="Credit Card"/>
    <x v="0"/>
  </r>
  <r>
    <x v="1191"/>
    <s v="CUST328"/>
    <d v="2025-08-15T00:00:00"/>
    <s v="Electronics"/>
    <s v="North"/>
    <x v="4"/>
    <n v="47.34"/>
    <n v="94.68"/>
    <s v="Wallet"/>
    <x v="0"/>
  </r>
  <r>
    <x v="1192"/>
    <s v="CUST260"/>
    <d v="2025-12-11T00:00:00"/>
    <s v="Electronics"/>
    <s v="West"/>
    <x v="4"/>
    <n v="392.41"/>
    <n v="784.82"/>
    <s v="Credit Card"/>
    <x v="0"/>
  </r>
  <r>
    <x v="1193"/>
    <s v="CUST254"/>
    <d v="2025-09-17T00:00:00"/>
    <s v="Electronics"/>
    <s v="North"/>
    <x v="5"/>
    <n v="37.57"/>
    <n v="262.99"/>
    <s v="Net Banking"/>
    <x v="0"/>
  </r>
  <r>
    <x v="1194"/>
    <s v="CUST295"/>
    <d v="2025-02-15T00:00:00"/>
    <s v="Beauty"/>
    <s v="South"/>
    <x v="4"/>
    <n v="310.56"/>
    <n v="621.12"/>
    <s v="Credit Card"/>
    <x v="0"/>
  </r>
  <r>
    <x v="1195"/>
    <s v="CUST332"/>
    <d v="2025-01-28T00:00:00"/>
    <s v="Sports"/>
    <s v="North"/>
    <x v="7"/>
    <n v="398.61"/>
    <n v="3188.88"/>
    <s v="Net Banking"/>
    <x v="0"/>
  </r>
  <r>
    <x v="1196"/>
    <s v="CUST113"/>
    <d v="2025-04-09T00:00:00"/>
    <s v="Fashion"/>
    <s v="North"/>
    <x v="8"/>
    <n v="167.46"/>
    <n v="1507.14"/>
    <s v="Credit Card"/>
    <x v="0"/>
  </r>
  <r>
    <x v="1197"/>
    <s v="CUST106"/>
    <d v="2025-09-01T00:00:00"/>
    <s v="Fashion"/>
    <s v="South"/>
    <x v="4"/>
    <n v="298.48"/>
    <n v="596.96"/>
    <s v="Net Banking"/>
    <x v="0"/>
  </r>
  <r>
    <x v="1198"/>
    <s v="CUST281"/>
    <d v="2025-03-07T00:00:00"/>
    <s v="Beauty"/>
    <s v="South"/>
    <x v="7"/>
    <n v="363.69"/>
    <n v="2909.52"/>
    <s v="UPI"/>
    <x v="0"/>
  </r>
  <r>
    <x v="1199"/>
    <s v="CUST170"/>
    <d v="2024-02-15T00:00:00"/>
    <s v="Sports"/>
    <s v="West"/>
    <x v="1"/>
    <n v="68.2"/>
    <n v="68.2"/>
    <s v="Net Banking"/>
    <x v="0"/>
  </r>
  <r>
    <x v="1200"/>
    <s v="CUST259"/>
    <d v="2025-08-20T00:00:00"/>
    <s v="Fashion"/>
    <s v="West"/>
    <x v="8"/>
    <n v="388.87"/>
    <n v="3499.83"/>
    <s v="Net Banking"/>
    <x v="0"/>
  </r>
  <r>
    <x v="1201"/>
    <s v="CUST275"/>
    <d v="2024-10-25T00:00:00"/>
    <s v="Sports"/>
    <s v="South"/>
    <x v="3"/>
    <n v="485.28"/>
    <n v="2911.68"/>
    <s v="Credit Card"/>
    <x v="0"/>
  </r>
  <r>
    <x v="1202"/>
    <s v="CUST221"/>
    <d v="2025-06-03T00:00:00"/>
    <s v="Beauty"/>
    <s v="East"/>
    <x v="8"/>
    <n v="430.06"/>
    <n v="3870.54"/>
    <s v="UPI"/>
    <x v="0"/>
  </r>
  <r>
    <x v="1203"/>
    <s v="CUST202"/>
    <d v="2025-10-17T00:00:00"/>
    <s v="Home"/>
    <s v="South"/>
    <x v="2"/>
    <n v="393.71"/>
    <n v="1574.84"/>
    <s v="Wallet"/>
    <x v="0"/>
  </r>
  <r>
    <x v="1204"/>
    <s v="CUST339"/>
    <d v="2025-09-06T00:00:00"/>
    <s v="Sports"/>
    <s v="East"/>
    <x v="3"/>
    <n v="426.74"/>
    <n v="2560.44"/>
    <s v="Net Banking"/>
    <x v="0"/>
  </r>
  <r>
    <x v="1205"/>
    <s v="CUST314"/>
    <d v="2024-12-02T00:00:00"/>
    <s v="Electronics"/>
    <s v="West"/>
    <x v="6"/>
    <n v="56.9"/>
    <n v="170.7"/>
    <s v="UPI"/>
    <x v="0"/>
  </r>
  <r>
    <x v="1206"/>
    <s v="CUST101"/>
    <d v="2025-10-16T00:00:00"/>
    <s v="Beauty"/>
    <s v="South"/>
    <x v="2"/>
    <n v="348.14"/>
    <n v="1392.56"/>
    <s v="UPI"/>
    <x v="0"/>
  </r>
  <r>
    <x v="1207"/>
    <s v="CUST346"/>
    <d v="2024-12-05T00:00:00"/>
    <s v="Fashion"/>
    <s v="North"/>
    <x v="5"/>
    <n v="106.63"/>
    <n v="746.41"/>
    <s v="Net Banking"/>
    <x v="0"/>
  </r>
  <r>
    <x v="1208"/>
    <s v="CUST105"/>
    <d v="2024-03-16T00:00:00"/>
    <s v="Electronics"/>
    <s v="South"/>
    <x v="3"/>
    <n v="19.86"/>
    <n v="119.16"/>
    <s v="Net Banking"/>
    <x v="0"/>
  </r>
  <r>
    <x v="1209"/>
    <s v="CUST325"/>
    <d v="2024-07-18T00:00:00"/>
    <s v="Home"/>
    <s v="North"/>
    <x v="9"/>
    <n v="456.79"/>
    <n v="4567.8999999999996"/>
    <s v="Credit Card"/>
    <x v="0"/>
  </r>
  <r>
    <x v="1210"/>
    <s v="CUST201"/>
    <d v="2024-07-21T00:00:00"/>
    <s v="Home"/>
    <s v="South"/>
    <x v="0"/>
    <n v="91.2"/>
    <n v="456"/>
    <s v="Net Banking"/>
    <x v="0"/>
  </r>
  <r>
    <x v="1211"/>
    <s v="CUST383"/>
    <d v="2024-09-08T00:00:00"/>
    <s v="Fashion"/>
    <s v="East"/>
    <x v="6"/>
    <n v="102.01"/>
    <n v="306.02999999999997"/>
    <s v="Credit Card"/>
    <x v="0"/>
  </r>
  <r>
    <x v="1212"/>
    <s v="CUST110"/>
    <d v="2025-11-24T00:00:00"/>
    <s v="Electronics"/>
    <s v="East"/>
    <x v="6"/>
    <n v="192.57"/>
    <n v="577.71"/>
    <s v="UPI"/>
    <x v="0"/>
  </r>
  <r>
    <x v="1213"/>
    <s v="CUST256"/>
    <d v="2025-04-12T00:00:00"/>
    <s v="Home"/>
    <s v="South"/>
    <x v="2"/>
    <n v="187.97"/>
    <n v="751.88"/>
    <s v="Wallet"/>
    <x v="0"/>
  </r>
  <r>
    <x v="1214"/>
    <s v="CUST133"/>
    <d v="2024-05-01T00:00:00"/>
    <s v="Fashion"/>
    <s v="South"/>
    <x v="6"/>
    <n v="441.95"/>
    <n v="1325.85"/>
    <s v="UPI"/>
    <x v="0"/>
  </r>
  <r>
    <x v="1215"/>
    <s v="CUST372"/>
    <d v="2025-01-22T00:00:00"/>
    <s v="Beauty"/>
    <s v="South"/>
    <x v="3"/>
    <n v="162.38999999999999"/>
    <n v="974.34"/>
    <s v="Credit Card"/>
    <x v="0"/>
  </r>
  <r>
    <x v="1216"/>
    <s v="CUST196"/>
    <d v="2025-07-02T00:00:00"/>
    <s v="Home"/>
    <s v="South"/>
    <x v="0"/>
    <n v="395.85"/>
    <n v="1979.25"/>
    <s v="Credit Card"/>
    <x v="0"/>
  </r>
  <r>
    <x v="1217"/>
    <s v="CUST243"/>
    <d v="2024-05-09T00:00:00"/>
    <s v="Beauty"/>
    <s v="South"/>
    <x v="8"/>
    <n v="484.35"/>
    <n v="4359.1499999999996"/>
    <s v="Credit Card"/>
    <x v="0"/>
  </r>
  <r>
    <x v="1218"/>
    <s v="CUST340"/>
    <d v="2025-11-10T00:00:00"/>
    <s v="Sports"/>
    <s v="West"/>
    <x v="9"/>
    <n v="37.11"/>
    <n v="371.1"/>
    <s v="Net Banking"/>
    <x v="0"/>
  </r>
  <r>
    <x v="1219"/>
    <s v="CUST355"/>
    <d v="2025-06-15T00:00:00"/>
    <s v="Home"/>
    <s v="West"/>
    <x v="7"/>
    <n v="93.6"/>
    <n v="748.8"/>
    <s v="Wallet"/>
    <x v="0"/>
  </r>
  <r>
    <x v="1220"/>
    <s v="CUST342"/>
    <d v="2024-10-01T00:00:00"/>
    <s v="Sports"/>
    <s v="North"/>
    <x v="9"/>
    <n v="203.47"/>
    <n v="2034.7"/>
    <s v="UPI"/>
    <x v="0"/>
  </r>
  <r>
    <x v="1221"/>
    <s v="CUST212"/>
    <d v="2024-07-26T00:00:00"/>
    <s v="Beauty"/>
    <s v="South"/>
    <x v="7"/>
    <n v="432.27"/>
    <n v="3458.16"/>
    <s v="Net Banking"/>
    <x v="0"/>
  </r>
  <r>
    <x v="1222"/>
    <s v="CUST317"/>
    <d v="2025-01-21T00:00:00"/>
    <s v="Home"/>
    <s v="East"/>
    <x v="9"/>
    <n v="82.82"/>
    <n v="828.2"/>
    <s v="Credit Card"/>
    <x v="0"/>
  </r>
  <r>
    <x v="1223"/>
    <s v="CUST168"/>
    <d v="2024-03-27T00:00:00"/>
    <s v="Home"/>
    <s v="South"/>
    <x v="0"/>
    <n v="225.03"/>
    <n v="1125.1500000000001"/>
    <s v="Credit Card"/>
    <x v="0"/>
  </r>
  <r>
    <x v="1224"/>
    <s v="CUST338"/>
    <d v="2025-06-08T00:00:00"/>
    <s v="Beauty"/>
    <s v="West"/>
    <x v="9"/>
    <n v="171.51"/>
    <n v="1715.1"/>
    <s v="Wallet"/>
    <x v="0"/>
  </r>
  <r>
    <x v="1225"/>
    <s v="CUST309"/>
    <d v="2025-01-11T00:00:00"/>
    <s v="Beauty"/>
    <s v="North"/>
    <x v="7"/>
    <n v="161.93"/>
    <n v="1295.44"/>
    <s v="UPI"/>
    <x v="0"/>
  </r>
  <r>
    <x v="1226"/>
    <s v="CUST326"/>
    <d v="2024-08-27T00:00:00"/>
    <s v="Home"/>
    <s v="North"/>
    <x v="0"/>
    <n v="324.45"/>
    <n v="1622.25"/>
    <s v="Net Banking"/>
    <x v="0"/>
  </r>
  <r>
    <x v="1227"/>
    <s v="CUST356"/>
    <d v="2025-06-09T00:00:00"/>
    <s v="Home"/>
    <s v="South"/>
    <x v="8"/>
    <n v="323.61"/>
    <n v="2912.49"/>
    <s v="Credit Card"/>
    <x v="0"/>
  </r>
  <r>
    <x v="1228"/>
    <s v="CUST160"/>
    <d v="2024-03-14T00:00:00"/>
    <s v="Fashion"/>
    <s v="East"/>
    <x v="3"/>
    <n v="23.95"/>
    <n v="143.69999999999999"/>
    <s v="UPI"/>
    <x v="0"/>
  </r>
  <r>
    <x v="1229"/>
    <s v="CUST268"/>
    <d v="2024-09-13T00:00:00"/>
    <s v="Home"/>
    <s v="South"/>
    <x v="0"/>
    <n v="373.88"/>
    <n v="1869.4"/>
    <s v="UPI"/>
    <x v="0"/>
  </r>
  <r>
    <x v="1230"/>
    <s v="CUST378"/>
    <d v="2024-09-24T00:00:00"/>
    <s v="Home"/>
    <s v="East"/>
    <x v="1"/>
    <n v="386.19"/>
    <n v="386.19"/>
    <s v="Wallet"/>
    <x v="0"/>
  </r>
  <r>
    <x v="1231"/>
    <s v="CUST307"/>
    <d v="2025-08-16T00:00:00"/>
    <s v="Sports"/>
    <s v="South"/>
    <x v="1"/>
    <n v="238.64"/>
    <n v="238.64"/>
    <s v="Wallet"/>
    <x v="0"/>
  </r>
  <r>
    <x v="1232"/>
    <s v="CUST216"/>
    <d v="2024-08-20T00:00:00"/>
    <s v="Sports"/>
    <s v="West"/>
    <x v="2"/>
    <n v="239.85"/>
    <n v="959.4"/>
    <s v="Wallet"/>
    <x v="0"/>
  </r>
  <r>
    <x v="1233"/>
    <s v="CUST274"/>
    <d v="2024-03-28T00:00:00"/>
    <s v="Beauty"/>
    <s v="West"/>
    <x v="3"/>
    <n v="423.67"/>
    <n v="2542.02"/>
    <s v="UPI"/>
    <x v="0"/>
  </r>
  <r>
    <x v="1234"/>
    <s v="CUST324"/>
    <d v="2025-04-05T00:00:00"/>
    <s v="Fashion"/>
    <s v="South"/>
    <x v="8"/>
    <n v="19.899999999999999"/>
    <n v="179.1"/>
    <s v="Net Banking"/>
    <x v="0"/>
  </r>
  <r>
    <x v="1235"/>
    <s v="CUST104"/>
    <d v="2025-05-26T00:00:00"/>
    <s v="Beauty"/>
    <s v="West"/>
    <x v="3"/>
    <n v="173.21"/>
    <n v="1039.26"/>
    <s v="Wallet"/>
    <x v="0"/>
  </r>
  <r>
    <x v="1236"/>
    <s v="CUST375"/>
    <d v="2024-11-02T00:00:00"/>
    <s v="Sports"/>
    <s v="North"/>
    <x v="3"/>
    <n v="295.54000000000002"/>
    <n v="1773.24"/>
    <s v="UPI"/>
    <x v="0"/>
  </r>
  <r>
    <x v="1237"/>
    <s v="CUST178"/>
    <d v="2024-12-04T00:00:00"/>
    <s v="Sports"/>
    <s v="West"/>
    <x v="9"/>
    <n v="316.77"/>
    <n v="3167.7"/>
    <s v="Wallet"/>
    <x v="0"/>
  </r>
  <r>
    <x v="1238"/>
    <s v="CUST204"/>
    <d v="2025-02-04T00:00:00"/>
    <s v="Fashion"/>
    <s v="West"/>
    <x v="4"/>
    <n v="269.57"/>
    <n v="539.14"/>
    <s v="Credit Card"/>
    <x v="0"/>
  </r>
  <r>
    <x v="1239"/>
    <s v="CUST268"/>
    <d v="2025-08-06T00:00:00"/>
    <s v="Home"/>
    <s v="North"/>
    <x v="7"/>
    <n v="321.31"/>
    <n v="2570.48"/>
    <s v="UPI"/>
    <x v="0"/>
  </r>
  <r>
    <x v="1240"/>
    <s v="CUST153"/>
    <d v="2025-11-22T00:00:00"/>
    <s v="Sports"/>
    <s v="West"/>
    <x v="8"/>
    <n v="92.93"/>
    <n v="836.37"/>
    <s v="Credit Card"/>
    <x v="0"/>
  </r>
  <r>
    <x v="1241"/>
    <s v="CUST195"/>
    <d v="2024-07-22T00:00:00"/>
    <s v="Beauty"/>
    <s v="East"/>
    <x v="4"/>
    <n v="456.12"/>
    <n v="912.24"/>
    <s v="UPI"/>
    <x v="0"/>
  </r>
  <r>
    <x v="1242"/>
    <s v="CUST219"/>
    <d v="2024-10-25T00:00:00"/>
    <s v="Electronics"/>
    <s v="East"/>
    <x v="8"/>
    <n v="39.64"/>
    <n v="356.76"/>
    <s v="Credit Card"/>
    <x v="0"/>
  </r>
  <r>
    <x v="1243"/>
    <s v="CUST187"/>
    <d v="2024-11-30T00:00:00"/>
    <s v="Electronics"/>
    <s v="South"/>
    <x v="5"/>
    <n v="198.6"/>
    <n v="1390.2"/>
    <s v="Wallet"/>
    <x v="0"/>
  </r>
  <r>
    <x v="1244"/>
    <s v="CUST344"/>
    <d v="2024-03-11T00:00:00"/>
    <s v="Fashion"/>
    <s v="South"/>
    <x v="5"/>
    <n v="477.77"/>
    <n v="3344.39"/>
    <s v="UPI"/>
    <x v="0"/>
  </r>
  <r>
    <x v="1245"/>
    <s v="CUST258"/>
    <d v="2025-03-18T00:00:00"/>
    <s v="Sports"/>
    <s v="East"/>
    <x v="7"/>
    <n v="83.6"/>
    <n v="668.8"/>
    <s v="UPI"/>
    <x v="0"/>
  </r>
  <r>
    <x v="1246"/>
    <s v="CUST357"/>
    <d v="2025-12-02T00:00:00"/>
    <s v="Electronics"/>
    <s v="South"/>
    <x v="7"/>
    <n v="141.34"/>
    <n v="1130.72"/>
    <s v="Wallet"/>
    <x v="0"/>
  </r>
  <r>
    <x v="1247"/>
    <s v="CUST132"/>
    <d v="2025-02-12T00:00:00"/>
    <s v="Sports"/>
    <s v="East"/>
    <x v="9"/>
    <n v="404.75"/>
    <n v="4047.5"/>
    <s v="Wallet"/>
    <x v="0"/>
  </r>
  <r>
    <x v="1248"/>
    <s v="CUST335"/>
    <d v="2025-04-18T00:00:00"/>
    <s v="Electronics"/>
    <s v="East"/>
    <x v="9"/>
    <n v="24.35"/>
    <n v="243.5"/>
    <s v="Wallet"/>
    <x v="0"/>
  </r>
  <r>
    <x v="1249"/>
    <s v="CUST277"/>
    <d v="2025-12-18T00:00:00"/>
    <s v="Fashion"/>
    <s v="West"/>
    <x v="0"/>
    <n v="198.59"/>
    <n v="992.95"/>
    <s v="UPI"/>
    <x v="0"/>
  </r>
  <r>
    <x v="1250"/>
    <s v="CUST191"/>
    <d v="2025-09-24T00:00:00"/>
    <s v="Fashion"/>
    <s v="North"/>
    <x v="5"/>
    <n v="231.62"/>
    <n v="1621.34"/>
    <s v="Wallet"/>
    <x v="0"/>
  </r>
  <r>
    <x v="1251"/>
    <s v="CUST122"/>
    <d v="2024-09-02T00:00:00"/>
    <s v="Sports"/>
    <s v="East"/>
    <x v="6"/>
    <n v="140.52000000000001"/>
    <n v="421.56"/>
    <s v="Credit Card"/>
    <x v="0"/>
  </r>
  <r>
    <x v="1252"/>
    <s v="CUST211"/>
    <d v="2025-05-20T00:00:00"/>
    <s v="Sports"/>
    <s v="North"/>
    <x v="5"/>
    <n v="496.23"/>
    <n v="3473.61"/>
    <s v="Net Banking"/>
    <x v="0"/>
  </r>
  <r>
    <x v="1253"/>
    <s v="CUST139"/>
    <d v="2024-04-17T00:00:00"/>
    <s v="Home"/>
    <s v="West"/>
    <x v="8"/>
    <n v="384.44"/>
    <n v="3459.96"/>
    <s v="Wallet"/>
    <x v="0"/>
  </r>
  <r>
    <x v="1254"/>
    <s v="CUST184"/>
    <d v="2024-09-15T00:00:00"/>
    <s v="Beauty"/>
    <s v="North"/>
    <x v="2"/>
    <n v="255.5"/>
    <n v="1022"/>
    <s v="Credit Card"/>
    <x v="0"/>
  </r>
  <r>
    <x v="1255"/>
    <s v="CUST336"/>
    <d v="2025-01-25T00:00:00"/>
    <s v="Fashion"/>
    <s v="West"/>
    <x v="3"/>
    <n v="374.25"/>
    <n v="2245.5"/>
    <s v="Credit Card"/>
    <x v="0"/>
  </r>
  <r>
    <x v="1256"/>
    <s v="CUST105"/>
    <d v="2024-09-13T00:00:00"/>
    <s v="Fashion"/>
    <s v="East"/>
    <x v="4"/>
    <n v="356"/>
    <n v="712"/>
    <s v="Wallet"/>
    <x v="0"/>
  </r>
  <r>
    <x v="1257"/>
    <s v="CUST348"/>
    <d v="2025-04-17T00:00:00"/>
    <s v="Fashion"/>
    <s v="West"/>
    <x v="4"/>
    <n v="45.86"/>
    <n v="91.72"/>
    <s v="UPI"/>
    <x v="0"/>
  </r>
  <r>
    <x v="1258"/>
    <s v="CUST341"/>
    <d v="2024-10-12T00:00:00"/>
    <s v="Electronics"/>
    <s v="North"/>
    <x v="6"/>
    <n v="89.44"/>
    <n v="268.32"/>
    <s v="UPI"/>
    <x v="0"/>
  </r>
  <r>
    <x v="1259"/>
    <s v="CUST250"/>
    <d v="2024-05-07T00:00:00"/>
    <s v="Fashion"/>
    <s v="North"/>
    <x v="8"/>
    <n v="372.02"/>
    <n v="3348.18"/>
    <s v="Credit Card"/>
    <x v="0"/>
  </r>
  <r>
    <x v="1260"/>
    <s v="CUST239"/>
    <d v="2024-06-06T00:00:00"/>
    <s v="Fashion"/>
    <s v="North"/>
    <x v="7"/>
    <n v="182.25"/>
    <n v="1458"/>
    <s v="UPI"/>
    <x v="0"/>
  </r>
  <r>
    <x v="1261"/>
    <s v="CUST326"/>
    <d v="2025-12-14T00:00:00"/>
    <s v="Sports"/>
    <s v="North"/>
    <x v="1"/>
    <n v="419.07"/>
    <n v="419.07"/>
    <s v="Wallet"/>
    <x v="0"/>
  </r>
  <r>
    <x v="1262"/>
    <s v="CUST257"/>
    <d v="2025-03-30T00:00:00"/>
    <s v="Electronics"/>
    <s v="West"/>
    <x v="1"/>
    <n v="301.11"/>
    <n v="301.11"/>
    <s v="UPI"/>
    <x v="0"/>
  </r>
  <r>
    <x v="1263"/>
    <s v="CUST227"/>
    <d v="2025-01-18T00:00:00"/>
    <s v="Electronics"/>
    <s v="West"/>
    <x v="2"/>
    <n v="103.99"/>
    <n v="415.96"/>
    <s v="Credit Card"/>
    <x v="0"/>
  </r>
  <r>
    <x v="1264"/>
    <s v="CUST107"/>
    <d v="2024-12-11T00:00:00"/>
    <s v="Electronics"/>
    <s v="South"/>
    <x v="2"/>
    <n v="341.58"/>
    <n v="1366.32"/>
    <s v="Credit Card"/>
    <x v="0"/>
  </r>
  <r>
    <x v="1265"/>
    <s v="CUST185"/>
    <d v="2024-06-20T00:00:00"/>
    <s v="Electronics"/>
    <s v="East"/>
    <x v="1"/>
    <n v="210.76"/>
    <n v="210.76"/>
    <s v="Net Banking"/>
    <x v="0"/>
  </r>
  <r>
    <x v="1266"/>
    <s v="CUST387"/>
    <d v="2025-10-03T00:00:00"/>
    <s v="Sports"/>
    <s v="West"/>
    <x v="2"/>
    <n v="314.20999999999998"/>
    <n v="1256.8399999999999"/>
    <s v="Wallet"/>
    <x v="0"/>
  </r>
  <r>
    <x v="1267"/>
    <s v="CUST161"/>
    <d v="2024-08-25T00:00:00"/>
    <s v="Home"/>
    <s v="South"/>
    <x v="2"/>
    <n v="57.41"/>
    <n v="229.64"/>
    <s v="Credit Card"/>
    <x v="0"/>
  </r>
  <r>
    <x v="1268"/>
    <s v="CUST305"/>
    <d v="2025-10-31T00:00:00"/>
    <s v="Fashion"/>
    <s v="West"/>
    <x v="3"/>
    <n v="10.93"/>
    <n v="65.58"/>
    <s v="UPI"/>
    <x v="0"/>
  </r>
  <r>
    <x v="1269"/>
    <s v="CUST133"/>
    <d v="2025-11-04T00:00:00"/>
    <s v="Home"/>
    <s v="North"/>
    <x v="0"/>
    <n v="326.72000000000003"/>
    <n v="1633.6"/>
    <s v="Credit Card"/>
    <x v="0"/>
  </r>
  <r>
    <x v="1270"/>
    <s v="CUST211"/>
    <d v="2025-02-24T00:00:00"/>
    <s v="Beauty"/>
    <s v="North"/>
    <x v="0"/>
    <n v="384.93"/>
    <n v="1924.65"/>
    <s v="UPI"/>
    <x v="0"/>
  </r>
  <r>
    <x v="1271"/>
    <s v="CUST228"/>
    <d v="2024-04-07T00:00:00"/>
    <s v="Beauty"/>
    <s v="South"/>
    <x v="9"/>
    <n v="165.56"/>
    <n v="1655.6"/>
    <s v="Net Banking"/>
    <x v="0"/>
  </r>
  <r>
    <x v="1272"/>
    <s v="CUST189"/>
    <d v="2025-10-12T00:00:00"/>
    <s v="Beauty"/>
    <s v="North"/>
    <x v="3"/>
    <n v="489.12"/>
    <n v="2934.72"/>
    <s v="Net Banking"/>
    <x v="0"/>
  </r>
  <r>
    <x v="1273"/>
    <s v="CUST109"/>
    <d v="2025-09-15T00:00:00"/>
    <s v="Sports"/>
    <s v="South"/>
    <x v="9"/>
    <n v="227.21"/>
    <n v="2272.1"/>
    <s v="Credit Card"/>
    <x v="0"/>
  </r>
  <r>
    <x v="1274"/>
    <s v="CUST219"/>
    <d v="2024-01-22T00:00:00"/>
    <s v="Electronics"/>
    <s v="East"/>
    <x v="9"/>
    <n v="380.68"/>
    <n v="3806.8"/>
    <s v="UPI"/>
    <x v="0"/>
  </r>
  <r>
    <x v="1275"/>
    <s v="CUST319"/>
    <d v="2024-09-06T00:00:00"/>
    <s v="Fashion"/>
    <s v="East"/>
    <x v="9"/>
    <n v="44.3"/>
    <n v="443"/>
    <s v="Wallet"/>
    <x v="0"/>
  </r>
  <r>
    <x v="1276"/>
    <s v="CUST251"/>
    <d v="2024-07-25T00:00:00"/>
    <s v="Electronics"/>
    <s v="South"/>
    <x v="6"/>
    <n v="191"/>
    <n v="573"/>
    <s v="Wallet"/>
    <x v="0"/>
  </r>
  <r>
    <x v="1277"/>
    <s v="CUST268"/>
    <d v="2024-05-17T00:00:00"/>
    <s v="Electronics"/>
    <s v="West"/>
    <x v="0"/>
    <n v="162.18"/>
    <n v="810.9"/>
    <s v="Net Banking"/>
    <x v="0"/>
  </r>
  <r>
    <x v="1278"/>
    <s v="CUST112"/>
    <d v="2024-08-22T00:00:00"/>
    <s v="Fashion"/>
    <s v="North"/>
    <x v="3"/>
    <n v="174.65"/>
    <n v="1047.9000000000001"/>
    <s v="UPI"/>
    <x v="0"/>
  </r>
  <r>
    <x v="1279"/>
    <s v="CUST213"/>
    <d v="2025-09-14T00:00:00"/>
    <s v="Fashion"/>
    <s v="West"/>
    <x v="5"/>
    <n v="263.13"/>
    <n v="1841.91"/>
    <s v="Credit Card"/>
    <x v="0"/>
  </r>
  <r>
    <x v="1280"/>
    <s v="CUST133"/>
    <d v="2025-05-18T00:00:00"/>
    <s v="Electronics"/>
    <s v="South"/>
    <x v="4"/>
    <n v="477.06"/>
    <n v="954.12"/>
    <s v="UPI"/>
    <x v="0"/>
  </r>
  <r>
    <x v="1281"/>
    <s v="CUST164"/>
    <d v="2024-04-03T00:00:00"/>
    <s v="Fashion"/>
    <s v="South"/>
    <x v="6"/>
    <n v="298.35000000000002"/>
    <n v="895.05"/>
    <s v="Credit Card"/>
    <x v="0"/>
  </r>
  <r>
    <x v="1282"/>
    <s v="CUST318"/>
    <d v="2025-04-23T00:00:00"/>
    <s v="Fashion"/>
    <s v="South"/>
    <x v="0"/>
    <n v="86.26"/>
    <n v="431.3"/>
    <s v="Wallet"/>
    <x v="0"/>
  </r>
  <r>
    <x v="1283"/>
    <s v="CUST190"/>
    <d v="2025-09-12T00:00:00"/>
    <s v="Sports"/>
    <s v="West"/>
    <x v="2"/>
    <n v="155.03"/>
    <n v="620.12"/>
    <s v="UPI"/>
    <x v="0"/>
  </r>
  <r>
    <x v="1284"/>
    <s v="CUST239"/>
    <d v="2025-05-07T00:00:00"/>
    <s v="Home"/>
    <s v="West"/>
    <x v="4"/>
    <n v="475.75"/>
    <n v="951.5"/>
    <s v="Wallet"/>
    <x v="0"/>
  </r>
  <r>
    <x v="1285"/>
    <s v="CUST185"/>
    <d v="2025-04-27T00:00:00"/>
    <s v="Sports"/>
    <s v="West"/>
    <x v="7"/>
    <n v="214.24"/>
    <n v="1713.92"/>
    <s v="UPI"/>
    <x v="0"/>
  </r>
  <r>
    <x v="1286"/>
    <s v="CUST346"/>
    <d v="2024-01-21T00:00:00"/>
    <s v="Electronics"/>
    <s v="East"/>
    <x v="5"/>
    <n v="216.56"/>
    <n v="1515.92"/>
    <s v="UPI"/>
    <x v="0"/>
  </r>
  <r>
    <x v="1287"/>
    <s v="CUST383"/>
    <d v="2024-06-28T00:00:00"/>
    <s v="Home"/>
    <s v="West"/>
    <x v="0"/>
    <n v="193.32"/>
    <n v="966.6"/>
    <s v="Net Banking"/>
    <x v="0"/>
  </r>
  <r>
    <x v="1288"/>
    <s v="CUST292"/>
    <d v="2025-07-29T00:00:00"/>
    <s v="Home"/>
    <s v="South"/>
    <x v="9"/>
    <n v="243.02"/>
    <n v="2430.1999999999998"/>
    <s v="Wallet"/>
    <x v="0"/>
  </r>
  <r>
    <x v="1289"/>
    <s v="CUST200"/>
    <d v="2024-06-07T00:00:00"/>
    <s v="Sports"/>
    <s v="East"/>
    <x v="2"/>
    <n v="7.07"/>
    <n v="28.28"/>
    <s v="Wallet"/>
    <x v="0"/>
  </r>
  <r>
    <x v="1290"/>
    <s v="CUST307"/>
    <d v="2025-03-01T00:00:00"/>
    <s v="Home"/>
    <s v="West"/>
    <x v="5"/>
    <n v="485.39"/>
    <n v="3397.73"/>
    <s v="Wallet"/>
    <x v="0"/>
  </r>
  <r>
    <x v="1291"/>
    <s v="CUST257"/>
    <d v="2025-10-18T00:00:00"/>
    <s v="Electronics"/>
    <s v="North"/>
    <x v="9"/>
    <n v="40.26"/>
    <n v="402.6"/>
    <s v="Wallet"/>
    <x v="0"/>
  </r>
  <r>
    <x v="1292"/>
    <s v="CUST389"/>
    <d v="2024-06-15T00:00:00"/>
    <s v="Home"/>
    <s v="East"/>
    <x v="2"/>
    <n v="382.66"/>
    <n v="1530.64"/>
    <s v="Wallet"/>
    <x v="0"/>
  </r>
  <r>
    <x v="1293"/>
    <s v="CUST288"/>
    <d v="2025-12-14T00:00:00"/>
    <s v="Beauty"/>
    <s v="South"/>
    <x v="1"/>
    <n v="327.2"/>
    <n v="327.2"/>
    <s v="UPI"/>
    <x v="0"/>
  </r>
  <r>
    <x v="1294"/>
    <s v="CUST344"/>
    <d v="2024-02-05T00:00:00"/>
    <s v="Electronics"/>
    <s v="South"/>
    <x v="3"/>
    <n v="317.32"/>
    <n v="1903.92"/>
    <s v="Net Banking"/>
    <x v="0"/>
  </r>
  <r>
    <x v="1295"/>
    <s v="CUST333"/>
    <d v="2025-11-28T00:00:00"/>
    <s v="Sports"/>
    <s v="South"/>
    <x v="6"/>
    <n v="130.87"/>
    <n v="392.61"/>
    <s v="Credit Card"/>
    <x v="0"/>
  </r>
  <r>
    <x v="1296"/>
    <s v="CUST159"/>
    <d v="2024-04-04T00:00:00"/>
    <s v="Sports"/>
    <s v="North"/>
    <x v="5"/>
    <n v="201.85"/>
    <n v="1412.95"/>
    <s v="UPI"/>
    <x v="0"/>
  </r>
  <r>
    <x v="1297"/>
    <s v="CUST316"/>
    <d v="2024-06-18T00:00:00"/>
    <s v="Home"/>
    <s v="West"/>
    <x v="5"/>
    <n v="130.16999999999999"/>
    <n v="911.19"/>
    <s v="Net Banking"/>
    <x v="0"/>
  </r>
  <r>
    <x v="1298"/>
    <s v="CUST310"/>
    <d v="2024-04-01T00:00:00"/>
    <s v="Home"/>
    <s v="South"/>
    <x v="4"/>
    <n v="319.91000000000003"/>
    <n v="639.82000000000005"/>
    <s v="Net Banking"/>
    <x v="0"/>
  </r>
  <r>
    <x v="1299"/>
    <s v="CUST207"/>
    <d v="2025-02-11T00:00:00"/>
    <s v="Fashion"/>
    <s v="West"/>
    <x v="0"/>
    <n v="8.18"/>
    <n v="40.9"/>
    <s v="Credit Card"/>
    <x v="0"/>
  </r>
  <r>
    <x v="1300"/>
    <s v="CUST149"/>
    <d v="2024-03-12T00:00:00"/>
    <s v="Home"/>
    <s v="West"/>
    <x v="5"/>
    <n v="264.86"/>
    <n v="1854.02"/>
    <s v="UPI"/>
    <x v="0"/>
  </r>
  <r>
    <x v="1301"/>
    <s v="CUST190"/>
    <d v="2025-01-18T00:00:00"/>
    <s v="Fashion"/>
    <s v="West"/>
    <x v="6"/>
    <n v="353.5"/>
    <n v="1060.5"/>
    <s v="UPI"/>
    <x v="0"/>
  </r>
  <r>
    <x v="1302"/>
    <s v="CUST357"/>
    <d v="2024-04-22T00:00:00"/>
    <s v="Fashion"/>
    <s v="South"/>
    <x v="7"/>
    <n v="285.70999999999998"/>
    <n v="2285.6799999999998"/>
    <s v="UPI"/>
    <x v="0"/>
  </r>
  <r>
    <x v="1303"/>
    <s v="CUST130"/>
    <d v="2024-07-06T00:00:00"/>
    <s v="Beauty"/>
    <s v="West"/>
    <x v="2"/>
    <n v="133.38"/>
    <n v="533.52"/>
    <s v="Credit Card"/>
    <x v="0"/>
  </r>
  <r>
    <x v="1304"/>
    <s v="CUST185"/>
    <d v="2024-03-22T00:00:00"/>
    <s v="Electronics"/>
    <s v="East"/>
    <x v="0"/>
    <n v="47.42"/>
    <n v="237.1"/>
    <s v="Credit Card"/>
    <x v="0"/>
  </r>
  <r>
    <x v="1305"/>
    <s v="CUST275"/>
    <d v="2024-01-31T00:00:00"/>
    <s v="Beauty"/>
    <s v="North"/>
    <x v="9"/>
    <n v="121.22"/>
    <n v="1212.2"/>
    <s v="Credit Card"/>
    <x v="0"/>
  </r>
  <r>
    <x v="1306"/>
    <s v="CUST131"/>
    <d v="2024-09-29T00:00:00"/>
    <s v="Electronics"/>
    <s v="North"/>
    <x v="1"/>
    <n v="334.33"/>
    <n v="334.33"/>
    <s v="UPI"/>
    <x v="0"/>
  </r>
  <r>
    <x v="1307"/>
    <s v="CUST367"/>
    <d v="2024-01-08T00:00:00"/>
    <s v="Home"/>
    <s v="West"/>
    <x v="5"/>
    <n v="303.48"/>
    <n v="2124.36"/>
    <s v="Wallet"/>
    <x v="0"/>
  </r>
  <r>
    <x v="1308"/>
    <s v="CUST272"/>
    <d v="2025-09-10T00:00:00"/>
    <s v="Home"/>
    <s v="East"/>
    <x v="5"/>
    <n v="171.59"/>
    <n v="1201.1300000000001"/>
    <s v="UPI"/>
    <x v="0"/>
  </r>
  <r>
    <x v="1309"/>
    <s v="CUST284"/>
    <d v="2025-11-12T00:00:00"/>
    <s v="Electronics"/>
    <s v="East"/>
    <x v="5"/>
    <n v="192.33"/>
    <n v="1346.31"/>
    <s v="Net Banking"/>
    <x v="0"/>
  </r>
  <r>
    <x v="1310"/>
    <s v="CUST151"/>
    <d v="2024-01-04T00:00:00"/>
    <s v="Beauty"/>
    <s v="South"/>
    <x v="7"/>
    <n v="435.92"/>
    <n v="3487.36"/>
    <s v="Credit Card"/>
    <x v="0"/>
  </r>
  <r>
    <x v="1311"/>
    <s v="CUST162"/>
    <d v="2025-06-27T00:00:00"/>
    <s v="Fashion"/>
    <s v="East"/>
    <x v="0"/>
    <n v="475.78"/>
    <n v="2378.9"/>
    <s v="Wallet"/>
    <x v="0"/>
  </r>
  <r>
    <x v="1312"/>
    <s v="CUST343"/>
    <d v="2025-06-11T00:00:00"/>
    <s v="Electronics"/>
    <s v="East"/>
    <x v="5"/>
    <n v="331.81"/>
    <n v="2322.67"/>
    <s v="Credit Card"/>
    <x v="0"/>
  </r>
  <r>
    <x v="1313"/>
    <s v="CUST284"/>
    <d v="2024-02-16T00:00:00"/>
    <s v="Fashion"/>
    <s v="West"/>
    <x v="3"/>
    <n v="340.58"/>
    <n v="2043.48"/>
    <s v="Wallet"/>
    <x v="0"/>
  </r>
  <r>
    <x v="1314"/>
    <s v="CUST141"/>
    <d v="2024-12-22T00:00:00"/>
    <s v="Beauty"/>
    <s v="North"/>
    <x v="5"/>
    <n v="469.85"/>
    <n v="3288.95"/>
    <s v="Wallet"/>
    <x v="0"/>
  </r>
  <r>
    <x v="1315"/>
    <s v="CUST250"/>
    <d v="2025-09-13T00:00:00"/>
    <s v="Sports"/>
    <s v="North"/>
    <x v="2"/>
    <n v="357.41"/>
    <n v="1429.64"/>
    <s v="UPI"/>
    <x v="0"/>
  </r>
  <r>
    <x v="1316"/>
    <s v="CUST354"/>
    <d v="2024-03-30T00:00:00"/>
    <s v="Sports"/>
    <s v="West"/>
    <x v="0"/>
    <n v="417.02"/>
    <n v="2085.1"/>
    <s v="UPI"/>
    <x v="0"/>
  </r>
  <r>
    <x v="1317"/>
    <s v="CUST328"/>
    <d v="2024-04-28T00:00:00"/>
    <s v="Fashion"/>
    <s v="South"/>
    <x v="7"/>
    <n v="333.01"/>
    <n v="2664.08"/>
    <s v="UPI"/>
    <x v="0"/>
  </r>
  <r>
    <x v="1318"/>
    <s v="CUST187"/>
    <d v="2025-11-06T00:00:00"/>
    <s v="Electronics"/>
    <s v="South"/>
    <x v="4"/>
    <n v="57.21"/>
    <n v="114.42"/>
    <s v="Net Banking"/>
    <x v="0"/>
  </r>
  <r>
    <x v="1319"/>
    <s v="CUST296"/>
    <d v="2024-10-14T00:00:00"/>
    <s v="Beauty"/>
    <s v="North"/>
    <x v="2"/>
    <n v="360.99"/>
    <n v="1443.96"/>
    <s v="UPI"/>
    <x v="0"/>
  </r>
  <r>
    <x v="1320"/>
    <s v="CUST373"/>
    <d v="2025-10-10T00:00:00"/>
    <s v="Home"/>
    <s v="South"/>
    <x v="7"/>
    <n v="49.77"/>
    <n v="398.16"/>
    <s v="Credit Card"/>
    <x v="0"/>
  </r>
  <r>
    <x v="1321"/>
    <s v="CUST275"/>
    <d v="2025-01-21T00:00:00"/>
    <s v="Sports"/>
    <s v="West"/>
    <x v="5"/>
    <n v="328.69"/>
    <n v="2300.83"/>
    <s v="UPI"/>
    <x v="0"/>
  </r>
  <r>
    <x v="1322"/>
    <s v="CUST214"/>
    <d v="2024-09-22T00:00:00"/>
    <s v="Electronics"/>
    <s v="North"/>
    <x v="4"/>
    <n v="149.03"/>
    <n v="298.06"/>
    <s v="Net Banking"/>
    <x v="0"/>
  </r>
  <r>
    <x v="1323"/>
    <s v="CUST196"/>
    <d v="2024-04-28T00:00:00"/>
    <s v="Home"/>
    <s v="West"/>
    <x v="9"/>
    <n v="187.03"/>
    <n v="1870.3"/>
    <s v="Credit Card"/>
    <x v="0"/>
  </r>
  <r>
    <x v="1324"/>
    <s v="CUST259"/>
    <d v="2024-03-04T00:00:00"/>
    <s v="Beauty"/>
    <s v="West"/>
    <x v="9"/>
    <n v="270.12"/>
    <n v="2701.2"/>
    <s v="Net Banking"/>
    <x v="0"/>
  </r>
  <r>
    <x v="1325"/>
    <s v="CUST286"/>
    <d v="2025-11-26T00:00:00"/>
    <s v="Sports"/>
    <s v="South"/>
    <x v="6"/>
    <n v="262.27999999999997"/>
    <n v="786.84"/>
    <s v="Credit Card"/>
    <x v="0"/>
  </r>
  <r>
    <x v="1326"/>
    <s v="CUST302"/>
    <d v="2024-01-10T00:00:00"/>
    <s v="Home"/>
    <s v="South"/>
    <x v="8"/>
    <n v="426.92"/>
    <n v="3842.28"/>
    <s v="Net Banking"/>
    <x v="0"/>
  </r>
  <r>
    <x v="1327"/>
    <s v="CUST212"/>
    <d v="2025-05-26T00:00:00"/>
    <s v="Home"/>
    <s v="South"/>
    <x v="7"/>
    <n v="77.98"/>
    <n v="623.84"/>
    <s v="Credit Card"/>
    <x v="0"/>
  </r>
  <r>
    <x v="1328"/>
    <s v="CUST263"/>
    <d v="2024-11-12T00:00:00"/>
    <s v="Electronics"/>
    <s v="East"/>
    <x v="8"/>
    <n v="495.22"/>
    <n v="4456.9799999999996"/>
    <s v="Wallet"/>
    <x v="0"/>
  </r>
  <r>
    <x v="1329"/>
    <s v="CUST210"/>
    <d v="2025-05-21T00:00:00"/>
    <s v="Beauty"/>
    <s v="North"/>
    <x v="0"/>
    <n v="353.55"/>
    <n v="1767.75"/>
    <s v="Net Banking"/>
    <x v="0"/>
  </r>
  <r>
    <x v="1330"/>
    <s v="CUST178"/>
    <d v="2024-08-03T00:00:00"/>
    <s v="Electronics"/>
    <s v="South"/>
    <x v="2"/>
    <n v="351.7"/>
    <n v="1406.8"/>
    <s v="Wallet"/>
    <x v="0"/>
  </r>
  <r>
    <x v="1331"/>
    <s v="CUST300"/>
    <d v="2024-11-02T00:00:00"/>
    <s v="Sports"/>
    <s v="West"/>
    <x v="6"/>
    <n v="495.58"/>
    <n v="1486.74"/>
    <s v="Net Banking"/>
    <x v="0"/>
  </r>
  <r>
    <x v="1332"/>
    <s v="CUST316"/>
    <d v="2025-11-25T00:00:00"/>
    <s v="Beauty"/>
    <s v="West"/>
    <x v="7"/>
    <n v="495.21"/>
    <n v="3961.68"/>
    <s v="Credit Card"/>
    <x v="0"/>
  </r>
  <r>
    <x v="1333"/>
    <s v="CUST370"/>
    <d v="2024-10-16T00:00:00"/>
    <s v="Fashion"/>
    <s v="West"/>
    <x v="0"/>
    <n v="349.71"/>
    <n v="1748.55"/>
    <s v="Credit Card"/>
    <x v="0"/>
  </r>
  <r>
    <x v="1334"/>
    <s v="CUST167"/>
    <d v="2024-11-27T00:00:00"/>
    <s v="Electronics"/>
    <s v="East"/>
    <x v="9"/>
    <n v="433.6"/>
    <n v="4336"/>
    <s v="Wallet"/>
    <x v="0"/>
  </r>
  <r>
    <x v="1335"/>
    <s v="CUST183"/>
    <d v="2025-08-14T00:00:00"/>
    <s v="Beauty"/>
    <s v="East"/>
    <x v="6"/>
    <n v="223.73"/>
    <n v="671.19"/>
    <s v="UPI"/>
    <x v="0"/>
  </r>
  <r>
    <x v="1336"/>
    <s v="CUST207"/>
    <d v="2024-08-11T00:00:00"/>
    <s v="Electronics"/>
    <s v="East"/>
    <x v="2"/>
    <n v="368.98"/>
    <n v="1475.92"/>
    <s v="Credit Card"/>
    <x v="0"/>
  </r>
  <r>
    <x v="1337"/>
    <s v="CUST175"/>
    <d v="2025-01-20T00:00:00"/>
    <s v="Fashion"/>
    <s v="North"/>
    <x v="5"/>
    <n v="341.33"/>
    <n v="2389.31"/>
    <s v="Credit Card"/>
    <x v="0"/>
  </r>
  <r>
    <x v="1338"/>
    <s v="CUST282"/>
    <d v="2025-04-30T00:00:00"/>
    <s v="Electronics"/>
    <s v="East"/>
    <x v="6"/>
    <n v="472.81"/>
    <n v="1418.43"/>
    <s v="Wallet"/>
    <x v="0"/>
  </r>
  <r>
    <x v="1339"/>
    <s v="CUST176"/>
    <d v="2025-10-04T00:00:00"/>
    <s v="Electronics"/>
    <s v="South"/>
    <x v="5"/>
    <n v="126.28"/>
    <n v="883.96"/>
    <s v="Wallet"/>
    <x v="0"/>
  </r>
  <r>
    <x v="1340"/>
    <s v="CUST350"/>
    <d v="2024-11-05T00:00:00"/>
    <s v="Beauty"/>
    <s v="North"/>
    <x v="9"/>
    <n v="477.5"/>
    <n v="4775"/>
    <s v="Wallet"/>
    <x v="0"/>
  </r>
  <r>
    <x v="1341"/>
    <s v="CUST295"/>
    <d v="2024-10-08T00:00:00"/>
    <s v="Electronics"/>
    <s v="North"/>
    <x v="7"/>
    <n v="186.82"/>
    <n v="1494.56"/>
    <s v="Credit Card"/>
    <x v="0"/>
  </r>
  <r>
    <x v="1342"/>
    <s v="CUST162"/>
    <d v="2025-05-15T00:00:00"/>
    <s v="Sports"/>
    <s v="West"/>
    <x v="8"/>
    <n v="116.34"/>
    <n v="1047.06"/>
    <s v="Net Banking"/>
    <x v="0"/>
  </r>
  <r>
    <x v="1343"/>
    <s v="CUST148"/>
    <d v="2025-08-30T00:00:00"/>
    <s v="Beauty"/>
    <s v="East"/>
    <x v="6"/>
    <n v="195.06"/>
    <n v="585.17999999999995"/>
    <s v="UPI"/>
    <x v="0"/>
  </r>
  <r>
    <x v="1344"/>
    <s v="CUST150"/>
    <d v="2024-11-29T00:00:00"/>
    <s v="Sports"/>
    <s v="South"/>
    <x v="4"/>
    <n v="358.32"/>
    <n v="716.64"/>
    <s v="Wallet"/>
    <x v="0"/>
  </r>
  <r>
    <x v="1345"/>
    <s v="CUST110"/>
    <d v="2025-02-07T00:00:00"/>
    <s v="Sports"/>
    <s v="West"/>
    <x v="8"/>
    <n v="409.64"/>
    <n v="3686.76"/>
    <s v="Credit Card"/>
    <x v="0"/>
  </r>
  <r>
    <x v="1346"/>
    <s v="CUST365"/>
    <d v="2025-08-21T00:00:00"/>
    <s v="Electronics"/>
    <s v="South"/>
    <x v="8"/>
    <n v="358.31"/>
    <n v="3224.79"/>
    <s v="Credit Card"/>
    <x v="0"/>
  </r>
  <r>
    <x v="1347"/>
    <s v="CUST192"/>
    <d v="2025-09-05T00:00:00"/>
    <s v="Beauty"/>
    <s v="East"/>
    <x v="6"/>
    <n v="7.64"/>
    <n v="22.92"/>
    <s v="Credit Card"/>
    <x v="0"/>
  </r>
  <r>
    <x v="1348"/>
    <s v="CUST120"/>
    <d v="2024-05-11T00:00:00"/>
    <s v="Fashion"/>
    <s v="North"/>
    <x v="9"/>
    <n v="107.08"/>
    <n v="1070.8"/>
    <s v="Net Banking"/>
    <x v="0"/>
  </r>
  <r>
    <x v="1349"/>
    <s v="CUST117"/>
    <d v="2024-03-27T00:00:00"/>
    <s v="Home"/>
    <s v="South"/>
    <x v="4"/>
    <n v="255.54"/>
    <n v="511.08"/>
    <s v="Wallet"/>
    <x v="0"/>
  </r>
  <r>
    <x v="1350"/>
    <s v="CUST100"/>
    <d v="2024-09-11T00:00:00"/>
    <s v="Sports"/>
    <s v="East"/>
    <x v="0"/>
    <n v="27.85"/>
    <n v="139.25"/>
    <s v="Wallet"/>
    <x v="0"/>
  </r>
  <r>
    <x v="1351"/>
    <s v="CUST171"/>
    <d v="2025-08-13T00:00:00"/>
    <s v="Sports"/>
    <s v="East"/>
    <x v="7"/>
    <n v="349.08"/>
    <n v="2792.64"/>
    <s v="UPI"/>
    <x v="0"/>
  </r>
  <r>
    <x v="1352"/>
    <s v="CUST150"/>
    <d v="2025-11-09T00:00:00"/>
    <s v="Fashion"/>
    <s v="South"/>
    <x v="1"/>
    <n v="122.36"/>
    <n v="122.36"/>
    <s v="Net Banking"/>
    <x v="0"/>
  </r>
  <r>
    <x v="1353"/>
    <s v="CUST210"/>
    <d v="2024-05-17T00:00:00"/>
    <s v="Sports"/>
    <s v="East"/>
    <x v="9"/>
    <n v="278.27"/>
    <n v="2782.7"/>
    <s v="Net Banking"/>
    <x v="0"/>
  </r>
  <r>
    <x v="1354"/>
    <s v="CUST165"/>
    <d v="2025-09-29T00:00:00"/>
    <s v="Home"/>
    <s v="East"/>
    <x v="5"/>
    <n v="41.81"/>
    <n v="292.67"/>
    <s v="Wallet"/>
    <x v="0"/>
  </r>
  <r>
    <x v="1355"/>
    <s v="CUST183"/>
    <d v="2025-02-13T00:00:00"/>
    <s v="Home"/>
    <s v="West"/>
    <x v="7"/>
    <n v="46.21"/>
    <n v="369.68"/>
    <s v="UPI"/>
    <x v="0"/>
  </r>
  <r>
    <x v="1356"/>
    <s v="CUST374"/>
    <d v="2024-07-27T00:00:00"/>
    <s v="Home"/>
    <s v="South"/>
    <x v="4"/>
    <n v="316.64"/>
    <n v="633.28"/>
    <s v="Net Banking"/>
    <x v="0"/>
  </r>
  <r>
    <x v="1357"/>
    <s v="CUST388"/>
    <d v="2025-11-04T00:00:00"/>
    <s v="Beauty"/>
    <s v="South"/>
    <x v="8"/>
    <n v="304.45"/>
    <n v="2740.05"/>
    <s v="Net Banking"/>
    <x v="0"/>
  </r>
  <r>
    <x v="1358"/>
    <s v="CUST322"/>
    <d v="2025-01-23T00:00:00"/>
    <s v="Fashion"/>
    <s v="North"/>
    <x v="1"/>
    <n v="482.19"/>
    <n v="482.19"/>
    <s v="Net Banking"/>
    <x v="0"/>
  </r>
  <r>
    <x v="1359"/>
    <s v="CUST163"/>
    <d v="2025-06-28T00:00:00"/>
    <s v="Beauty"/>
    <s v="North"/>
    <x v="4"/>
    <n v="343.57"/>
    <n v="687.14"/>
    <s v="Net Banking"/>
    <x v="0"/>
  </r>
  <r>
    <x v="1360"/>
    <s v="CUST145"/>
    <d v="2025-01-06T00:00:00"/>
    <s v="Fashion"/>
    <s v="South"/>
    <x v="3"/>
    <n v="390.15"/>
    <n v="2340.9"/>
    <s v="Net Banking"/>
    <x v="0"/>
  </r>
  <r>
    <x v="1361"/>
    <s v="CUST105"/>
    <d v="2024-04-10T00:00:00"/>
    <s v="Fashion"/>
    <s v="West"/>
    <x v="5"/>
    <n v="489.85"/>
    <n v="3428.95"/>
    <s v="Credit Card"/>
    <x v="0"/>
  </r>
  <r>
    <x v="1362"/>
    <s v="CUST163"/>
    <d v="2024-06-28T00:00:00"/>
    <s v="Home"/>
    <s v="West"/>
    <x v="8"/>
    <n v="365.52"/>
    <n v="3289.68"/>
    <s v="Credit Card"/>
    <x v="0"/>
  </r>
  <r>
    <x v="1363"/>
    <s v="CUST370"/>
    <d v="2024-12-23T00:00:00"/>
    <s v="Sports"/>
    <s v="East"/>
    <x v="9"/>
    <n v="433.37"/>
    <n v="4333.7"/>
    <s v="Credit Card"/>
    <x v="0"/>
  </r>
  <r>
    <x v="1364"/>
    <s v="CUST124"/>
    <d v="2024-06-23T00:00:00"/>
    <s v="Beauty"/>
    <s v="South"/>
    <x v="3"/>
    <n v="473.52"/>
    <n v="2841.12"/>
    <s v="Net Banking"/>
    <x v="0"/>
  </r>
  <r>
    <x v="1365"/>
    <s v="CUST372"/>
    <d v="2025-07-18T00:00:00"/>
    <s v="Beauty"/>
    <s v="West"/>
    <x v="9"/>
    <n v="441.6"/>
    <n v="4416"/>
    <s v="UPI"/>
    <x v="0"/>
  </r>
  <r>
    <x v="1366"/>
    <s v="CUST232"/>
    <d v="2024-01-10T00:00:00"/>
    <s v="Fashion"/>
    <s v="South"/>
    <x v="8"/>
    <n v="358.05"/>
    <n v="3222.45"/>
    <s v="Wallet"/>
    <x v="0"/>
  </r>
  <r>
    <x v="1367"/>
    <s v="CUST390"/>
    <d v="2024-09-30T00:00:00"/>
    <s v="Home"/>
    <s v="South"/>
    <x v="1"/>
    <n v="459.63"/>
    <n v="459.63"/>
    <s v="Wallet"/>
    <x v="0"/>
  </r>
  <r>
    <x v="1368"/>
    <s v="CUST334"/>
    <d v="2024-07-06T00:00:00"/>
    <s v="Beauty"/>
    <s v="East"/>
    <x v="7"/>
    <n v="493.19"/>
    <n v="3945.52"/>
    <s v="Net Banking"/>
    <x v="0"/>
  </r>
  <r>
    <x v="1369"/>
    <s v="CUST319"/>
    <d v="2025-06-17T00:00:00"/>
    <s v="Electronics"/>
    <s v="East"/>
    <x v="2"/>
    <n v="156.07"/>
    <n v="624.28"/>
    <s v="Wallet"/>
    <x v="0"/>
  </r>
  <r>
    <x v="1370"/>
    <s v="CUST260"/>
    <d v="2024-04-02T00:00:00"/>
    <s v="Fashion"/>
    <s v="North"/>
    <x v="4"/>
    <n v="42.96"/>
    <n v="85.92"/>
    <s v="UPI"/>
    <x v="0"/>
  </r>
  <r>
    <x v="1371"/>
    <s v="CUST394"/>
    <d v="2024-02-28T00:00:00"/>
    <s v="Sports"/>
    <s v="West"/>
    <x v="4"/>
    <n v="372.99"/>
    <n v="745.98"/>
    <s v="Credit Card"/>
    <x v="0"/>
  </r>
  <r>
    <x v="1372"/>
    <s v="CUST317"/>
    <d v="2025-11-24T00:00:00"/>
    <s v="Fashion"/>
    <s v="West"/>
    <x v="8"/>
    <n v="466.56"/>
    <n v="4199.04"/>
    <s v="Wallet"/>
    <x v="0"/>
  </r>
  <r>
    <x v="1373"/>
    <s v="CUST363"/>
    <d v="2025-12-02T00:00:00"/>
    <s v="Beauty"/>
    <s v="North"/>
    <x v="8"/>
    <n v="350.45"/>
    <n v="3154.05"/>
    <s v="UPI"/>
    <x v="0"/>
  </r>
  <r>
    <x v="1374"/>
    <s v="CUST103"/>
    <d v="2025-03-11T00:00:00"/>
    <s v="Fashion"/>
    <s v="North"/>
    <x v="8"/>
    <n v="376.09"/>
    <n v="3384.81"/>
    <s v="Wallet"/>
    <x v="0"/>
  </r>
  <r>
    <x v="1375"/>
    <s v="CUST186"/>
    <d v="2025-11-21T00:00:00"/>
    <s v="Fashion"/>
    <s v="North"/>
    <x v="8"/>
    <n v="452.38"/>
    <n v="4071.42"/>
    <s v="Net Banking"/>
    <x v="0"/>
  </r>
  <r>
    <x v="1376"/>
    <s v="CUST168"/>
    <d v="2025-06-10T00:00:00"/>
    <s v="Beauty"/>
    <s v="West"/>
    <x v="3"/>
    <n v="476.48"/>
    <n v="2858.88"/>
    <s v="Wallet"/>
    <x v="0"/>
  </r>
  <r>
    <x v="1377"/>
    <s v="CUST187"/>
    <d v="2025-01-17T00:00:00"/>
    <s v="Fashion"/>
    <s v="North"/>
    <x v="4"/>
    <n v="172.29"/>
    <n v="344.58"/>
    <s v="Net Banking"/>
    <x v="0"/>
  </r>
  <r>
    <x v="1378"/>
    <s v="CUST253"/>
    <d v="2025-05-09T00:00:00"/>
    <s v="Electronics"/>
    <s v="West"/>
    <x v="0"/>
    <n v="136.05000000000001"/>
    <n v="680.25"/>
    <s v="UPI"/>
    <x v="0"/>
  </r>
  <r>
    <x v="1379"/>
    <s v="CUST256"/>
    <d v="2025-10-20T00:00:00"/>
    <s v="Electronics"/>
    <s v="West"/>
    <x v="8"/>
    <n v="413.74"/>
    <n v="3723.66"/>
    <s v="Wallet"/>
    <x v="0"/>
  </r>
  <r>
    <x v="1380"/>
    <s v="CUST129"/>
    <d v="2024-12-30T00:00:00"/>
    <s v="Home"/>
    <s v="East"/>
    <x v="1"/>
    <n v="309.69"/>
    <n v="309.69"/>
    <s v="Net Banking"/>
    <x v="0"/>
  </r>
  <r>
    <x v="1381"/>
    <s v="CUST154"/>
    <d v="2024-01-06T00:00:00"/>
    <s v="Fashion"/>
    <s v="West"/>
    <x v="3"/>
    <n v="445.65"/>
    <n v="2673.9"/>
    <s v="Net Banking"/>
    <x v="0"/>
  </r>
  <r>
    <x v="1382"/>
    <s v="CUST104"/>
    <d v="2024-04-13T00:00:00"/>
    <s v="Electronics"/>
    <s v="South"/>
    <x v="5"/>
    <n v="248.56"/>
    <n v="1739.92"/>
    <s v="Wallet"/>
    <x v="0"/>
  </r>
  <r>
    <x v="1383"/>
    <s v="CUST163"/>
    <d v="2025-05-14T00:00:00"/>
    <s v="Home"/>
    <s v="South"/>
    <x v="1"/>
    <n v="82.04"/>
    <n v="82.04"/>
    <s v="Wallet"/>
    <x v="0"/>
  </r>
  <r>
    <x v="1384"/>
    <s v="CUST302"/>
    <d v="2025-01-18T00:00:00"/>
    <s v="Fashion"/>
    <s v="East"/>
    <x v="0"/>
    <n v="185.43"/>
    <n v="927.15"/>
    <s v="Credit Card"/>
    <x v="0"/>
  </r>
  <r>
    <x v="1385"/>
    <s v="CUST324"/>
    <d v="2025-11-03T00:00:00"/>
    <s v="Home"/>
    <s v="West"/>
    <x v="7"/>
    <n v="85.11"/>
    <n v="680.88"/>
    <s v="Credit Card"/>
    <x v="0"/>
  </r>
  <r>
    <x v="1386"/>
    <s v="CUST283"/>
    <d v="2025-12-27T00:00:00"/>
    <s v="Home"/>
    <s v="North"/>
    <x v="2"/>
    <n v="59.78"/>
    <n v="239.12"/>
    <s v="UPI"/>
    <x v="0"/>
  </r>
  <r>
    <x v="1387"/>
    <s v="CUST302"/>
    <d v="2025-03-07T00:00:00"/>
    <s v="Fashion"/>
    <s v="South"/>
    <x v="3"/>
    <n v="450.99"/>
    <n v="2705.94"/>
    <s v="Wallet"/>
    <x v="0"/>
  </r>
  <r>
    <x v="1388"/>
    <s v="CUST236"/>
    <d v="2024-05-01T00:00:00"/>
    <s v="Beauty"/>
    <s v="South"/>
    <x v="5"/>
    <n v="247.09"/>
    <n v="1729.63"/>
    <s v="Net Banking"/>
    <x v="0"/>
  </r>
  <r>
    <x v="1389"/>
    <s v="CUST304"/>
    <d v="2025-05-28T00:00:00"/>
    <s v="Electronics"/>
    <s v="North"/>
    <x v="5"/>
    <n v="70.05"/>
    <n v="490.35"/>
    <s v="UPI"/>
    <x v="1"/>
  </r>
  <r>
    <x v="1390"/>
    <s v="CUST179"/>
    <d v="2024-12-18T00:00:00"/>
    <s v="Fashion"/>
    <s v="North"/>
    <x v="8"/>
    <n v="11.76"/>
    <n v="105.84"/>
    <s v="Net Banking"/>
    <x v="0"/>
  </r>
  <r>
    <x v="1391"/>
    <s v="CUST319"/>
    <d v="2025-09-03T00:00:00"/>
    <s v="Home"/>
    <s v="East"/>
    <x v="1"/>
    <n v="219.99"/>
    <n v="219.99"/>
    <s v="Wallet"/>
    <x v="0"/>
  </r>
  <r>
    <x v="1392"/>
    <s v="CUST142"/>
    <d v="2025-03-15T00:00:00"/>
    <s v="Sports"/>
    <s v="South"/>
    <x v="2"/>
    <n v="310.72000000000003"/>
    <n v="1242.8800000000001"/>
    <s v="UPI"/>
    <x v="0"/>
  </r>
  <r>
    <x v="1393"/>
    <s v="CUST243"/>
    <d v="2024-04-27T00:00:00"/>
    <s v="Fashion"/>
    <s v="West"/>
    <x v="0"/>
    <n v="497.16"/>
    <n v="2485.8000000000002"/>
    <s v="UPI"/>
    <x v="0"/>
  </r>
  <r>
    <x v="1394"/>
    <s v="CUST342"/>
    <d v="2025-12-24T00:00:00"/>
    <s v="Sports"/>
    <s v="South"/>
    <x v="4"/>
    <n v="352.07"/>
    <n v="704.14"/>
    <s v="UPI"/>
    <x v="0"/>
  </r>
  <r>
    <x v="1395"/>
    <s v="CUST176"/>
    <d v="2024-08-22T00:00:00"/>
    <s v="Electronics"/>
    <s v="East"/>
    <x v="4"/>
    <n v="70.489999999999995"/>
    <n v="140.97999999999999"/>
    <s v="UPI"/>
    <x v="0"/>
  </r>
  <r>
    <x v="1396"/>
    <s v="CUST174"/>
    <d v="2025-03-12T00:00:00"/>
    <s v="Electronics"/>
    <s v="North"/>
    <x v="1"/>
    <n v="310.14999999999998"/>
    <n v="310.14999999999998"/>
    <s v="Wallet"/>
    <x v="0"/>
  </r>
  <r>
    <x v="1397"/>
    <s v="CUST308"/>
    <d v="2025-06-21T00:00:00"/>
    <s v="Fashion"/>
    <s v="South"/>
    <x v="0"/>
    <n v="351.58"/>
    <n v="1757.9"/>
    <s v="Net Banking"/>
    <x v="0"/>
  </r>
  <r>
    <x v="1398"/>
    <s v="CUST318"/>
    <d v="2025-05-05T00:00:00"/>
    <s v="Electronics"/>
    <s v="East"/>
    <x v="1"/>
    <n v="257.38"/>
    <n v="257.38"/>
    <s v="Credit Card"/>
    <x v="0"/>
  </r>
  <r>
    <x v="1399"/>
    <s v="CUST237"/>
    <d v="2025-01-07T00:00:00"/>
    <s v="Beauty"/>
    <s v="South"/>
    <x v="0"/>
    <n v="471.78"/>
    <n v="2358.9"/>
    <s v="Net Banking"/>
    <x v="0"/>
  </r>
  <r>
    <x v="1400"/>
    <s v="CUST124"/>
    <d v="2024-07-05T00:00:00"/>
    <s v="Home"/>
    <s v="South"/>
    <x v="1"/>
    <n v="5.27"/>
    <n v="5.27"/>
    <s v="Net Banking"/>
    <x v="0"/>
  </r>
  <r>
    <x v="1401"/>
    <s v="CUST341"/>
    <d v="2024-10-13T00:00:00"/>
    <s v="Fashion"/>
    <s v="East"/>
    <x v="9"/>
    <n v="54.88"/>
    <n v="548.79999999999995"/>
    <s v="Wallet"/>
    <x v="0"/>
  </r>
  <r>
    <x v="1402"/>
    <s v="CUST286"/>
    <d v="2024-12-08T00:00:00"/>
    <s v="Electronics"/>
    <s v="South"/>
    <x v="0"/>
    <n v="60.21"/>
    <n v="301.05"/>
    <s v="Net Banking"/>
    <x v="0"/>
  </r>
  <r>
    <x v="1403"/>
    <s v="CUST284"/>
    <d v="2025-01-05T00:00:00"/>
    <s v="Home"/>
    <s v="South"/>
    <x v="9"/>
    <n v="266.79000000000002"/>
    <n v="2667.9"/>
    <s v="Net Banking"/>
    <x v="0"/>
  </r>
  <r>
    <x v="1404"/>
    <s v="CUST207"/>
    <d v="2025-08-21T00:00:00"/>
    <s v="Electronics"/>
    <s v="South"/>
    <x v="5"/>
    <n v="48.18"/>
    <n v="337.26"/>
    <s v="Credit Card"/>
    <x v="0"/>
  </r>
  <r>
    <x v="1405"/>
    <s v="CUST121"/>
    <d v="2025-08-23T00:00:00"/>
    <s v="Beauty"/>
    <s v="North"/>
    <x v="2"/>
    <n v="100.5"/>
    <n v="402"/>
    <s v="Credit Card"/>
    <x v="0"/>
  </r>
  <r>
    <x v="1406"/>
    <s v="CUST379"/>
    <d v="2025-09-25T00:00:00"/>
    <s v="Beauty"/>
    <s v="South"/>
    <x v="3"/>
    <n v="154.22999999999999"/>
    <n v="925.38"/>
    <s v="UPI"/>
    <x v="0"/>
  </r>
  <r>
    <x v="1407"/>
    <s v="CUST122"/>
    <d v="2024-05-10T00:00:00"/>
    <s v="Home"/>
    <s v="East"/>
    <x v="2"/>
    <n v="212.02"/>
    <n v="848.08"/>
    <s v="Net Banking"/>
    <x v="0"/>
  </r>
  <r>
    <x v="1408"/>
    <s v="CUST329"/>
    <d v="2025-10-06T00:00:00"/>
    <s v="Electronics"/>
    <s v="West"/>
    <x v="4"/>
    <n v="455.87"/>
    <n v="911.74"/>
    <s v="Wallet"/>
    <x v="0"/>
  </r>
  <r>
    <x v="1409"/>
    <s v="CUST368"/>
    <d v="2025-05-30T00:00:00"/>
    <s v="Home"/>
    <s v="South"/>
    <x v="1"/>
    <n v="87.63"/>
    <n v="87.63"/>
    <s v="Net Banking"/>
    <x v="0"/>
  </r>
  <r>
    <x v="1410"/>
    <s v="CUST123"/>
    <d v="2025-08-02T00:00:00"/>
    <s v="Fashion"/>
    <s v="West"/>
    <x v="1"/>
    <n v="398.22"/>
    <n v="398.22"/>
    <s v="Wallet"/>
    <x v="0"/>
  </r>
  <r>
    <x v="1411"/>
    <s v="CUST372"/>
    <d v="2025-06-09T00:00:00"/>
    <s v="Sports"/>
    <s v="West"/>
    <x v="4"/>
    <n v="86.93"/>
    <n v="173.86"/>
    <s v="Wallet"/>
    <x v="0"/>
  </r>
  <r>
    <x v="1412"/>
    <s v="CUST305"/>
    <d v="2025-09-13T00:00:00"/>
    <s v="Electronics"/>
    <s v="South"/>
    <x v="0"/>
    <n v="107.43"/>
    <n v="537.15"/>
    <s v="UPI"/>
    <x v="0"/>
  </r>
  <r>
    <x v="1413"/>
    <s v="CUST104"/>
    <d v="2025-06-09T00:00:00"/>
    <s v="Sports"/>
    <s v="East"/>
    <x v="7"/>
    <n v="254.39"/>
    <n v="2035.12"/>
    <s v="Net Banking"/>
    <x v="0"/>
  </r>
  <r>
    <x v="1414"/>
    <s v="CUST212"/>
    <d v="2024-10-30T00:00:00"/>
    <s v="Fashion"/>
    <s v="South"/>
    <x v="0"/>
    <n v="278.31"/>
    <n v="1391.55"/>
    <s v="Credit Card"/>
    <x v="0"/>
  </r>
  <r>
    <x v="1415"/>
    <s v="CUST373"/>
    <d v="2024-08-31T00:00:00"/>
    <s v="Fashion"/>
    <s v="East"/>
    <x v="0"/>
    <n v="24.35"/>
    <n v="121.75"/>
    <s v="UPI"/>
    <x v="0"/>
  </r>
  <r>
    <x v="1416"/>
    <s v="CUST238"/>
    <d v="2024-02-22T00:00:00"/>
    <s v="Fashion"/>
    <s v="North"/>
    <x v="2"/>
    <n v="494.82"/>
    <n v="1979.28"/>
    <s v="Credit Card"/>
    <x v="0"/>
  </r>
  <r>
    <x v="1417"/>
    <s v="CUST277"/>
    <d v="2025-10-09T00:00:00"/>
    <s v="Home"/>
    <s v="North"/>
    <x v="9"/>
    <n v="486.25"/>
    <n v="4862.5"/>
    <s v="Net Banking"/>
    <x v="0"/>
  </r>
  <r>
    <x v="1418"/>
    <s v="CUST168"/>
    <d v="2025-02-22T00:00:00"/>
    <s v="Electronics"/>
    <s v="North"/>
    <x v="9"/>
    <n v="150.97"/>
    <n v="1509.7"/>
    <s v="Net Banking"/>
    <x v="0"/>
  </r>
  <r>
    <x v="1419"/>
    <s v="CUST212"/>
    <d v="2024-10-13T00:00:00"/>
    <s v="Electronics"/>
    <s v="North"/>
    <x v="6"/>
    <n v="131.71"/>
    <n v="395.13"/>
    <s v="Wallet"/>
    <x v="0"/>
  </r>
  <r>
    <x v="1420"/>
    <s v="CUST231"/>
    <d v="2025-10-03T00:00:00"/>
    <s v="Beauty"/>
    <s v="South"/>
    <x v="9"/>
    <n v="277.68"/>
    <n v="2776.8"/>
    <s v="Net Banking"/>
    <x v="0"/>
  </r>
  <r>
    <x v="1421"/>
    <s v="CUST237"/>
    <d v="2024-07-27T00:00:00"/>
    <s v="Beauty"/>
    <s v="South"/>
    <x v="9"/>
    <n v="316.75"/>
    <n v="3167.5"/>
    <s v="Wallet"/>
    <x v="0"/>
  </r>
  <r>
    <x v="1422"/>
    <s v="CUST218"/>
    <d v="2025-03-20T00:00:00"/>
    <s v="Beauty"/>
    <s v="North"/>
    <x v="3"/>
    <n v="78.430000000000007"/>
    <n v="470.58"/>
    <s v="Wallet"/>
    <x v="0"/>
  </r>
  <r>
    <x v="1423"/>
    <s v="CUST192"/>
    <d v="2025-04-15T00:00:00"/>
    <s v="Fashion"/>
    <s v="South"/>
    <x v="6"/>
    <n v="408.72"/>
    <n v="1226.1600000000001"/>
    <s v="Wallet"/>
    <x v="0"/>
  </r>
  <r>
    <x v="1424"/>
    <s v="CUST192"/>
    <d v="2025-10-25T00:00:00"/>
    <s v="Fashion"/>
    <s v="South"/>
    <x v="0"/>
    <n v="15.42"/>
    <n v="77.099999999999994"/>
    <s v="Wallet"/>
    <x v="0"/>
  </r>
  <r>
    <x v="1425"/>
    <s v="CUST196"/>
    <d v="2024-03-12T00:00:00"/>
    <s v="Fashion"/>
    <s v="West"/>
    <x v="6"/>
    <n v="40.659999999999997"/>
    <n v="121.98"/>
    <s v="Wallet"/>
    <x v="0"/>
  </r>
  <r>
    <x v="1426"/>
    <s v="CUST151"/>
    <d v="2025-06-23T00:00:00"/>
    <s v="Electronics"/>
    <s v="North"/>
    <x v="6"/>
    <n v="364.75"/>
    <n v="1094.25"/>
    <s v="Wallet"/>
    <x v="0"/>
  </r>
  <r>
    <x v="1427"/>
    <s v="CUST296"/>
    <d v="2024-01-22T00:00:00"/>
    <s v="Electronics"/>
    <s v="South"/>
    <x v="4"/>
    <n v="414.15"/>
    <n v="828.3"/>
    <s v="UPI"/>
    <x v="0"/>
  </r>
  <r>
    <x v="1428"/>
    <s v="CUST142"/>
    <d v="2024-10-01T00:00:00"/>
    <s v="Sports"/>
    <s v="North"/>
    <x v="6"/>
    <n v="469.61"/>
    <n v="1408.83"/>
    <s v="Credit Card"/>
    <x v="0"/>
  </r>
  <r>
    <x v="1429"/>
    <s v="CUST154"/>
    <d v="2025-07-09T00:00:00"/>
    <s v="Electronics"/>
    <s v="South"/>
    <x v="3"/>
    <n v="427.1"/>
    <n v="2562.6"/>
    <s v="UPI"/>
    <x v="0"/>
  </r>
  <r>
    <x v="1430"/>
    <s v="CUST345"/>
    <d v="2025-07-30T00:00:00"/>
    <s v="Home"/>
    <s v="East"/>
    <x v="7"/>
    <n v="408.66"/>
    <n v="3269.28"/>
    <s v="Wallet"/>
    <x v="0"/>
  </r>
  <r>
    <x v="1431"/>
    <s v="CUST179"/>
    <d v="2024-09-06T00:00:00"/>
    <s v="Home"/>
    <s v="North"/>
    <x v="1"/>
    <n v="274.05"/>
    <n v="274.05"/>
    <s v="Credit Card"/>
    <x v="0"/>
  </r>
  <r>
    <x v="1432"/>
    <s v="CUST122"/>
    <d v="2024-04-15T00:00:00"/>
    <s v="Sports"/>
    <s v="West"/>
    <x v="8"/>
    <n v="151.88999999999999"/>
    <n v="1367.01"/>
    <s v="UPI"/>
    <x v="0"/>
  </r>
  <r>
    <x v="1433"/>
    <s v="CUST100"/>
    <d v="2024-08-17T00:00:00"/>
    <s v="Beauty"/>
    <s v="South"/>
    <x v="1"/>
    <n v="117.2"/>
    <n v="117.2"/>
    <s v="Net Banking"/>
    <x v="0"/>
  </r>
  <r>
    <x v="1434"/>
    <s v="CUST246"/>
    <d v="2024-08-19T00:00:00"/>
    <s v="Electronics"/>
    <s v="West"/>
    <x v="5"/>
    <n v="344.95"/>
    <n v="2414.65"/>
    <s v="UPI"/>
    <x v="0"/>
  </r>
  <r>
    <x v="1435"/>
    <s v="CUST156"/>
    <d v="2024-08-17T00:00:00"/>
    <s v="Home"/>
    <s v="East"/>
    <x v="4"/>
    <n v="478.45"/>
    <n v="956.9"/>
    <s v="Credit Card"/>
    <x v="0"/>
  </r>
  <r>
    <x v="1436"/>
    <s v="CUST270"/>
    <d v="2024-05-01T00:00:00"/>
    <s v="Electronics"/>
    <s v="North"/>
    <x v="3"/>
    <n v="462.04"/>
    <n v="2772.24"/>
    <s v="UPI"/>
    <x v="0"/>
  </r>
  <r>
    <x v="1437"/>
    <s v="CUST191"/>
    <d v="2025-03-14T00:00:00"/>
    <s v="Fashion"/>
    <s v="West"/>
    <x v="8"/>
    <n v="170.75"/>
    <n v="1536.75"/>
    <s v="UPI"/>
    <x v="0"/>
  </r>
  <r>
    <x v="1438"/>
    <s v="CUST254"/>
    <d v="2025-10-01T00:00:00"/>
    <s v="Electronics"/>
    <s v="East"/>
    <x v="0"/>
    <n v="177.45"/>
    <n v="887.25"/>
    <s v="Wallet"/>
    <x v="0"/>
  </r>
  <r>
    <x v="1439"/>
    <s v="CUST288"/>
    <d v="2024-09-28T00:00:00"/>
    <s v="Fashion"/>
    <s v="South"/>
    <x v="4"/>
    <n v="395.48"/>
    <n v="790.96"/>
    <s v="Net Banking"/>
    <x v="0"/>
  </r>
  <r>
    <x v="1440"/>
    <s v="CUST175"/>
    <d v="2025-02-03T00:00:00"/>
    <s v="Beauty"/>
    <s v="North"/>
    <x v="7"/>
    <n v="362.07"/>
    <n v="2896.56"/>
    <s v="Credit Card"/>
    <x v="0"/>
  </r>
  <r>
    <x v="1441"/>
    <s v="CUST395"/>
    <d v="2025-03-13T00:00:00"/>
    <s v="Home"/>
    <s v="South"/>
    <x v="0"/>
    <n v="76.61"/>
    <n v="383.05"/>
    <s v="UPI"/>
    <x v="0"/>
  </r>
  <r>
    <x v="1442"/>
    <s v="CUST297"/>
    <d v="2024-12-27T00:00:00"/>
    <s v="Beauty"/>
    <s v="West"/>
    <x v="3"/>
    <n v="249.63"/>
    <n v="1497.78"/>
    <s v="Net Banking"/>
    <x v="0"/>
  </r>
  <r>
    <x v="1443"/>
    <s v="CUST170"/>
    <d v="2025-10-31T00:00:00"/>
    <s v="Sports"/>
    <s v="West"/>
    <x v="2"/>
    <n v="194.68"/>
    <n v="778.72"/>
    <s v="Wallet"/>
    <x v="0"/>
  </r>
  <r>
    <x v="1444"/>
    <s v="CUST372"/>
    <d v="2025-07-03T00:00:00"/>
    <s v="Sports"/>
    <s v="West"/>
    <x v="2"/>
    <n v="195.39"/>
    <n v="781.56"/>
    <s v="UPI"/>
    <x v="0"/>
  </r>
  <r>
    <x v="1445"/>
    <s v="CUST144"/>
    <d v="2024-08-28T00:00:00"/>
    <s v="Electronics"/>
    <s v="East"/>
    <x v="3"/>
    <n v="6.42"/>
    <n v="38.520000000000003"/>
    <s v="Wallet"/>
    <x v="0"/>
  </r>
  <r>
    <x v="1446"/>
    <s v="CUST168"/>
    <d v="2024-04-22T00:00:00"/>
    <s v="Home"/>
    <s v="South"/>
    <x v="1"/>
    <n v="456.12"/>
    <n v="456.12"/>
    <s v="Net Banking"/>
    <x v="0"/>
  </r>
  <r>
    <x v="1447"/>
    <s v="CUST335"/>
    <d v="2024-05-27T00:00:00"/>
    <s v="Beauty"/>
    <s v="South"/>
    <x v="8"/>
    <n v="486.05"/>
    <n v="4374.45"/>
    <s v="UPI"/>
    <x v="0"/>
  </r>
  <r>
    <x v="1448"/>
    <s v="CUST214"/>
    <d v="2024-02-27T00:00:00"/>
    <s v="Fashion"/>
    <s v="West"/>
    <x v="6"/>
    <n v="63.03"/>
    <n v="189.09"/>
    <s v="Credit Card"/>
    <x v="0"/>
  </r>
  <r>
    <x v="1449"/>
    <s v="CUST317"/>
    <d v="2025-01-15T00:00:00"/>
    <s v="Sports"/>
    <s v="North"/>
    <x v="1"/>
    <n v="352.19"/>
    <n v="352.19"/>
    <s v="Wallet"/>
    <x v="0"/>
  </r>
  <r>
    <x v="1450"/>
    <s v="CUST180"/>
    <d v="2024-01-31T00:00:00"/>
    <s v="Electronics"/>
    <s v="South"/>
    <x v="6"/>
    <n v="185.8"/>
    <n v="557.4"/>
    <s v="Credit Card"/>
    <x v="0"/>
  </r>
  <r>
    <x v="1451"/>
    <s v="CUST106"/>
    <d v="2025-08-05T00:00:00"/>
    <s v="Fashion"/>
    <s v="West"/>
    <x v="5"/>
    <n v="79.11"/>
    <n v="553.77"/>
    <s v="UPI"/>
    <x v="0"/>
  </r>
  <r>
    <x v="1452"/>
    <s v="CUST370"/>
    <d v="2025-12-16T00:00:00"/>
    <s v="Home"/>
    <s v="West"/>
    <x v="0"/>
    <n v="237.74"/>
    <n v="1188.7"/>
    <s v="Credit Card"/>
    <x v="0"/>
  </r>
  <r>
    <x v="1453"/>
    <s v="CUST246"/>
    <d v="2024-04-23T00:00:00"/>
    <s v="Electronics"/>
    <s v="South"/>
    <x v="6"/>
    <n v="34.700000000000003"/>
    <n v="104.1"/>
    <s v="UPI"/>
    <x v="0"/>
  </r>
  <r>
    <x v="1454"/>
    <s v="CUST105"/>
    <d v="2025-02-09T00:00:00"/>
    <s v="Beauty"/>
    <s v="East"/>
    <x v="5"/>
    <n v="341.55"/>
    <n v="2390.85"/>
    <s v="Net Banking"/>
    <x v="0"/>
  </r>
  <r>
    <x v="1455"/>
    <s v="CUST216"/>
    <d v="2025-03-09T00:00:00"/>
    <s v="Electronics"/>
    <s v="West"/>
    <x v="6"/>
    <n v="139.55000000000001"/>
    <n v="418.65"/>
    <s v="UPI"/>
    <x v="0"/>
  </r>
  <r>
    <x v="1456"/>
    <s v="CUST208"/>
    <d v="2025-02-14T00:00:00"/>
    <s v="Beauty"/>
    <s v="South"/>
    <x v="9"/>
    <n v="32.72"/>
    <n v="327.2"/>
    <s v="Credit Card"/>
    <x v="0"/>
  </r>
  <r>
    <x v="1457"/>
    <s v="CUST339"/>
    <d v="2025-05-03T00:00:00"/>
    <s v="Beauty"/>
    <s v="West"/>
    <x v="3"/>
    <n v="328.09"/>
    <n v="1968.54"/>
    <s v="UPI"/>
    <x v="0"/>
  </r>
  <r>
    <x v="1458"/>
    <s v="CUST127"/>
    <d v="2025-01-15T00:00:00"/>
    <s v="Electronics"/>
    <s v="North"/>
    <x v="5"/>
    <n v="101.39"/>
    <n v="709.73"/>
    <s v="Credit Card"/>
    <x v="0"/>
  </r>
  <r>
    <x v="1459"/>
    <s v="CUST285"/>
    <d v="2025-09-09T00:00:00"/>
    <s v="Home"/>
    <s v="South"/>
    <x v="3"/>
    <n v="18.88"/>
    <n v="113.28"/>
    <s v="Credit Card"/>
    <x v="0"/>
  </r>
  <r>
    <x v="1460"/>
    <s v="CUST133"/>
    <d v="2024-08-04T00:00:00"/>
    <s v="Home"/>
    <s v="South"/>
    <x v="9"/>
    <n v="10.43"/>
    <n v="104.3"/>
    <s v="UPI"/>
    <x v="0"/>
  </r>
  <r>
    <x v="1461"/>
    <s v="CUST116"/>
    <d v="2024-09-03T00:00:00"/>
    <s v="Sports"/>
    <s v="North"/>
    <x v="0"/>
    <n v="47.09"/>
    <n v="235.45"/>
    <s v="Wallet"/>
    <x v="0"/>
  </r>
  <r>
    <x v="1462"/>
    <s v="CUST123"/>
    <d v="2024-02-19T00:00:00"/>
    <s v="Home"/>
    <s v="North"/>
    <x v="3"/>
    <n v="51.14"/>
    <n v="306.83999999999997"/>
    <s v="Net Banking"/>
    <x v="0"/>
  </r>
  <r>
    <x v="1463"/>
    <s v="CUST244"/>
    <d v="2025-02-11T00:00:00"/>
    <s v="Beauty"/>
    <s v="East"/>
    <x v="8"/>
    <n v="101.47"/>
    <n v="913.23"/>
    <s v="UPI"/>
    <x v="0"/>
  </r>
  <r>
    <x v="1464"/>
    <s v="CUST149"/>
    <d v="2024-12-05T00:00:00"/>
    <s v="Sports"/>
    <s v="North"/>
    <x v="5"/>
    <n v="448.77"/>
    <n v="3141.39"/>
    <s v="UPI"/>
    <x v="0"/>
  </r>
  <r>
    <x v="1465"/>
    <s v="CUST112"/>
    <d v="2025-08-24T00:00:00"/>
    <s v="Electronics"/>
    <s v="East"/>
    <x v="5"/>
    <n v="241.09"/>
    <n v="1687.63"/>
    <s v="UPI"/>
    <x v="0"/>
  </r>
  <r>
    <x v="1466"/>
    <s v="CUST177"/>
    <d v="2025-11-29T00:00:00"/>
    <s v="Electronics"/>
    <s v="South"/>
    <x v="7"/>
    <n v="43.98"/>
    <n v="351.84"/>
    <s v="UPI"/>
    <x v="0"/>
  </r>
  <r>
    <x v="1467"/>
    <s v="CUST172"/>
    <d v="2024-06-13T00:00:00"/>
    <s v="Sports"/>
    <s v="East"/>
    <x v="8"/>
    <n v="260.57"/>
    <n v="2345.13"/>
    <s v="Wallet"/>
    <x v="0"/>
  </r>
  <r>
    <x v="1468"/>
    <s v="CUST167"/>
    <d v="2024-12-13T00:00:00"/>
    <s v="Beauty"/>
    <s v="North"/>
    <x v="0"/>
    <n v="183.36"/>
    <n v="916.8"/>
    <s v="Wallet"/>
    <x v="0"/>
  </r>
  <r>
    <x v="1469"/>
    <s v="CUST222"/>
    <d v="2024-08-01T00:00:00"/>
    <s v="Fashion"/>
    <s v="West"/>
    <x v="9"/>
    <n v="305.39999999999998"/>
    <n v="3054"/>
    <s v="Credit Card"/>
    <x v="0"/>
  </r>
  <r>
    <x v="1470"/>
    <s v="CUST107"/>
    <d v="2024-05-26T00:00:00"/>
    <s v="Electronics"/>
    <s v="West"/>
    <x v="0"/>
    <n v="275.83"/>
    <n v="1379.15"/>
    <s v="Credit Card"/>
    <x v="0"/>
  </r>
  <r>
    <x v="1471"/>
    <s v="CUST332"/>
    <d v="2024-11-17T00:00:00"/>
    <s v="Fashion"/>
    <s v="North"/>
    <x v="6"/>
    <n v="467.36"/>
    <n v="1402.08"/>
    <s v="Net Banking"/>
    <x v="0"/>
  </r>
  <r>
    <x v="1472"/>
    <s v="CUST395"/>
    <d v="2025-01-07T00:00:00"/>
    <s v="Fashion"/>
    <s v="West"/>
    <x v="3"/>
    <n v="49.17"/>
    <n v="295.02"/>
    <s v="Net Banking"/>
    <x v="0"/>
  </r>
  <r>
    <x v="1473"/>
    <s v="CUST342"/>
    <d v="2024-09-19T00:00:00"/>
    <s v="Fashion"/>
    <s v="North"/>
    <x v="7"/>
    <n v="326.89"/>
    <n v="2615.12"/>
    <s v="Wallet"/>
    <x v="0"/>
  </r>
  <r>
    <x v="1474"/>
    <s v="CUST120"/>
    <d v="2025-01-07T00:00:00"/>
    <s v="Sports"/>
    <s v="South"/>
    <x v="0"/>
    <n v="203.46"/>
    <n v="1017.3"/>
    <s v="Wallet"/>
    <x v="0"/>
  </r>
  <r>
    <x v="1475"/>
    <s v="CUST287"/>
    <d v="2025-06-08T00:00:00"/>
    <s v="Home"/>
    <s v="North"/>
    <x v="9"/>
    <n v="476.26"/>
    <n v="4762.6000000000004"/>
    <s v="Wallet"/>
    <x v="0"/>
  </r>
  <r>
    <x v="1476"/>
    <s v="CUST359"/>
    <d v="2025-04-05T00:00:00"/>
    <s v="Electronics"/>
    <s v="North"/>
    <x v="0"/>
    <n v="439.32"/>
    <n v="2196.6"/>
    <s v="UPI"/>
    <x v="0"/>
  </r>
  <r>
    <x v="1477"/>
    <s v="CUST387"/>
    <d v="2024-01-09T00:00:00"/>
    <s v="Home"/>
    <s v="West"/>
    <x v="6"/>
    <n v="427.26"/>
    <n v="1281.78"/>
    <s v="UPI"/>
    <x v="0"/>
  </r>
  <r>
    <x v="1478"/>
    <s v="CUST391"/>
    <d v="2025-02-12T00:00:00"/>
    <s v="Beauty"/>
    <s v="North"/>
    <x v="4"/>
    <n v="115.41"/>
    <n v="230.82"/>
    <s v="Net Banking"/>
    <x v="0"/>
  </r>
  <r>
    <x v="1479"/>
    <s v="CUST338"/>
    <d v="2025-04-24T00:00:00"/>
    <s v="Beauty"/>
    <s v="North"/>
    <x v="8"/>
    <n v="450.56"/>
    <n v="4055.04"/>
    <s v="Credit Card"/>
    <x v="0"/>
  </r>
  <r>
    <x v="1480"/>
    <s v="CUST192"/>
    <d v="2024-04-20T00:00:00"/>
    <s v="Fashion"/>
    <s v="West"/>
    <x v="5"/>
    <n v="385.27"/>
    <n v="2696.89"/>
    <s v="Net Banking"/>
    <x v="0"/>
  </r>
  <r>
    <x v="1481"/>
    <s v="CUST133"/>
    <d v="2024-11-20T00:00:00"/>
    <s v="Beauty"/>
    <s v="South"/>
    <x v="3"/>
    <n v="498.24"/>
    <n v="2989.44"/>
    <s v="Wallet"/>
    <x v="0"/>
  </r>
  <r>
    <x v="1482"/>
    <s v="CUST158"/>
    <d v="2024-10-12T00:00:00"/>
    <s v="Fashion"/>
    <s v="West"/>
    <x v="7"/>
    <n v="23.95"/>
    <n v="191.6"/>
    <s v="UPI"/>
    <x v="0"/>
  </r>
  <r>
    <x v="1483"/>
    <s v="CUST209"/>
    <d v="2024-11-23T00:00:00"/>
    <s v="Sports"/>
    <s v="West"/>
    <x v="9"/>
    <n v="20.51"/>
    <n v="205.1"/>
    <s v="Credit Card"/>
    <x v="0"/>
  </r>
  <r>
    <x v="1484"/>
    <s v="CUST285"/>
    <d v="2025-03-16T00:00:00"/>
    <s v="Fashion"/>
    <s v="North"/>
    <x v="7"/>
    <n v="110.64"/>
    <n v="885.12"/>
    <s v="Wallet"/>
    <x v="0"/>
  </r>
  <r>
    <x v="1485"/>
    <s v="CUST238"/>
    <d v="2024-09-15T00:00:00"/>
    <s v="Electronics"/>
    <s v="East"/>
    <x v="6"/>
    <n v="46.38"/>
    <n v="139.13999999999999"/>
    <s v="Wallet"/>
    <x v="0"/>
  </r>
  <r>
    <x v="1486"/>
    <s v="CUST141"/>
    <d v="2024-11-01T00:00:00"/>
    <s v="Sports"/>
    <s v="South"/>
    <x v="7"/>
    <n v="436.29"/>
    <n v="3490.32"/>
    <s v="Net Banking"/>
    <x v="0"/>
  </r>
  <r>
    <x v="1487"/>
    <s v="CUST194"/>
    <d v="2024-02-25T00:00:00"/>
    <s v="Beauty"/>
    <s v="East"/>
    <x v="4"/>
    <n v="448"/>
    <n v="896"/>
    <s v="Net Banking"/>
    <x v="0"/>
  </r>
  <r>
    <x v="1488"/>
    <s v="CUST184"/>
    <d v="2024-07-22T00:00:00"/>
    <s v="Beauty"/>
    <s v="West"/>
    <x v="3"/>
    <n v="471.26"/>
    <n v="2827.56"/>
    <s v="UPI"/>
    <x v="0"/>
  </r>
  <r>
    <x v="1489"/>
    <s v="CUST323"/>
    <d v="2024-12-29T00:00:00"/>
    <s v="Electronics"/>
    <s v="South"/>
    <x v="9"/>
    <n v="197.62"/>
    <n v="1976.2"/>
    <s v="Credit Card"/>
    <x v="0"/>
  </r>
  <r>
    <x v="1490"/>
    <s v="CUST396"/>
    <d v="2025-09-23T00:00:00"/>
    <s v="Home"/>
    <s v="North"/>
    <x v="6"/>
    <n v="165.25"/>
    <n v="495.75"/>
    <s v="UPI"/>
    <x v="0"/>
  </r>
  <r>
    <x v="1491"/>
    <s v="CUST334"/>
    <d v="2024-05-31T00:00:00"/>
    <s v="Electronics"/>
    <s v="West"/>
    <x v="7"/>
    <n v="432.83"/>
    <n v="3462.64"/>
    <s v="Net Banking"/>
    <x v="0"/>
  </r>
  <r>
    <x v="1492"/>
    <s v="CUST366"/>
    <d v="2024-01-04T00:00:00"/>
    <s v="Fashion"/>
    <s v="West"/>
    <x v="7"/>
    <n v="471.95"/>
    <n v="3775.6"/>
    <s v="Credit Card"/>
    <x v="0"/>
  </r>
  <r>
    <x v="1493"/>
    <s v="CUST118"/>
    <d v="2024-08-11T00:00:00"/>
    <s v="Sports"/>
    <s v="South"/>
    <x v="2"/>
    <n v="212.99"/>
    <n v="851.96"/>
    <s v="Wallet"/>
    <x v="0"/>
  </r>
  <r>
    <x v="1494"/>
    <s v="CUST210"/>
    <d v="2024-12-22T00:00:00"/>
    <s v="Sports"/>
    <s v="North"/>
    <x v="2"/>
    <n v="476.43"/>
    <n v="1905.72"/>
    <s v="Net Banking"/>
    <x v="0"/>
  </r>
  <r>
    <x v="1495"/>
    <s v="CUST286"/>
    <d v="2024-01-17T00:00:00"/>
    <s v="Sports"/>
    <s v="North"/>
    <x v="0"/>
    <n v="448.84"/>
    <n v="2244.1999999999998"/>
    <s v="Wallet"/>
    <x v="0"/>
  </r>
  <r>
    <x v="1496"/>
    <s v="CUST333"/>
    <d v="2025-02-27T00:00:00"/>
    <s v="Sports"/>
    <s v="West"/>
    <x v="5"/>
    <n v="179.11"/>
    <n v="1253.77"/>
    <s v="Net Banking"/>
    <x v="0"/>
  </r>
  <r>
    <x v="1497"/>
    <s v="CUST158"/>
    <d v="2024-06-29T00:00:00"/>
    <s v="Fashion"/>
    <s v="South"/>
    <x v="7"/>
    <n v="217.05"/>
    <n v="1736.4"/>
    <s v="Wallet"/>
    <x v="0"/>
  </r>
  <r>
    <x v="1498"/>
    <s v="CUST295"/>
    <d v="2024-10-18T00:00:00"/>
    <s v="Sports"/>
    <s v="North"/>
    <x v="5"/>
    <n v="318.88"/>
    <n v="2232.16"/>
    <s v="Credit Card"/>
    <x v="0"/>
  </r>
  <r>
    <x v="1499"/>
    <s v="CUST153"/>
    <d v="2024-04-01T00:00:00"/>
    <s v="Beauty"/>
    <s v="North"/>
    <x v="1"/>
    <n v="310.05"/>
    <n v="310.05"/>
    <s v="Wallet"/>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s v="CUST157"/>
    <d v="2024-01-26T00:00:00"/>
    <s v="Fashion"/>
    <x v="0"/>
    <n v="5"/>
    <n v="126.22"/>
    <n v="631.1"/>
    <s v="Credit Card"/>
    <s v="Repeat Customer"/>
  </r>
  <r>
    <n v="10002"/>
    <s v="CUST316"/>
    <d v="2024-02-02T00:00:00"/>
    <s v="Fashion"/>
    <x v="0"/>
    <n v="1"/>
    <n v="51.38"/>
    <n v="51.38"/>
    <s v="UPI"/>
    <s v="Repeat Customer"/>
  </r>
  <r>
    <n v="10003"/>
    <s v="CUST379"/>
    <d v="2025-03-05T00:00:00"/>
    <s v="Home"/>
    <x v="0"/>
    <n v="4"/>
    <n v="227.36"/>
    <n v="909.44"/>
    <s v="UPI"/>
    <s v="Repeat Customer"/>
  </r>
  <r>
    <n v="10004"/>
    <s v="CUST316"/>
    <d v="2024-12-14T00:00:00"/>
    <s v="Home"/>
    <x v="0"/>
    <n v="5"/>
    <n v="81.96"/>
    <n v="409.8"/>
    <s v="Credit Card"/>
    <s v="Repeat Customer"/>
  </r>
  <r>
    <n v="10005"/>
    <s v="CUST294"/>
    <d v="2024-04-09T00:00:00"/>
    <s v="Sports"/>
    <x v="1"/>
    <n v="6"/>
    <n v="424.51"/>
    <n v="2547.06"/>
    <s v="Credit Card"/>
    <s v="Repeat Customer"/>
  </r>
  <r>
    <n v="10006"/>
    <s v="CUST335"/>
    <d v="2025-07-03T00:00:00"/>
    <s v="Beauty"/>
    <x v="0"/>
    <n v="2"/>
    <n v="486.69"/>
    <n v="973.38"/>
    <s v="Net Banking"/>
    <s v="Repeat Customer"/>
  </r>
  <r>
    <n v="10007"/>
    <s v="CUST285"/>
    <d v="2025-08-14T00:00:00"/>
    <s v="Electronics"/>
    <x v="2"/>
    <n v="4"/>
    <n v="353.76"/>
    <n v="1415.04"/>
    <s v="Net Banking"/>
    <s v="Repeat Customer"/>
  </r>
  <r>
    <n v="10008"/>
    <s v="CUST140"/>
    <d v="2024-08-26T00:00:00"/>
    <s v="Beauty"/>
    <x v="1"/>
    <n v="2"/>
    <n v="193.16"/>
    <n v="386.32"/>
    <s v="UPI"/>
    <s v="Repeat Customer"/>
  </r>
  <r>
    <n v="10009"/>
    <s v="CUST289"/>
    <d v="2024-12-29T00:00:00"/>
    <s v="Electronics"/>
    <x v="2"/>
    <n v="4"/>
    <n v="336.74"/>
    <n v="1346.96"/>
    <s v="UPI"/>
    <s v="Repeat Customer"/>
  </r>
  <r>
    <n v="10010"/>
    <s v="CUST183"/>
    <d v="2025-04-18T00:00:00"/>
    <s v="Sports"/>
    <x v="2"/>
    <n v="7"/>
    <n v="138.62"/>
    <n v="970.34"/>
    <s v="Net Banking"/>
    <s v="Repeat Customer"/>
  </r>
  <r>
    <n v="10011"/>
    <s v="CUST128"/>
    <d v="2024-08-22T00:00:00"/>
    <s v="Beauty"/>
    <x v="1"/>
    <n v="1"/>
    <n v="403.5"/>
    <n v="403.5"/>
    <s v="Credit Card"/>
    <s v="Repeat Customer"/>
  </r>
  <r>
    <n v="10012"/>
    <s v="CUST208"/>
    <d v="2025-08-03T00:00:00"/>
    <s v="Beauty"/>
    <x v="3"/>
    <n v="6"/>
    <n v="110.25"/>
    <n v="661.5"/>
    <s v="Wallet"/>
    <s v="Repeat Customer"/>
  </r>
  <r>
    <n v="10013"/>
    <s v="CUST173"/>
    <d v="2024-09-28T00:00:00"/>
    <s v="Sports"/>
    <x v="1"/>
    <n v="3"/>
    <n v="127.08"/>
    <n v="381.24"/>
    <s v="Wallet"/>
    <s v="Repeat Customer"/>
  </r>
  <r>
    <n v="10014"/>
    <s v="CUST398"/>
    <d v="2025-02-12T00:00:00"/>
    <s v="Fashion"/>
    <x v="3"/>
    <n v="6"/>
    <n v="113.56"/>
    <n v="681.36"/>
    <s v="Credit Card"/>
    <s v="Repeat Customer"/>
  </r>
  <r>
    <n v="10015"/>
    <s v="CUST124"/>
    <d v="2024-04-22T00:00:00"/>
    <s v="Beauty"/>
    <x v="0"/>
    <n v="3"/>
    <n v="315.58999999999997"/>
    <n v="946.77"/>
    <s v="Wallet"/>
    <s v="Repeat Customer"/>
  </r>
  <r>
    <n v="10016"/>
    <s v="CUST295"/>
    <d v="2025-09-02T00:00:00"/>
    <s v="Sports"/>
    <x v="0"/>
    <n v="8"/>
    <n v="266.91000000000003"/>
    <n v="2135.2800000000002"/>
    <s v="Credit Card"/>
    <s v="Repeat Customer"/>
  </r>
  <r>
    <n v="10017"/>
    <s v="CUST374"/>
    <d v="2024-09-30T00:00:00"/>
    <s v="Beauty"/>
    <x v="2"/>
    <n v="6"/>
    <n v="60.22"/>
    <n v="361.32"/>
    <s v="Wallet"/>
    <s v="Repeat Customer"/>
  </r>
  <r>
    <n v="10018"/>
    <s v="CUST101"/>
    <d v="2024-09-26T00:00:00"/>
    <s v="Sports"/>
    <x v="0"/>
    <n v="9"/>
    <n v="382.17"/>
    <n v="3439.53"/>
    <s v="Net Banking"/>
    <s v="Repeat Customer"/>
  </r>
  <r>
    <n v="10019"/>
    <s v="CUST359"/>
    <d v="2025-09-15T00:00:00"/>
    <s v="Fashion"/>
    <x v="0"/>
    <n v="4"/>
    <n v="80.66"/>
    <n v="322.64"/>
    <s v="Net Banking"/>
    <s v="Repeat Customer"/>
  </r>
  <r>
    <n v="10020"/>
    <s v="CUST350"/>
    <d v="2024-01-20T00:00:00"/>
    <s v="Home"/>
    <x v="2"/>
    <n v="2"/>
    <n v="464.9"/>
    <n v="929.8"/>
    <s v="Credit Card"/>
    <s v="Repeat Customer"/>
  </r>
  <r>
    <n v="10021"/>
    <s v="CUST223"/>
    <d v="2025-08-03T00:00:00"/>
    <s v="Beauty"/>
    <x v="0"/>
    <n v="2"/>
    <n v="47.4"/>
    <n v="94.8"/>
    <s v="UPI"/>
    <s v="Repeat Customer"/>
  </r>
  <r>
    <n v="10022"/>
    <s v="CUST165"/>
    <d v="2025-11-06T00:00:00"/>
    <s v="Fashion"/>
    <x v="1"/>
    <n v="8"/>
    <n v="473.69"/>
    <n v="3789.52"/>
    <s v="Wallet"/>
    <s v="Repeat Customer"/>
  </r>
  <r>
    <n v="10023"/>
    <s v="CUST208"/>
    <d v="2025-07-06T00:00:00"/>
    <s v="Beauty"/>
    <x v="1"/>
    <n v="4"/>
    <n v="357.91"/>
    <n v="1431.64"/>
    <s v="Wallet"/>
    <s v="Repeat Customer"/>
  </r>
  <r>
    <n v="10024"/>
    <s v="CUST364"/>
    <d v="2025-04-07T00:00:00"/>
    <s v="Electronics"/>
    <x v="1"/>
    <n v="2"/>
    <n v="127.71"/>
    <n v="255.42"/>
    <s v="Credit Card"/>
    <s v="Repeat Customer"/>
  </r>
  <r>
    <n v="10025"/>
    <s v="CUST383"/>
    <d v="2024-08-23T00:00:00"/>
    <s v="Electronics"/>
    <x v="0"/>
    <n v="10"/>
    <n v="114.01"/>
    <n v="1140.0999999999999"/>
    <s v="UPI"/>
    <s v="Repeat Customer"/>
  </r>
  <r>
    <n v="10026"/>
    <s v="CUST134"/>
    <d v="2024-02-02T00:00:00"/>
    <s v="Fashion"/>
    <x v="1"/>
    <n v="6"/>
    <n v="40.07"/>
    <n v="240.42"/>
    <s v="Wallet"/>
    <s v="Repeat Customer"/>
  </r>
  <r>
    <n v="10027"/>
    <s v="CUST209"/>
    <d v="2025-07-06T00:00:00"/>
    <s v="Sports"/>
    <x v="3"/>
    <n v="3"/>
    <n v="363.06"/>
    <n v="1089.18"/>
    <s v="UPI"/>
    <s v="Repeat Customer"/>
  </r>
  <r>
    <n v="10028"/>
    <s v="CUST342"/>
    <d v="2025-02-20T00:00:00"/>
    <s v="Beauty"/>
    <x v="1"/>
    <n v="4"/>
    <n v="51.69"/>
    <n v="206.76"/>
    <s v="Wallet"/>
    <s v="Repeat Customer"/>
  </r>
  <r>
    <n v="10029"/>
    <s v="CUST310"/>
    <d v="2025-04-23T00:00:00"/>
    <s v="Electronics"/>
    <x v="0"/>
    <n v="1"/>
    <n v="338.32"/>
    <n v="338.32"/>
    <s v="Wallet"/>
    <s v="Repeat Customer"/>
  </r>
  <r>
    <n v="10030"/>
    <s v="CUST273"/>
    <d v="2024-04-21T00:00:00"/>
    <s v="Sports"/>
    <x v="3"/>
    <n v="4"/>
    <n v="99.84"/>
    <n v="399.36"/>
    <s v="UPI"/>
    <s v="Repeat Customer"/>
  </r>
  <r>
    <n v="10031"/>
    <s v="CUST316"/>
    <d v="2024-07-06T00:00:00"/>
    <s v="Electronics"/>
    <x v="3"/>
    <n v="5"/>
    <n v="234"/>
    <n v="1170"/>
    <s v="Credit Card"/>
    <s v="Repeat Customer"/>
  </r>
  <r>
    <n v="10032"/>
    <s v="CUST125"/>
    <d v="2025-10-29T00:00:00"/>
    <s v="Electronics"/>
    <x v="2"/>
    <n v="9"/>
    <n v="418.83"/>
    <n v="3769.47"/>
    <s v="UPI"/>
    <s v="Repeat Customer"/>
  </r>
  <r>
    <n v="10033"/>
    <s v="CUST308"/>
    <d v="2025-05-12T00:00:00"/>
    <s v="Beauty"/>
    <x v="0"/>
    <n v="8"/>
    <n v="110.8"/>
    <n v="886.4"/>
    <s v="UPI"/>
    <s v="Repeat Customer"/>
  </r>
  <r>
    <n v="10034"/>
    <s v="CUST294"/>
    <d v="2024-01-03T00:00:00"/>
    <s v="Beauty"/>
    <x v="1"/>
    <n v="7"/>
    <n v="136.28"/>
    <n v="953.96"/>
    <s v="Wallet"/>
    <s v="Repeat Customer"/>
  </r>
  <r>
    <n v="10035"/>
    <s v="CUST384"/>
    <d v="2025-11-08T00:00:00"/>
    <s v="Home"/>
    <x v="2"/>
    <n v="8"/>
    <n v="81.62"/>
    <n v="652.96"/>
    <s v="Credit Card"/>
    <s v="Repeat Customer"/>
  </r>
  <r>
    <n v="10036"/>
    <s v="CUST396"/>
    <d v="2025-07-09T00:00:00"/>
    <s v="Electronics"/>
    <x v="0"/>
    <n v="1"/>
    <n v="375.25"/>
    <n v="375.25"/>
    <s v="Wallet"/>
    <s v="Repeat Customer"/>
  </r>
  <r>
    <n v="10037"/>
    <s v="CUST357"/>
    <d v="2025-06-27T00:00:00"/>
    <s v="Sports"/>
    <x v="0"/>
    <n v="3"/>
    <n v="33.159999999999997"/>
    <n v="99.48"/>
    <s v="UPI"/>
    <s v="Repeat Customer"/>
  </r>
  <r>
    <n v="10038"/>
    <s v="CUST135"/>
    <d v="2025-09-01T00:00:00"/>
    <s v="Fashion"/>
    <x v="3"/>
    <n v="2"/>
    <n v="339.23"/>
    <n v="678.46"/>
    <s v="Credit Card"/>
    <s v="Repeat Customer"/>
  </r>
  <r>
    <n v="10039"/>
    <s v="CUST391"/>
    <d v="2024-09-09T00:00:00"/>
    <s v="Sports"/>
    <x v="0"/>
    <n v="10"/>
    <n v="299.29000000000002"/>
    <n v="2992.9"/>
    <s v="Wallet"/>
    <s v="Repeat Customer"/>
  </r>
  <r>
    <n v="10040"/>
    <s v="CUST398"/>
    <d v="2025-08-01T00:00:00"/>
    <s v="Home"/>
    <x v="2"/>
    <n v="9"/>
    <n v="161.6"/>
    <n v="1454.4"/>
    <s v="Net Banking"/>
    <s v="Repeat Customer"/>
  </r>
  <r>
    <n v="10041"/>
    <s v="CUST222"/>
    <d v="2024-09-28T00:00:00"/>
    <s v="Home"/>
    <x v="3"/>
    <n v="7"/>
    <n v="69.78"/>
    <n v="488.46"/>
    <s v="Net Banking"/>
    <s v="Repeat Customer"/>
  </r>
  <r>
    <n v="10042"/>
    <s v="CUST137"/>
    <d v="2024-01-10T00:00:00"/>
    <s v="Sports"/>
    <x v="0"/>
    <n v="8"/>
    <n v="312.47000000000003"/>
    <n v="2499.7600000000002"/>
    <s v="Credit Card"/>
    <s v="New Customer"/>
  </r>
  <r>
    <n v="10043"/>
    <s v="CUST375"/>
    <d v="2024-08-06T00:00:00"/>
    <s v="Home"/>
    <x v="0"/>
    <n v="9"/>
    <n v="136.27000000000001"/>
    <n v="1226.43"/>
    <s v="UPI"/>
    <s v="Repeat Customer"/>
  </r>
  <r>
    <n v="10044"/>
    <s v="CUST289"/>
    <d v="2024-10-18T00:00:00"/>
    <s v="Sports"/>
    <x v="1"/>
    <n v="3"/>
    <n v="221.9"/>
    <n v="665.7"/>
    <s v="Credit Card"/>
    <s v="Repeat Customer"/>
  </r>
  <r>
    <n v="10045"/>
    <s v="CUST383"/>
    <d v="2024-11-02T00:00:00"/>
    <s v="Fashion"/>
    <x v="1"/>
    <n v="2"/>
    <n v="469.77"/>
    <n v="939.54"/>
    <s v="Credit Card"/>
    <s v="Repeat Customer"/>
  </r>
  <r>
    <n v="10046"/>
    <s v="CUST154"/>
    <d v="2025-07-20T00:00:00"/>
    <s v="Sports"/>
    <x v="2"/>
    <n v="3"/>
    <n v="139.81"/>
    <n v="419.43"/>
    <s v="Net Banking"/>
    <s v="Repeat Customer"/>
  </r>
  <r>
    <n v="10047"/>
    <s v="CUST204"/>
    <d v="2025-12-04T00:00:00"/>
    <s v="Home"/>
    <x v="0"/>
    <n v="5"/>
    <n v="255.18"/>
    <n v="1275.9000000000001"/>
    <s v="Credit Card"/>
    <s v="Repeat Customer"/>
  </r>
  <r>
    <n v="10048"/>
    <s v="CUST316"/>
    <d v="2024-10-10T00:00:00"/>
    <s v="Fashion"/>
    <x v="1"/>
    <n v="1"/>
    <n v="6.76"/>
    <n v="6.76"/>
    <s v="UPI"/>
    <s v="Repeat Customer"/>
  </r>
  <r>
    <n v="10049"/>
    <s v="CUST326"/>
    <d v="2025-07-18T00:00:00"/>
    <s v="Electronics"/>
    <x v="0"/>
    <n v="7"/>
    <n v="282.64999999999998"/>
    <n v="1978.55"/>
    <s v="UPI"/>
    <s v="Repeat Customer"/>
  </r>
  <r>
    <n v="10050"/>
    <s v="CUST379"/>
    <d v="2024-02-06T00:00:00"/>
    <s v="Fashion"/>
    <x v="3"/>
    <n v="6"/>
    <n v="293.33999999999997"/>
    <n v="1760.04"/>
    <s v="UPI"/>
    <s v="Repeat Customer"/>
  </r>
  <r>
    <n v="10051"/>
    <s v="CUST121"/>
    <d v="2024-11-11T00:00:00"/>
    <s v="Electronics"/>
    <x v="1"/>
    <n v="6"/>
    <n v="450"/>
    <n v="2700"/>
    <s v="UPI"/>
    <s v="Repeat Customer"/>
  </r>
  <r>
    <n v="10052"/>
    <s v="CUST227"/>
    <d v="2025-11-13T00:00:00"/>
    <s v="Sports"/>
    <x v="3"/>
    <n v="2"/>
    <n v="180.07"/>
    <n v="360.14"/>
    <s v="UPI"/>
    <s v="Repeat Customer"/>
  </r>
  <r>
    <n v="10053"/>
    <s v="CUST221"/>
    <d v="2024-06-15T00:00:00"/>
    <s v="Electronics"/>
    <x v="2"/>
    <n v="3"/>
    <n v="441.3"/>
    <n v="1323.9"/>
    <s v="Net Banking"/>
    <s v="Repeat Customer"/>
  </r>
  <r>
    <n v="10054"/>
    <s v="CUST310"/>
    <d v="2025-11-16T00:00:00"/>
    <s v="Electronics"/>
    <x v="3"/>
    <n v="4"/>
    <n v="137.07"/>
    <n v="548.28"/>
    <s v="Credit Card"/>
    <s v="Repeat Customer"/>
  </r>
  <r>
    <n v="10055"/>
    <s v="CUST340"/>
    <d v="2024-08-15T00:00:00"/>
    <s v="Beauty"/>
    <x v="1"/>
    <n v="4"/>
    <n v="409.21"/>
    <n v="1636.84"/>
    <s v="Net Banking"/>
    <s v="Repeat Customer"/>
  </r>
  <r>
    <n v="10056"/>
    <s v="CUST216"/>
    <d v="2024-08-16T00:00:00"/>
    <s v="Beauty"/>
    <x v="1"/>
    <n v="1"/>
    <n v="331.72"/>
    <n v="331.72"/>
    <s v="Net Banking"/>
    <s v="Repeat Customer"/>
  </r>
  <r>
    <n v="10057"/>
    <s v="CUST135"/>
    <d v="2024-10-12T00:00:00"/>
    <s v="Beauty"/>
    <x v="1"/>
    <n v="6"/>
    <n v="322.52999999999997"/>
    <n v="1935.18"/>
    <s v="Credit Card"/>
    <s v="Repeat Customer"/>
  </r>
  <r>
    <n v="10058"/>
    <s v="CUST159"/>
    <d v="2024-09-24T00:00:00"/>
    <s v="Home"/>
    <x v="0"/>
    <n v="3"/>
    <n v="292.39"/>
    <n v="877.17"/>
    <s v="Credit Card"/>
    <s v="Repeat Customer"/>
  </r>
  <r>
    <n v="10059"/>
    <s v="CUST322"/>
    <d v="2024-12-19T00:00:00"/>
    <s v="Sports"/>
    <x v="0"/>
    <n v="6"/>
    <n v="221.01"/>
    <n v="1326.06"/>
    <s v="Wallet"/>
    <s v="Repeat Customer"/>
  </r>
  <r>
    <n v="10060"/>
    <s v="CUST395"/>
    <d v="2024-07-13T00:00:00"/>
    <s v="Beauty"/>
    <x v="0"/>
    <n v="5"/>
    <n v="26.97"/>
    <n v="134.85"/>
    <s v="UPI"/>
    <s v="Repeat Customer"/>
  </r>
  <r>
    <n v="10061"/>
    <s v="CUST286"/>
    <d v="2025-03-17T00:00:00"/>
    <s v="Home"/>
    <x v="1"/>
    <n v="2"/>
    <n v="474.69"/>
    <n v="949.38"/>
    <s v="Credit Card"/>
    <s v="Repeat Customer"/>
  </r>
  <r>
    <n v="10062"/>
    <s v="CUST253"/>
    <d v="2025-06-03T00:00:00"/>
    <s v="Home"/>
    <x v="3"/>
    <n v="5"/>
    <n v="335.11"/>
    <n v="1675.55"/>
    <s v="Net Banking"/>
    <s v="Repeat Customer"/>
  </r>
  <r>
    <n v="10063"/>
    <s v="CUST383"/>
    <d v="2024-05-10T00:00:00"/>
    <s v="Beauty"/>
    <x v="2"/>
    <n v="4"/>
    <n v="213.12"/>
    <n v="852.48"/>
    <s v="Net Banking"/>
    <s v="Repeat Customer"/>
  </r>
  <r>
    <n v="10064"/>
    <s v="CUST307"/>
    <d v="2025-07-15T00:00:00"/>
    <s v="Fashion"/>
    <x v="3"/>
    <n v="1"/>
    <n v="155.41999999999999"/>
    <n v="155.41999999999999"/>
    <s v="Net Banking"/>
    <s v="Repeat Customer"/>
  </r>
  <r>
    <n v="10065"/>
    <s v="CUST338"/>
    <d v="2025-03-28T00:00:00"/>
    <s v="Sports"/>
    <x v="3"/>
    <n v="8"/>
    <n v="339.44"/>
    <n v="2715.52"/>
    <s v="UPI"/>
    <s v="Repeat Customer"/>
  </r>
  <r>
    <n v="10066"/>
    <s v="CUST143"/>
    <d v="2024-10-17T00:00:00"/>
    <s v="Sports"/>
    <x v="1"/>
    <n v="9"/>
    <n v="333.61"/>
    <n v="3002.49"/>
    <s v="Credit Card"/>
    <s v="Repeat Customer"/>
  </r>
  <r>
    <n v="10067"/>
    <s v="CUST220"/>
    <d v="2025-11-19T00:00:00"/>
    <s v="Fashion"/>
    <x v="2"/>
    <n v="5"/>
    <n v="116.2"/>
    <n v="581"/>
    <s v="Credit Card"/>
    <s v="Repeat Customer"/>
  </r>
  <r>
    <n v="10068"/>
    <s v="CUST123"/>
    <d v="2024-09-07T00:00:00"/>
    <s v="Electronics"/>
    <x v="3"/>
    <n v="8"/>
    <n v="307.58"/>
    <n v="2460.64"/>
    <s v="Wallet"/>
    <s v="Repeat Customer"/>
  </r>
  <r>
    <n v="10069"/>
    <s v="CUST394"/>
    <d v="2024-07-18T00:00:00"/>
    <s v="Fashion"/>
    <x v="2"/>
    <n v="7"/>
    <n v="249.72"/>
    <n v="1748.04"/>
    <s v="Credit Card"/>
    <s v="Repeat Customer"/>
  </r>
  <r>
    <n v="10070"/>
    <s v="CUST154"/>
    <d v="2025-03-11T00:00:00"/>
    <s v="Sports"/>
    <x v="3"/>
    <n v="4"/>
    <n v="92.06"/>
    <n v="368.24"/>
    <s v="Credit Card"/>
    <s v="Repeat Customer"/>
  </r>
  <r>
    <n v="10071"/>
    <s v="CUST385"/>
    <d v="2024-09-12T00:00:00"/>
    <s v="Beauty"/>
    <x v="1"/>
    <n v="2"/>
    <n v="230.95"/>
    <n v="461.9"/>
    <s v="Wallet"/>
    <s v="Repeat Customer"/>
  </r>
  <r>
    <n v="10072"/>
    <s v="CUST358"/>
    <d v="2025-03-12T00:00:00"/>
    <s v="Fashion"/>
    <x v="3"/>
    <n v="9"/>
    <n v="225.73"/>
    <n v="2031.57"/>
    <s v="Wallet"/>
    <s v="Repeat Customer"/>
  </r>
  <r>
    <n v="10073"/>
    <s v="CUST232"/>
    <d v="2024-09-10T00:00:00"/>
    <s v="Sports"/>
    <x v="3"/>
    <n v="5"/>
    <n v="384.08"/>
    <n v="1920.4"/>
    <s v="UPI"/>
    <s v="Repeat Customer"/>
  </r>
  <r>
    <n v="10074"/>
    <s v="CUST240"/>
    <d v="2025-03-26T00:00:00"/>
    <s v="Fashion"/>
    <x v="1"/>
    <n v="2"/>
    <n v="358.2"/>
    <n v="716.4"/>
    <s v="Net Banking"/>
    <s v="Repeat Customer"/>
  </r>
  <r>
    <n v="10075"/>
    <s v="CUST263"/>
    <d v="2025-07-07T00:00:00"/>
    <s v="Fashion"/>
    <x v="3"/>
    <n v="2"/>
    <n v="73.5"/>
    <n v="147"/>
    <s v="UPI"/>
    <s v="Repeat Customer"/>
  </r>
  <r>
    <n v="10076"/>
    <s v="CUST209"/>
    <d v="2024-03-06T00:00:00"/>
    <s v="Sports"/>
    <x v="3"/>
    <n v="7"/>
    <n v="206.76"/>
    <n v="1447.32"/>
    <s v="Wallet"/>
    <s v="Repeat Customer"/>
  </r>
  <r>
    <n v="10077"/>
    <s v="CUST131"/>
    <d v="2024-07-30T00:00:00"/>
    <s v="Sports"/>
    <x v="0"/>
    <n v="7"/>
    <n v="197.79"/>
    <n v="1384.53"/>
    <s v="Wallet"/>
    <s v="Repeat Customer"/>
  </r>
  <r>
    <n v="10078"/>
    <s v="CUST344"/>
    <d v="2024-01-07T00:00:00"/>
    <s v="Beauty"/>
    <x v="3"/>
    <n v="6"/>
    <n v="152.81"/>
    <n v="916.86"/>
    <s v="UPI"/>
    <s v="Repeat Customer"/>
  </r>
  <r>
    <n v="10079"/>
    <s v="CUST349"/>
    <d v="2024-08-12T00:00:00"/>
    <s v="Electronics"/>
    <x v="3"/>
    <n v="5"/>
    <n v="220.74"/>
    <n v="1103.7"/>
    <s v="Net Banking"/>
    <s v="Repeat Customer"/>
  </r>
  <r>
    <n v="10080"/>
    <s v="CUST307"/>
    <d v="2024-06-18T00:00:00"/>
    <s v="Sports"/>
    <x v="0"/>
    <n v="8"/>
    <n v="460.17"/>
    <n v="3681.36"/>
    <s v="Wallet"/>
    <s v="Repeat Customer"/>
  </r>
  <r>
    <n v="10081"/>
    <s v="CUST388"/>
    <d v="2025-11-09T00:00:00"/>
    <s v="Beauty"/>
    <x v="2"/>
    <n v="1"/>
    <n v="46.55"/>
    <n v="46.55"/>
    <s v="Wallet"/>
    <s v="Repeat Customer"/>
  </r>
  <r>
    <n v="10082"/>
    <s v="CUST193"/>
    <d v="2024-02-21T00:00:00"/>
    <s v="Fashion"/>
    <x v="3"/>
    <n v="5"/>
    <n v="192.66"/>
    <n v="963.3"/>
    <s v="Net Banking"/>
    <s v="Repeat Customer"/>
  </r>
  <r>
    <n v="10083"/>
    <s v="CUST272"/>
    <d v="2025-01-23T00:00:00"/>
    <s v="Beauty"/>
    <x v="1"/>
    <n v="5"/>
    <n v="377.24"/>
    <n v="1886.2"/>
    <s v="Credit Card"/>
    <s v="Repeat Customer"/>
  </r>
  <r>
    <n v="10084"/>
    <s v="CUST340"/>
    <d v="2024-01-20T00:00:00"/>
    <s v="Home"/>
    <x v="2"/>
    <n v="9"/>
    <n v="30.78"/>
    <n v="277.02"/>
    <s v="Credit Card"/>
    <s v="Repeat Customer"/>
  </r>
  <r>
    <n v="10085"/>
    <s v="CUST120"/>
    <d v="2024-02-01T00:00:00"/>
    <s v="Electronics"/>
    <x v="2"/>
    <n v="4"/>
    <n v="103.68"/>
    <n v="414.72"/>
    <s v="UPI"/>
    <s v="Repeat Customer"/>
  </r>
  <r>
    <n v="10086"/>
    <s v="CUST164"/>
    <d v="2025-04-29T00:00:00"/>
    <s v="Fashion"/>
    <x v="3"/>
    <n v="2"/>
    <n v="284.16000000000003"/>
    <n v="568.32000000000005"/>
    <s v="Net Banking"/>
    <s v="Repeat Customer"/>
  </r>
  <r>
    <n v="10087"/>
    <s v="CUST288"/>
    <d v="2024-06-20T00:00:00"/>
    <s v="Electronics"/>
    <x v="2"/>
    <n v="10"/>
    <n v="305.58999999999997"/>
    <n v="3055.9"/>
    <s v="Net Banking"/>
    <s v="Repeat Customer"/>
  </r>
  <r>
    <n v="10088"/>
    <s v="CUST155"/>
    <d v="2025-08-15T00:00:00"/>
    <s v="Sports"/>
    <x v="3"/>
    <n v="1"/>
    <n v="464.8"/>
    <n v="464.8"/>
    <s v="Wallet"/>
    <s v="Repeat Customer"/>
  </r>
  <r>
    <n v="10089"/>
    <s v="CUST201"/>
    <d v="2024-03-18T00:00:00"/>
    <s v="Fashion"/>
    <x v="0"/>
    <n v="10"/>
    <n v="346.85"/>
    <n v="3468.5"/>
    <s v="Net Banking"/>
    <s v="Repeat Customer"/>
  </r>
  <r>
    <n v="10090"/>
    <s v="CUST161"/>
    <d v="2025-08-02T00:00:00"/>
    <s v="Beauty"/>
    <x v="1"/>
    <n v="1"/>
    <n v="176.87"/>
    <n v="176.87"/>
    <s v="Credit Card"/>
    <s v="Repeat Customer"/>
  </r>
  <r>
    <n v="10091"/>
    <s v="CUST359"/>
    <d v="2025-10-25T00:00:00"/>
    <s v="Beauty"/>
    <x v="3"/>
    <n v="6"/>
    <n v="11.26"/>
    <n v="67.56"/>
    <s v="Credit Card"/>
    <s v="Repeat Customer"/>
  </r>
  <r>
    <n v="10092"/>
    <s v="CUST321"/>
    <d v="2025-01-05T00:00:00"/>
    <s v="Beauty"/>
    <x v="2"/>
    <n v="8"/>
    <n v="355.12"/>
    <n v="2840.96"/>
    <s v="Net Banking"/>
    <s v="New Customer"/>
  </r>
  <r>
    <n v="10093"/>
    <s v="CUST375"/>
    <d v="2025-05-10T00:00:00"/>
    <s v="Sports"/>
    <x v="1"/>
    <n v="8"/>
    <n v="220.61"/>
    <n v="1764.88"/>
    <s v="Net Banking"/>
    <s v="Repeat Customer"/>
  </r>
  <r>
    <n v="10094"/>
    <s v="CUST225"/>
    <d v="2024-03-29T00:00:00"/>
    <s v="Fashion"/>
    <x v="3"/>
    <n v="5"/>
    <n v="441.41"/>
    <n v="2207.0500000000002"/>
    <s v="Wallet"/>
    <s v="Repeat Customer"/>
  </r>
  <r>
    <n v="10095"/>
    <s v="CUST272"/>
    <d v="2024-01-30T00:00:00"/>
    <s v="Fashion"/>
    <x v="3"/>
    <n v="8"/>
    <n v="426.22"/>
    <n v="3409.76"/>
    <s v="UPI"/>
    <s v="Repeat Customer"/>
  </r>
  <r>
    <n v="10096"/>
    <s v="CUST281"/>
    <d v="2024-09-21T00:00:00"/>
    <s v="Sports"/>
    <x v="1"/>
    <n v="6"/>
    <n v="143.43"/>
    <n v="860.58"/>
    <s v="Credit Card"/>
    <s v="Repeat Customer"/>
  </r>
  <r>
    <n v="10097"/>
    <s v="CUST364"/>
    <d v="2024-07-14T00:00:00"/>
    <s v="Beauty"/>
    <x v="3"/>
    <n v="2"/>
    <n v="124.47"/>
    <n v="248.94"/>
    <s v="UPI"/>
    <s v="Repeat Customer"/>
  </r>
  <r>
    <n v="10098"/>
    <s v="CUST343"/>
    <d v="2025-10-23T00:00:00"/>
    <s v="Electronics"/>
    <x v="0"/>
    <n v="8"/>
    <n v="226.85"/>
    <n v="1814.8"/>
    <s v="Net Banking"/>
    <s v="Repeat Customer"/>
  </r>
  <r>
    <n v="10099"/>
    <s v="CUST213"/>
    <d v="2025-02-18T00:00:00"/>
    <s v="Sports"/>
    <x v="1"/>
    <n v="4"/>
    <n v="156.57"/>
    <n v="626.28"/>
    <s v="Wallet"/>
    <s v="Repeat Customer"/>
  </r>
  <r>
    <n v="10100"/>
    <s v="CUST383"/>
    <d v="2025-06-27T00:00:00"/>
    <s v="Sports"/>
    <x v="1"/>
    <n v="6"/>
    <n v="215.62"/>
    <n v="1293.72"/>
    <s v="Net Banking"/>
    <s v="Repeat Customer"/>
  </r>
  <r>
    <n v="10101"/>
    <s v="CUST332"/>
    <d v="2024-10-04T00:00:00"/>
    <s v="Electronics"/>
    <x v="2"/>
    <n v="5"/>
    <n v="129.44"/>
    <n v="647.20000000000005"/>
    <s v="Net Banking"/>
    <s v="Repeat Customer"/>
  </r>
  <r>
    <n v="10102"/>
    <s v="CUST161"/>
    <d v="2025-07-02T00:00:00"/>
    <s v="Beauty"/>
    <x v="1"/>
    <n v="3"/>
    <n v="99.81"/>
    <n v="299.43"/>
    <s v="Net Banking"/>
    <s v="Repeat Customer"/>
  </r>
  <r>
    <n v="10103"/>
    <s v="CUST151"/>
    <d v="2024-07-17T00:00:00"/>
    <s v="Fashion"/>
    <x v="1"/>
    <n v="5"/>
    <n v="117.6"/>
    <n v="588"/>
    <s v="Credit Card"/>
    <s v="Repeat Customer"/>
  </r>
  <r>
    <n v="10104"/>
    <s v="CUST373"/>
    <d v="2024-05-09T00:00:00"/>
    <s v="Electronics"/>
    <x v="1"/>
    <n v="5"/>
    <n v="27.53"/>
    <n v="137.65"/>
    <s v="UPI"/>
    <s v="Repeat Customer"/>
  </r>
  <r>
    <n v="10105"/>
    <s v="CUST351"/>
    <d v="2024-04-15T00:00:00"/>
    <s v="Beauty"/>
    <x v="3"/>
    <n v="1"/>
    <n v="289.16000000000003"/>
    <n v="289.16000000000003"/>
    <s v="Wallet"/>
    <s v="Repeat Customer"/>
  </r>
  <r>
    <n v="10106"/>
    <s v="CUST274"/>
    <d v="2024-07-07T00:00:00"/>
    <s v="Beauty"/>
    <x v="0"/>
    <n v="1"/>
    <n v="129.97999999999999"/>
    <n v="129.97999999999999"/>
    <s v="Credit Card"/>
    <s v="Repeat Customer"/>
  </r>
  <r>
    <n v="10107"/>
    <s v="CUST305"/>
    <d v="2025-05-18T00:00:00"/>
    <s v="Electronics"/>
    <x v="2"/>
    <n v="2"/>
    <n v="290.63"/>
    <n v="581.26"/>
    <s v="UPI"/>
    <s v="Repeat Customer"/>
  </r>
  <r>
    <n v="10108"/>
    <s v="CUST388"/>
    <d v="2024-11-07T00:00:00"/>
    <s v="Electronics"/>
    <x v="3"/>
    <n v="2"/>
    <n v="496.99"/>
    <n v="993.98"/>
    <s v="UPI"/>
    <s v="Repeat Customer"/>
  </r>
  <r>
    <n v="10109"/>
    <s v="CUST367"/>
    <d v="2025-01-24T00:00:00"/>
    <s v="Home"/>
    <x v="3"/>
    <n v="8"/>
    <n v="454.71"/>
    <n v="3637.68"/>
    <s v="Net Banking"/>
    <s v="Repeat Customer"/>
  </r>
  <r>
    <n v="10110"/>
    <s v="CUST391"/>
    <d v="2025-09-27T00:00:00"/>
    <s v="Electronics"/>
    <x v="2"/>
    <n v="1"/>
    <n v="306.77"/>
    <n v="306.77"/>
    <s v="UPI"/>
    <s v="Repeat Customer"/>
  </r>
  <r>
    <n v="10111"/>
    <s v="CUST235"/>
    <d v="2025-11-07T00:00:00"/>
    <s v="Fashion"/>
    <x v="0"/>
    <n v="2"/>
    <n v="82.74"/>
    <n v="165.48"/>
    <s v="UPI"/>
    <s v="Repeat Customer"/>
  </r>
  <r>
    <n v="10112"/>
    <s v="CUST101"/>
    <d v="2025-02-22T00:00:00"/>
    <s v="Beauty"/>
    <x v="1"/>
    <n v="8"/>
    <n v="346.24"/>
    <n v="2769.92"/>
    <s v="Credit Card"/>
    <s v="Repeat Customer"/>
  </r>
  <r>
    <n v="10113"/>
    <s v="CUST218"/>
    <d v="2024-10-22T00:00:00"/>
    <s v="Beauty"/>
    <x v="0"/>
    <n v="5"/>
    <n v="352.98"/>
    <n v="1764.9"/>
    <s v="UPI"/>
    <s v="Repeat Customer"/>
  </r>
  <r>
    <n v="10114"/>
    <s v="CUST235"/>
    <d v="2025-10-02T00:00:00"/>
    <s v="Fashion"/>
    <x v="3"/>
    <n v="10"/>
    <n v="332.29"/>
    <n v="3322.9"/>
    <s v="Credit Card"/>
    <s v="Repeat Customer"/>
  </r>
  <r>
    <n v="10115"/>
    <s v="CUST378"/>
    <d v="2024-08-18T00:00:00"/>
    <s v="Fashion"/>
    <x v="0"/>
    <n v="3"/>
    <n v="454.66"/>
    <n v="1363.98"/>
    <s v="Credit Card"/>
    <s v="Repeat Customer"/>
  </r>
  <r>
    <n v="10116"/>
    <s v="CUST184"/>
    <d v="2024-11-10T00:00:00"/>
    <s v="Sports"/>
    <x v="1"/>
    <n v="10"/>
    <n v="375.73"/>
    <n v="3757.3"/>
    <s v="Wallet"/>
    <s v="Repeat Customer"/>
  </r>
  <r>
    <n v="10117"/>
    <s v="CUST163"/>
    <d v="2025-04-24T00:00:00"/>
    <s v="Home"/>
    <x v="3"/>
    <n v="5"/>
    <n v="351.37"/>
    <n v="1756.85"/>
    <s v="Wallet"/>
    <s v="Repeat Customer"/>
  </r>
  <r>
    <n v="10118"/>
    <s v="CUST141"/>
    <d v="2025-09-04T00:00:00"/>
    <s v="Home"/>
    <x v="1"/>
    <n v="1"/>
    <n v="445.26"/>
    <n v="445.26"/>
    <s v="Credit Card"/>
    <s v="Repeat Customer"/>
  </r>
  <r>
    <n v="10119"/>
    <s v="CUST146"/>
    <d v="2024-08-22T00:00:00"/>
    <s v="Electronics"/>
    <x v="1"/>
    <n v="10"/>
    <n v="295.63"/>
    <n v="2956.3"/>
    <s v="Credit Card"/>
    <s v="Repeat Customer"/>
  </r>
  <r>
    <n v="10120"/>
    <s v="CUST189"/>
    <d v="2025-04-26T00:00:00"/>
    <s v="Home"/>
    <x v="2"/>
    <n v="9"/>
    <n v="327.5"/>
    <n v="2947.5"/>
    <s v="Wallet"/>
    <s v="Repeat Customer"/>
  </r>
  <r>
    <n v="10121"/>
    <s v="CUST351"/>
    <d v="2024-04-03T00:00:00"/>
    <s v="Home"/>
    <x v="1"/>
    <n v="8"/>
    <n v="177.24"/>
    <n v="1417.92"/>
    <s v="Credit Card"/>
    <s v="Repeat Customer"/>
  </r>
  <r>
    <n v="10122"/>
    <s v="CUST182"/>
    <d v="2024-12-03T00:00:00"/>
    <s v="Home"/>
    <x v="3"/>
    <n v="7"/>
    <n v="348.37"/>
    <n v="2438.59"/>
    <s v="Credit Card"/>
    <s v="Repeat Customer"/>
  </r>
  <r>
    <n v="10123"/>
    <s v="CUST332"/>
    <d v="2024-03-31T00:00:00"/>
    <s v="Electronics"/>
    <x v="3"/>
    <n v="6"/>
    <n v="129.94"/>
    <n v="779.64"/>
    <s v="Credit Card"/>
    <s v="Repeat Customer"/>
  </r>
  <r>
    <n v="10124"/>
    <s v="CUST377"/>
    <d v="2025-04-18T00:00:00"/>
    <s v="Sports"/>
    <x v="1"/>
    <n v="7"/>
    <n v="31.83"/>
    <n v="222.81"/>
    <s v="Wallet"/>
    <s v="Repeat Customer"/>
  </r>
  <r>
    <n v="10125"/>
    <s v="CUST326"/>
    <d v="2024-02-22T00:00:00"/>
    <s v="Fashion"/>
    <x v="1"/>
    <n v="4"/>
    <n v="137.19"/>
    <n v="548.76"/>
    <s v="Wallet"/>
    <s v="Repeat Customer"/>
  </r>
  <r>
    <n v="10126"/>
    <s v="CUST348"/>
    <d v="2024-05-04T00:00:00"/>
    <s v="Sports"/>
    <x v="2"/>
    <n v="1"/>
    <n v="486.71"/>
    <n v="486.71"/>
    <s v="UPI"/>
    <s v="Repeat Customer"/>
  </r>
  <r>
    <n v="10127"/>
    <s v="CUST259"/>
    <d v="2025-07-18T00:00:00"/>
    <s v="Electronics"/>
    <x v="2"/>
    <n v="1"/>
    <n v="278.36"/>
    <n v="278.36"/>
    <s v="Credit Card"/>
    <s v="Repeat Customer"/>
  </r>
  <r>
    <n v="10128"/>
    <s v="CUST336"/>
    <d v="2024-04-30T00:00:00"/>
    <s v="Home"/>
    <x v="1"/>
    <n v="3"/>
    <n v="251.7"/>
    <n v="755.1"/>
    <s v="Wallet"/>
    <s v="Repeat Customer"/>
  </r>
  <r>
    <n v="10129"/>
    <s v="CUST347"/>
    <d v="2025-04-28T00:00:00"/>
    <s v="Fashion"/>
    <x v="3"/>
    <n v="4"/>
    <n v="231.11"/>
    <n v="924.44"/>
    <s v="UPI"/>
    <s v="Repeat Customer"/>
  </r>
  <r>
    <n v="10130"/>
    <s v="CUST360"/>
    <d v="2024-05-19T00:00:00"/>
    <s v="Beauty"/>
    <x v="1"/>
    <n v="2"/>
    <n v="141.74"/>
    <n v="283.48"/>
    <s v="Net Banking"/>
    <s v="Repeat Customer"/>
  </r>
  <r>
    <n v="10131"/>
    <s v="CUST101"/>
    <d v="2024-10-16T00:00:00"/>
    <s v="Sports"/>
    <x v="3"/>
    <n v="5"/>
    <n v="419.55"/>
    <n v="2097.75"/>
    <s v="UPI"/>
    <s v="Repeat Customer"/>
  </r>
  <r>
    <n v="10132"/>
    <s v="CUST328"/>
    <d v="2025-07-05T00:00:00"/>
    <s v="Sports"/>
    <x v="3"/>
    <n v="8"/>
    <n v="175.84"/>
    <n v="1406.72"/>
    <s v="Wallet"/>
    <s v="Repeat Customer"/>
  </r>
  <r>
    <n v="10133"/>
    <s v="CUST264"/>
    <d v="2024-07-12T00:00:00"/>
    <s v="Fashion"/>
    <x v="3"/>
    <n v="4"/>
    <n v="288.04000000000002"/>
    <n v="1152.1600000000001"/>
    <s v="Credit Card"/>
    <s v="Repeat Customer"/>
  </r>
  <r>
    <n v="10134"/>
    <s v="CUST262"/>
    <d v="2025-04-29T00:00:00"/>
    <s v="Fashion"/>
    <x v="3"/>
    <n v="7"/>
    <n v="196.11"/>
    <n v="1372.77"/>
    <s v="Credit Card"/>
    <s v="Repeat Customer"/>
  </r>
  <r>
    <n v="10135"/>
    <s v="CUST164"/>
    <d v="2025-05-29T00:00:00"/>
    <s v="Electronics"/>
    <x v="3"/>
    <n v="10"/>
    <n v="169.34"/>
    <n v="1693.4"/>
    <s v="Credit Card"/>
    <s v="Repeat Customer"/>
  </r>
  <r>
    <n v="10136"/>
    <s v="CUST369"/>
    <d v="2025-04-12T00:00:00"/>
    <s v="Beauty"/>
    <x v="2"/>
    <n v="1"/>
    <n v="362.61"/>
    <n v="362.61"/>
    <s v="Credit Card"/>
    <s v="Repeat Customer"/>
  </r>
  <r>
    <n v="10137"/>
    <s v="CUST340"/>
    <d v="2024-09-28T00:00:00"/>
    <s v="Beauty"/>
    <x v="0"/>
    <n v="6"/>
    <n v="313.51"/>
    <n v="1881.06"/>
    <s v="Net Banking"/>
    <s v="Repeat Customer"/>
  </r>
  <r>
    <n v="10138"/>
    <s v="CUST373"/>
    <d v="2025-01-24T00:00:00"/>
    <s v="Beauty"/>
    <x v="0"/>
    <n v="6"/>
    <n v="315.27"/>
    <n v="1891.62"/>
    <s v="Credit Card"/>
    <s v="Repeat Customer"/>
  </r>
  <r>
    <n v="10139"/>
    <s v="CUST220"/>
    <d v="2025-10-08T00:00:00"/>
    <s v="Electronics"/>
    <x v="3"/>
    <n v="5"/>
    <n v="498.73"/>
    <n v="2493.65"/>
    <s v="Credit Card"/>
    <s v="Repeat Customer"/>
  </r>
  <r>
    <n v="10140"/>
    <s v="CUST151"/>
    <d v="2025-03-30T00:00:00"/>
    <s v="Electronics"/>
    <x v="0"/>
    <n v="3"/>
    <n v="348.53"/>
    <n v="1045.5899999999999"/>
    <s v="Net Banking"/>
    <s v="Repeat Customer"/>
  </r>
  <r>
    <n v="10141"/>
    <s v="CUST128"/>
    <d v="2024-10-27T00:00:00"/>
    <s v="Fashion"/>
    <x v="2"/>
    <n v="6"/>
    <n v="190.55"/>
    <n v="1143.3"/>
    <s v="Wallet"/>
    <s v="Repeat Customer"/>
  </r>
  <r>
    <n v="10142"/>
    <s v="CUST389"/>
    <d v="2025-11-29T00:00:00"/>
    <s v="Electronics"/>
    <x v="3"/>
    <n v="3"/>
    <n v="89.14"/>
    <n v="267.42"/>
    <s v="UPI"/>
    <s v="Repeat Customer"/>
  </r>
  <r>
    <n v="10143"/>
    <s v="CUST354"/>
    <d v="2025-08-20T00:00:00"/>
    <s v="Home"/>
    <x v="3"/>
    <n v="3"/>
    <n v="119.93"/>
    <n v="359.79"/>
    <s v="Net Banking"/>
    <s v="Repeat Customer"/>
  </r>
  <r>
    <n v="10144"/>
    <s v="CUST104"/>
    <d v="2025-04-21T00:00:00"/>
    <s v="Fashion"/>
    <x v="0"/>
    <n v="5"/>
    <n v="340.42"/>
    <n v="1702.1"/>
    <s v="Wallet"/>
    <s v="Repeat Customer"/>
  </r>
  <r>
    <n v="10145"/>
    <s v="CUST276"/>
    <d v="2025-08-24T00:00:00"/>
    <s v="Beauty"/>
    <x v="1"/>
    <n v="5"/>
    <n v="321.27"/>
    <n v="1606.35"/>
    <s v="Wallet"/>
    <s v="Repeat Customer"/>
  </r>
  <r>
    <n v="10146"/>
    <s v="CUST254"/>
    <d v="2024-07-22T00:00:00"/>
    <s v="Electronics"/>
    <x v="2"/>
    <n v="7"/>
    <n v="427.4"/>
    <n v="2991.8"/>
    <s v="Wallet"/>
    <s v="Repeat Customer"/>
  </r>
  <r>
    <n v="10147"/>
    <s v="CUST392"/>
    <d v="2025-01-02T00:00:00"/>
    <s v="Home"/>
    <x v="0"/>
    <n v="10"/>
    <n v="151.46"/>
    <n v="1514.6"/>
    <s v="Wallet"/>
    <s v="Repeat Customer"/>
  </r>
  <r>
    <n v="10148"/>
    <s v="CUST240"/>
    <d v="2024-01-09T00:00:00"/>
    <s v="Electronics"/>
    <x v="3"/>
    <n v="10"/>
    <n v="433.21"/>
    <n v="4332.1000000000004"/>
    <s v="Net Banking"/>
    <s v="Repeat Customer"/>
  </r>
  <r>
    <n v="10149"/>
    <s v="CUST217"/>
    <d v="2025-09-13T00:00:00"/>
    <s v="Fashion"/>
    <x v="1"/>
    <n v="6"/>
    <n v="113.41"/>
    <n v="680.46"/>
    <s v="UPI"/>
    <s v="Repeat Customer"/>
  </r>
  <r>
    <n v="10150"/>
    <s v="CUST149"/>
    <d v="2025-10-04T00:00:00"/>
    <s v="Beauty"/>
    <x v="0"/>
    <n v="1"/>
    <n v="157.91999999999999"/>
    <n v="157.91999999999999"/>
    <s v="Net Banking"/>
    <s v="Repeat Customer"/>
  </r>
  <r>
    <n v="10151"/>
    <s v="CUST167"/>
    <d v="2024-04-02T00:00:00"/>
    <s v="Beauty"/>
    <x v="2"/>
    <n v="5"/>
    <n v="166.73"/>
    <n v="833.65"/>
    <s v="UPI"/>
    <s v="Repeat Customer"/>
  </r>
  <r>
    <n v="10152"/>
    <s v="CUST167"/>
    <d v="2025-07-06T00:00:00"/>
    <s v="Home"/>
    <x v="2"/>
    <n v="6"/>
    <n v="267.77"/>
    <n v="1606.62"/>
    <s v="Net Banking"/>
    <s v="Repeat Customer"/>
  </r>
  <r>
    <n v="10153"/>
    <s v="CUST346"/>
    <d v="2024-10-29T00:00:00"/>
    <s v="Beauty"/>
    <x v="0"/>
    <n v="6"/>
    <n v="403.1"/>
    <n v="2418.6"/>
    <s v="UPI"/>
    <s v="Repeat Customer"/>
  </r>
  <r>
    <n v="10154"/>
    <s v="CUST215"/>
    <d v="2025-11-23T00:00:00"/>
    <s v="Sports"/>
    <x v="1"/>
    <n v="7"/>
    <n v="483.8"/>
    <n v="3386.6"/>
    <s v="Credit Card"/>
    <s v="Repeat Customer"/>
  </r>
  <r>
    <n v="10155"/>
    <s v="CUST302"/>
    <d v="2024-01-15T00:00:00"/>
    <s v="Beauty"/>
    <x v="1"/>
    <n v="5"/>
    <n v="270.60000000000002"/>
    <n v="1353"/>
    <s v="Net Banking"/>
    <s v="Repeat Customer"/>
  </r>
  <r>
    <n v="10156"/>
    <s v="CUST399"/>
    <d v="2025-01-25T00:00:00"/>
    <s v="Fashion"/>
    <x v="3"/>
    <n v="6"/>
    <n v="58.63"/>
    <n v="351.78"/>
    <s v="Credit Card"/>
    <s v="Repeat Customer"/>
  </r>
  <r>
    <n v="10157"/>
    <s v="CUST387"/>
    <d v="2024-12-01T00:00:00"/>
    <s v="Electronics"/>
    <x v="3"/>
    <n v="10"/>
    <n v="114.58"/>
    <n v="1145.8"/>
    <s v="Net Banking"/>
    <s v="Repeat Customer"/>
  </r>
  <r>
    <n v="10158"/>
    <s v="CUST309"/>
    <d v="2024-04-29T00:00:00"/>
    <s v="Electronics"/>
    <x v="1"/>
    <n v="3"/>
    <n v="27.45"/>
    <n v="82.35"/>
    <s v="Wallet"/>
    <s v="Repeat Customer"/>
  </r>
  <r>
    <n v="10159"/>
    <s v="CUST159"/>
    <d v="2024-04-09T00:00:00"/>
    <s v="Fashion"/>
    <x v="3"/>
    <n v="4"/>
    <n v="444.19"/>
    <n v="1776.76"/>
    <s v="Wallet"/>
    <s v="Repeat Customer"/>
  </r>
  <r>
    <n v="10160"/>
    <s v="CUST289"/>
    <d v="2025-11-17T00:00:00"/>
    <s v="Fashion"/>
    <x v="3"/>
    <n v="9"/>
    <n v="212.47"/>
    <n v="1912.23"/>
    <s v="Credit Card"/>
    <s v="Repeat Customer"/>
  </r>
  <r>
    <n v="10161"/>
    <s v="CUST350"/>
    <d v="2025-09-22T00:00:00"/>
    <s v="Home"/>
    <x v="0"/>
    <n v="7"/>
    <n v="469.83"/>
    <n v="3288.81"/>
    <s v="Net Banking"/>
    <s v="Repeat Customer"/>
  </r>
  <r>
    <n v="10162"/>
    <s v="CUST211"/>
    <d v="2025-03-30T00:00:00"/>
    <s v="Home"/>
    <x v="0"/>
    <n v="8"/>
    <n v="475.52"/>
    <n v="3804.16"/>
    <s v="Net Banking"/>
    <s v="Repeat Customer"/>
  </r>
  <r>
    <n v="10163"/>
    <s v="CUST378"/>
    <d v="2025-10-22T00:00:00"/>
    <s v="Home"/>
    <x v="2"/>
    <n v="6"/>
    <n v="34.97"/>
    <n v="209.82"/>
    <s v="Credit Card"/>
    <s v="Repeat Customer"/>
  </r>
  <r>
    <n v="10164"/>
    <s v="CUST332"/>
    <d v="2024-04-03T00:00:00"/>
    <s v="Sports"/>
    <x v="0"/>
    <n v="4"/>
    <n v="322.64"/>
    <n v="1290.56"/>
    <s v="Credit Card"/>
    <s v="Repeat Customer"/>
  </r>
  <r>
    <n v="10165"/>
    <s v="CUST270"/>
    <d v="2024-09-06T00:00:00"/>
    <s v="Fashion"/>
    <x v="0"/>
    <n v="3"/>
    <n v="394.55"/>
    <n v="1183.6500000000001"/>
    <s v="UPI"/>
    <s v="Repeat Customer"/>
  </r>
  <r>
    <n v="10166"/>
    <s v="CUST210"/>
    <d v="2024-08-26T00:00:00"/>
    <s v="Sports"/>
    <x v="0"/>
    <n v="6"/>
    <n v="388.31"/>
    <n v="2329.86"/>
    <s v="Net Banking"/>
    <s v="Repeat Customer"/>
  </r>
  <r>
    <n v="10167"/>
    <s v="CUST174"/>
    <d v="2024-05-13T00:00:00"/>
    <s v="Fashion"/>
    <x v="0"/>
    <n v="9"/>
    <n v="129.07"/>
    <n v="1161.6300000000001"/>
    <s v="Credit Card"/>
    <s v="Repeat Customer"/>
  </r>
  <r>
    <n v="10168"/>
    <s v="CUST167"/>
    <d v="2024-01-16T00:00:00"/>
    <s v="Fashion"/>
    <x v="1"/>
    <n v="6"/>
    <n v="396.04"/>
    <n v="2376.2399999999998"/>
    <s v="Credit Card"/>
    <s v="Repeat Customer"/>
  </r>
  <r>
    <n v="10169"/>
    <s v="CUST189"/>
    <d v="2024-09-28T00:00:00"/>
    <s v="Beauty"/>
    <x v="0"/>
    <n v="1"/>
    <n v="67.75"/>
    <n v="67.75"/>
    <s v="Credit Card"/>
    <s v="Repeat Customer"/>
  </r>
  <r>
    <n v="10170"/>
    <s v="CUST343"/>
    <d v="2025-04-04T00:00:00"/>
    <s v="Electronics"/>
    <x v="3"/>
    <n v="6"/>
    <n v="259.05"/>
    <n v="1554.3"/>
    <s v="UPI"/>
    <s v="Repeat Customer"/>
  </r>
  <r>
    <n v="10171"/>
    <s v="CUST122"/>
    <d v="2025-11-05T00:00:00"/>
    <s v="Electronics"/>
    <x v="0"/>
    <n v="9"/>
    <n v="154.31"/>
    <n v="1388.79"/>
    <s v="Wallet"/>
    <s v="Repeat Customer"/>
  </r>
  <r>
    <n v="10172"/>
    <s v="CUST305"/>
    <d v="2025-03-12T00:00:00"/>
    <s v="Beauty"/>
    <x v="0"/>
    <n v="2"/>
    <n v="247.68"/>
    <n v="495.36"/>
    <s v="Credit Card"/>
    <s v="Repeat Customer"/>
  </r>
  <r>
    <n v="10173"/>
    <s v="CUST264"/>
    <d v="2025-09-14T00:00:00"/>
    <s v="Home"/>
    <x v="1"/>
    <n v="3"/>
    <n v="37.51"/>
    <n v="112.53"/>
    <s v="Wallet"/>
    <s v="Repeat Customer"/>
  </r>
  <r>
    <n v="10174"/>
    <s v="CUST371"/>
    <d v="2024-10-28T00:00:00"/>
    <s v="Beauty"/>
    <x v="0"/>
    <n v="8"/>
    <n v="255.25"/>
    <n v="2042"/>
    <s v="Credit Card"/>
    <s v="Repeat Customer"/>
  </r>
  <r>
    <n v="10175"/>
    <s v="CUST382"/>
    <d v="2024-08-08T00:00:00"/>
    <s v="Fashion"/>
    <x v="3"/>
    <n v="7"/>
    <n v="228.52"/>
    <n v="1599.64"/>
    <s v="Net Banking"/>
    <s v="Repeat Customer"/>
  </r>
  <r>
    <n v="10176"/>
    <s v="CUST332"/>
    <d v="2025-02-12T00:00:00"/>
    <s v="Home"/>
    <x v="3"/>
    <n v="7"/>
    <n v="366.16"/>
    <n v="2563.12"/>
    <s v="Net Banking"/>
    <s v="Repeat Customer"/>
  </r>
  <r>
    <n v="10177"/>
    <s v="CUST230"/>
    <d v="2025-01-18T00:00:00"/>
    <s v="Beauty"/>
    <x v="0"/>
    <n v="3"/>
    <n v="344.98"/>
    <n v="1034.94"/>
    <s v="Credit Card"/>
    <s v="Repeat Customer"/>
  </r>
  <r>
    <n v="10178"/>
    <s v="CUST143"/>
    <d v="2024-04-05T00:00:00"/>
    <s v="Home"/>
    <x v="2"/>
    <n v="7"/>
    <n v="52.8"/>
    <n v="369.6"/>
    <s v="Credit Card"/>
    <s v="Repeat Customer"/>
  </r>
  <r>
    <n v="10179"/>
    <s v="CUST387"/>
    <d v="2025-07-29T00:00:00"/>
    <s v="Beauty"/>
    <x v="1"/>
    <n v="6"/>
    <n v="336.66"/>
    <n v="2019.96"/>
    <s v="Wallet"/>
    <s v="Repeat Customer"/>
  </r>
  <r>
    <n v="10180"/>
    <s v="CUST126"/>
    <d v="2024-10-21T00:00:00"/>
    <s v="Electronics"/>
    <x v="2"/>
    <n v="10"/>
    <n v="159.66"/>
    <n v="1596.6"/>
    <s v="UPI"/>
    <s v="Repeat Customer"/>
  </r>
  <r>
    <n v="10181"/>
    <s v="CUST346"/>
    <d v="2024-08-17T00:00:00"/>
    <s v="Sports"/>
    <x v="1"/>
    <n v="2"/>
    <n v="178.31"/>
    <n v="356.62"/>
    <s v="Credit Card"/>
    <s v="Repeat Customer"/>
  </r>
  <r>
    <n v="10182"/>
    <s v="CUST242"/>
    <d v="2025-08-10T00:00:00"/>
    <s v="Sports"/>
    <x v="0"/>
    <n v="4"/>
    <n v="404.57"/>
    <n v="1618.28"/>
    <s v="Net Banking"/>
    <s v="Repeat Customer"/>
  </r>
  <r>
    <n v="10183"/>
    <s v="CUST114"/>
    <d v="2024-07-03T00:00:00"/>
    <s v="Home"/>
    <x v="1"/>
    <n v="5"/>
    <n v="352.84"/>
    <n v="1764.2"/>
    <s v="Net Banking"/>
    <s v="Repeat Customer"/>
  </r>
  <r>
    <n v="10184"/>
    <s v="CUST103"/>
    <d v="2024-07-04T00:00:00"/>
    <s v="Beauty"/>
    <x v="0"/>
    <n v="3"/>
    <n v="285.33"/>
    <n v="855.99"/>
    <s v="UPI"/>
    <s v="Repeat Customer"/>
  </r>
  <r>
    <n v="10185"/>
    <s v="CUST115"/>
    <d v="2024-04-03T00:00:00"/>
    <s v="Beauty"/>
    <x v="3"/>
    <n v="9"/>
    <n v="111.49"/>
    <n v="1003.41"/>
    <s v="Net Banking"/>
    <s v="Repeat Customer"/>
  </r>
  <r>
    <n v="10186"/>
    <s v="CUST180"/>
    <d v="2025-01-13T00:00:00"/>
    <s v="Sports"/>
    <x v="0"/>
    <n v="5"/>
    <n v="362.19"/>
    <n v="1810.95"/>
    <s v="Credit Card"/>
    <s v="Repeat Customer"/>
  </r>
  <r>
    <n v="10187"/>
    <s v="CUST179"/>
    <d v="2024-06-10T00:00:00"/>
    <s v="Electronics"/>
    <x v="1"/>
    <n v="10"/>
    <n v="29.63"/>
    <n v="296.3"/>
    <s v="Wallet"/>
    <s v="Repeat Customer"/>
  </r>
  <r>
    <n v="10188"/>
    <s v="CUST317"/>
    <d v="2025-05-12T00:00:00"/>
    <s v="Home"/>
    <x v="2"/>
    <n v="10"/>
    <n v="223.81"/>
    <n v="2238.1"/>
    <s v="Credit Card"/>
    <s v="Repeat Customer"/>
  </r>
  <r>
    <n v="10189"/>
    <s v="CUST276"/>
    <d v="2025-03-16T00:00:00"/>
    <s v="Sports"/>
    <x v="3"/>
    <n v="2"/>
    <n v="145.21"/>
    <n v="290.42"/>
    <s v="Net Banking"/>
    <s v="Repeat Customer"/>
  </r>
  <r>
    <n v="10190"/>
    <s v="CUST123"/>
    <d v="2024-08-13T00:00:00"/>
    <s v="Electronics"/>
    <x v="0"/>
    <n v="7"/>
    <n v="492.3"/>
    <n v="3446.1"/>
    <s v="UPI"/>
    <s v="Repeat Customer"/>
  </r>
  <r>
    <n v="10191"/>
    <s v="CUST254"/>
    <d v="2024-08-04T00:00:00"/>
    <s v="Home"/>
    <x v="1"/>
    <n v="3"/>
    <n v="383.26"/>
    <n v="1149.78"/>
    <s v="Credit Card"/>
    <s v="Repeat Customer"/>
  </r>
  <r>
    <n v="10192"/>
    <s v="CUST103"/>
    <d v="2025-05-24T00:00:00"/>
    <s v="Beauty"/>
    <x v="2"/>
    <n v="7"/>
    <n v="91.97"/>
    <n v="643.79"/>
    <s v="Net Banking"/>
    <s v="Repeat Customer"/>
  </r>
  <r>
    <n v="10193"/>
    <s v="CUST136"/>
    <d v="2025-02-10T00:00:00"/>
    <s v="Beauty"/>
    <x v="0"/>
    <n v="1"/>
    <n v="220.93"/>
    <n v="220.93"/>
    <s v="Net Banking"/>
    <s v="Repeat Customer"/>
  </r>
  <r>
    <n v="10194"/>
    <s v="CUST394"/>
    <d v="2025-03-15T00:00:00"/>
    <s v="Beauty"/>
    <x v="1"/>
    <n v="10"/>
    <n v="205.19"/>
    <n v="2051.9"/>
    <s v="Credit Card"/>
    <s v="Repeat Customer"/>
  </r>
  <r>
    <n v="10195"/>
    <s v="CUST307"/>
    <d v="2024-01-22T00:00:00"/>
    <s v="Sports"/>
    <x v="3"/>
    <n v="6"/>
    <n v="90.08"/>
    <n v="540.48"/>
    <s v="Net Banking"/>
    <s v="Repeat Customer"/>
  </r>
  <r>
    <n v="10196"/>
    <s v="CUST145"/>
    <d v="2025-03-23T00:00:00"/>
    <s v="Sports"/>
    <x v="3"/>
    <n v="2"/>
    <n v="125.44"/>
    <n v="250.88"/>
    <s v="Credit Card"/>
    <s v="Repeat Customer"/>
  </r>
  <r>
    <n v="10197"/>
    <s v="CUST302"/>
    <d v="2024-11-13T00:00:00"/>
    <s v="Fashion"/>
    <x v="0"/>
    <n v="6"/>
    <n v="114.68"/>
    <n v="688.08"/>
    <s v="Credit Card"/>
    <s v="Repeat Customer"/>
  </r>
  <r>
    <n v="10198"/>
    <s v="CUST371"/>
    <d v="2025-06-06T00:00:00"/>
    <s v="Home"/>
    <x v="1"/>
    <n v="4"/>
    <n v="453.43"/>
    <n v="1813.72"/>
    <s v="UPI"/>
    <s v="Repeat Customer"/>
  </r>
  <r>
    <n v="10199"/>
    <s v="CUST220"/>
    <d v="2024-04-15T00:00:00"/>
    <s v="Fashion"/>
    <x v="2"/>
    <n v="3"/>
    <n v="131.69999999999999"/>
    <n v="395.1"/>
    <s v="Credit Card"/>
    <s v="Repeat Customer"/>
  </r>
  <r>
    <n v="10200"/>
    <s v="CUST190"/>
    <d v="2025-10-05T00:00:00"/>
    <s v="Sports"/>
    <x v="3"/>
    <n v="8"/>
    <n v="234.66"/>
    <n v="1877.28"/>
    <s v="Net Banking"/>
    <s v="Repeat Customer"/>
  </r>
  <r>
    <n v="10201"/>
    <s v="CUST261"/>
    <d v="2024-06-03T00:00:00"/>
    <s v="Beauty"/>
    <x v="1"/>
    <n v="8"/>
    <n v="38.799999999999997"/>
    <n v="310.39999999999998"/>
    <s v="Net Banking"/>
    <s v="Repeat Customer"/>
  </r>
  <r>
    <n v="10202"/>
    <s v="CUST128"/>
    <d v="2024-12-26T00:00:00"/>
    <s v="Beauty"/>
    <x v="3"/>
    <n v="9"/>
    <n v="41.72"/>
    <n v="375.48"/>
    <s v="Credit Card"/>
    <s v="Repeat Customer"/>
  </r>
  <r>
    <n v="10203"/>
    <s v="CUST129"/>
    <d v="2025-01-12T00:00:00"/>
    <s v="Electronics"/>
    <x v="3"/>
    <n v="5"/>
    <n v="42.98"/>
    <n v="214.9"/>
    <s v="Wallet"/>
    <s v="Repeat Customer"/>
  </r>
  <r>
    <n v="10204"/>
    <s v="CUST397"/>
    <d v="2025-07-21T00:00:00"/>
    <s v="Sports"/>
    <x v="2"/>
    <n v="1"/>
    <n v="227.62"/>
    <n v="227.62"/>
    <s v="Net Banking"/>
    <s v="New Customer"/>
  </r>
  <r>
    <n v="10205"/>
    <s v="CUST343"/>
    <d v="2025-05-28T00:00:00"/>
    <s v="Beauty"/>
    <x v="0"/>
    <n v="3"/>
    <n v="479.07"/>
    <n v="1437.21"/>
    <s v="Net Banking"/>
    <s v="Repeat Customer"/>
  </r>
  <r>
    <n v="10206"/>
    <s v="CUST143"/>
    <d v="2025-05-31T00:00:00"/>
    <s v="Beauty"/>
    <x v="3"/>
    <n v="3"/>
    <n v="24.38"/>
    <n v="73.14"/>
    <s v="UPI"/>
    <s v="Repeat Customer"/>
  </r>
  <r>
    <n v="10207"/>
    <s v="CUST286"/>
    <d v="2025-01-16T00:00:00"/>
    <s v="Home"/>
    <x v="0"/>
    <n v="5"/>
    <n v="196.77"/>
    <n v="983.85"/>
    <s v="Net Banking"/>
    <s v="Repeat Customer"/>
  </r>
  <r>
    <n v="10208"/>
    <s v="CUST133"/>
    <d v="2024-12-03T00:00:00"/>
    <s v="Beauty"/>
    <x v="1"/>
    <n v="2"/>
    <n v="281.19"/>
    <n v="562.38"/>
    <s v="Net Banking"/>
    <s v="Repeat Customer"/>
  </r>
  <r>
    <n v="10209"/>
    <s v="CUST176"/>
    <d v="2024-12-07T00:00:00"/>
    <s v="Fashion"/>
    <x v="1"/>
    <n v="2"/>
    <n v="293.45999999999998"/>
    <n v="586.91999999999996"/>
    <s v="Net Banking"/>
    <s v="Repeat Customer"/>
  </r>
  <r>
    <n v="10210"/>
    <s v="CUST300"/>
    <d v="2024-05-12T00:00:00"/>
    <s v="Electronics"/>
    <x v="1"/>
    <n v="10"/>
    <n v="355.87"/>
    <n v="3558.7"/>
    <s v="Wallet"/>
    <s v="Repeat Customer"/>
  </r>
  <r>
    <n v="10211"/>
    <s v="CUST268"/>
    <d v="2024-05-10T00:00:00"/>
    <s v="Beauty"/>
    <x v="1"/>
    <n v="9"/>
    <n v="51.26"/>
    <n v="461.34"/>
    <s v="Credit Card"/>
    <s v="Repeat Customer"/>
  </r>
  <r>
    <n v="10212"/>
    <s v="CUST285"/>
    <d v="2024-11-12T00:00:00"/>
    <s v="Home"/>
    <x v="3"/>
    <n v="3"/>
    <n v="475.83"/>
    <n v="1427.49"/>
    <s v="UPI"/>
    <s v="Repeat Customer"/>
  </r>
  <r>
    <n v="10213"/>
    <s v="CUST215"/>
    <d v="2024-05-20T00:00:00"/>
    <s v="Electronics"/>
    <x v="0"/>
    <n v="3"/>
    <n v="43.2"/>
    <n v="129.6"/>
    <s v="Net Banking"/>
    <s v="Repeat Customer"/>
  </r>
  <r>
    <n v="10214"/>
    <s v="CUST167"/>
    <d v="2025-09-03T00:00:00"/>
    <s v="Fashion"/>
    <x v="2"/>
    <n v="7"/>
    <n v="81.36"/>
    <n v="569.52"/>
    <s v="Wallet"/>
    <s v="Repeat Customer"/>
  </r>
  <r>
    <n v="10215"/>
    <s v="CUST122"/>
    <d v="2025-02-24T00:00:00"/>
    <s v="Fashion"/>
    <x v="3"/>
    <n v="6"/>
    <n v="339.8"/>
    <n v="2038.8"/>
    <s v="Net Banking"/>
    <s v="Repeat Customer"/>
  </r>
  <r>
    <n v="10216"/>
    <s v="CUST329"/>
    <d v="2024-08-27T00:00:00"/>
    <s v="Beauty"/>
    <x v="2"/>
    <n v="9"/>
    <n v="123.39"/>
    <n v="1110.51"/>
    <s v="Net Banking"/>
    <s v="Repeat Customer"/>
  </r>
  <r>
    <n v="10217"/>
    <s v="CUST392"/>
    <d v="2025-03-27T00:00:00"/>
    <s v="Beauty"/>
    <x v="3"/>
    <n v="8"/>
    <n v="385.87"/>
    <n v="3086.96"/>
    <s v="UPI"/>
    <s v="Repeat Customer"/>
  </r>
  <r>
    <n v="10218"/>
    <s v="CUST202"/>
    <d v="2025-09-11T00:00:00"/>
    <s v="Electronics"/>
    <x v="3"/>
    <n v="3"/>
    <n v="437.14"/>
    <n v="1311.42"/>
    <s v="Net Banking"/>
    <s v="Repeat Customer"/>
  </r>
  <r>
    <n v="10219"/>
    <s v="CUST383"/>
    <d v="2024-04-15T00:00:00"/>
    <s v="Home"/>
    <x v="0"/>
    <n v="9"/>
    <n v="426.33"/>
    <n v="3836.97"/>
    <s v="UPI"/>
    <s v="Repeat Customer"/>
  </r>
  <r>
    <n v="10220"/>
    <s v="CUST239"/>
    <d v="2025-04-05T00:00:00"/>
    <s v="Beauty"/>
    <x v="0"/>
    <n v="9"/>
    <n v="77.94"/>
    <n v="701.46"/>
    <s v="UPI"/>
    <s v="Repeat Customer"/>
  </r>
  <r>
    <n v="10221"/>
    <s v="CUST330"/>
    <d v="2024-12-23T00:00:00"/>
    <s v="Beauty"/>
    <x v="1"/>
    <n v="1"/>
    <n v="210.37"/>
    <n v="210.37"/>
    <s v="UPI"/>
    <s v="Repeat Customer"/>
  </r>
  <r>
    <n v="10222"/>
    <s v="CUST297"/>
    <d v="2024-03-24T00:00:00"/>
    <s v="Home"/>
    <x v="0"/>
    <n v="6"/>
    <n v="116.15"/>
    <n v="696.9"/>
    <s v="Net Banking"/>
    <s v="Repeat Customer"/>
  </r>
  <r>
    <n v="10223"/>
    <s v="CUST174"/>
    <d v="2024-05-20T00:00:00"/>
    <s v="Beauty"/>
    <x v="2"/>
    <n v="1"/>
    <n v="147.01"/>
    <n v="147.01"/>
    <s v="Wallet"/>
    <s v="Repeat Customer"/>
  </r>
  <r>
    <n v="10224"/>
    <s v="CUST329"/>
    <d v="2025-09-22T00:00:00"/>
    <s v="Electronics"/>
    <x v="1"/>
    <n v="1"/>
    <n v="453.4"/>
    <n v="453.4"/>
    <s v="UPI"/>
    <s v="Repeat Customer"/>
  </r>
  <r>
    <n v="10225"/>
    <s v="CUST176"/>
    <d v="2025-07-15T00:00:00"/>
    <s v="Electronics"/>
    <x v="1"/>
    <n v="10"/>
    <n v="266.25"/>
    <n v="2662.5"/>
    <s v="UPI"/>
    <s v="Repeat Customer"/>
  </r>
  <r>
    <n v="10226"/>
    <s v="CUST254"/>
    <d v="2024-05-04T00:00:00"/>
    <s v="Sports"/>
    <x v="3"/>
    <n v="1"/>
    <n v="123.03"/>
    <n v="123.03"/>
    <s v="Credit Card"/>
    <s v="Repeat Customer"/>
  </r>
  <r>
    <n v="10227"/>
    <s v="CUST156"/>
    <d v="2025-05-26T00:00:00"/>
    <s v="Sports"/>
    <x v="2"/>
    <n v="10"/>
    <n v="270.35000000000002"/>
    <n v="2703.5"/>
    <s v="UPI"/>
    <s v="Repeat Customer"/>
  </r>
  <r>
    <n v="10228"/>
    <s v="CUST249"/>
    <d v="2025-03-15T00:00:00"/>
    <s v="Fashion"/>
    <x v="3"/>
    <n v="1"/>
    <n v="309.33"/>
    <n v="309.33"/>
    <s v="UPI"/>
    <s v="Repeat Customer"/>
  </r>
  <r>
    <n v="10229"/>
    <s v="CUST143"/>
    <d v="2025-06-20T00:00:00"/>
    <s v="Sports"/>
    <x v="0"/>
    <n v="6"/>
    <n v="38.5"/>
    <n v="231"/>
    <s v="Wallet"/>
    <s v="Repeat Customer"/>
  </r>
  <r>
    <n v="10230"/>
    <s v="CUST340"/>
    <d v="2024-02-14T00:00:00"/>
    <s v="Home"/>
    <x v="0"/>
    <n v="7"/>
    <n v="490.61"/>
    <n v="3434.27"/>
    <s v="Net Banking"/>
    <s v="Repeat Customer"/>
  </r>
  <r>
    <n v="10231"/>
    <s v="CUST134"/>
    <d v="2024-12-19T00:00:00"/>
    <s v="Electronics"/>
    <x v="1"/>
    <n v="4"/>
    <n v="367.81"/>
    <n v="1471.24"/>
    <s v="UPI"/>
    <s v="Repeat Customer"/>
  </r>
  <r>
    <n v="10232"/>
    <s v="CUST122"/>
    <d v="2024-12-26T00:00:00"/>
    <s v="Fashion"/>
    <x v="3"/>
    <n v="9"/>
    <n v="172.58"/>
    <n v="1553.22"/>
    <s v="Wallet"/>
    <s v="Repeat Customer"/>
  </r>
  <r>
    <n v="10233"/>
    <s v="CUST193"/>
    <d v="2024-05-18T00:00:00"/>
    <s v="Beauty"/>
    <x v="0"/>
    <n v="2"/>
    <n v="359.44"/>
    <n v="718.88"/>
    <s v="Net Banking"/>
    <s v="Repeat Customer"/>
  </r>
  <r>
    <n v="10234"/>
    <s v="CUST203"/>
    <d v="2024-02-14T00:00:00"/>
    <s v="Home"/>
    <x v="1"/>
    <n v="4"/>
    <n v="443.47"/>
    <n v="1773.88"/>
    <s v="Wallet"/>
    <s v="Repeat Customer"/>
  </r>
  <r>
    <n v="10235"/>
    <s v="CUST378"/>
    <d v="2025-04-29T00:00:00"/>
    <s v="Fashion"/>
    <x v="1"/>
    <n v="5"/>
    <n v="23.13"/>
    <n v="115.65"/>
    <s v="Net Banking"/>
    <s v="Repeat Customer"/>
  </r>
  <r>
    <n v="10236"/>
    <s v="CUST124"/>
    <d v="2025-11-02T00:00:00"/>
    <s v="Home"/>
    <x v="3"/>
    <n v="6"/>
    <n v="140.24"/>
    <n v="841.44"/>
    <s v="Wallet"/>
    <s v="Repeat Customer"/>
  </r>
  <r>
    <n v="10237"/>
    <s v="CUST325"/>
    <d v="2025-01-30T00:00:00"/>
    <s v="Beauty"/>
    <x v="3"/>
    <n v="6"/>
    <n v="486.99"/>
    <n v="2921.94"/>
    <s v="Net Banking"/>
    <s v="Repeat Customer"/>
  </r>
  <r>
    <n v="10238"/>
    <s v="CUST365"/>
    <d v="2024-09-30T00:00:00"/>
    <s v="Electronics"/>
    <x v="3"/>
    <n v="2"/>
    <n v="364.91"/>
    <n v="729.82"/>
    <s v="UPI"/>
    <s v="Repeat Customer"/>
  </r>
  <r>
    <n v="10239"/>
    <s v="CUST379"/>
    <d v="2024-10-27T00:00:00"/>
    <s v="Home"/>
    <x v="1"/>
    <n v="6"/>
    <n v="55.79"/>
    <n v="334.74"/>
    <s v="Net Banking"/>
    <s v="Repeat Customer"/>
  </r>
  <r>
    <n v="10240"/>
    <s v="CUST328"/>
    <d v="2025-09-09T00:00:00"/>
    <s v="Beauty"/>
    <x v="1"/>
    <n v="7"/>
    <n v="87.49"/>
    <n v="612.42999999999995"/>
    <s v="Wallet"/>
    <s v="Repeat Customer"/>
  </r>
  <r>
    <n v="10241"/>
    <s v="CUST121"/>
    <d v="2024-12-27T00:00:00"/>
    <s v="Home"/>
    <x v="0"/>
    <n v="10"/>
    <n v="499.08"/>
    <n v="4990.8"/>
    <s v="Credit Card"/>
    <s v="Repeat Customer"/>
  </r>
  <r>
    <n v="10242"/>
    <s v="CUST307"/>
    <d v="2025-01-07T00:00:00"/>
    <s v="Fashion"/>
    <x v="0"/>
    <n v="9"/>
    <n v="401.54"/>
    <n v="3613.86"/>
    <s v="UPI"/>
    <s v="Repeat Customer"/>
  </r>
  <r>
    <n v="10243"/>
    <s v="CUST324"/>
    <d v="2024-02-05T00:00:00"/>
    <s v="Home"/>
    <x v="1"/>
    <n v="3"/>
    <n v="38.28"/>
    <n v="114.84"/>
    <s v="Wallet"/>
    <s v="Repeat Customer"/>
  </r>
  <r>
    <n v="10244"/>
    <s v="CUST390"/>
    <d v="2024-02-03T00:00:00"/>
    <s v="Beauty"/>
    <x v="1"/>
    <n v="10"/>
    <n v="80.95"/>
    <n v="809.5"/>
    <s v="Net Banking"/>
    <s v="Repeat Customer"/>
  </r>
  <r>
    <n v="10245"/>
    <s v="CUST327"/>
    <d v="2024-03-19T00:00:00"/>
    <s v="Home"/>
    <x v="3"/>
    <n v="10"/>
    <n v="73.16"/>
    <n v="731.6"/>
    <s v="Net Banking"/>
    <s v="Repeat Customer"/>
  </r>
  <r>
    <n v="10246"/>
    <s v="CUST242"/>
    <d v="2024-09-12T00:00:00"/>
    <s v="Fashion"/>
    <x v="3"/>
    <n v="2"/>
    <n v="17.829999999999998"/>
    <n v="35.659999999999997"/>
    <s v="Wallet"/>
    <s v="Repeat Customer"/>
  </r>
  <r>
    <n v="10247"/>
    <s v="CUST387"/>
    <d v="2024-04-30T00:00:00"/>
    <s v="Beauty"/>
    <x v="2"/>
    <n v="5"/>
    <n v="388.61"/>
    <n v="1943.05"/>
    <s v="Net Banking"/>
    <s v="Repeat Customer"/>
  </r>
  <r>
    <n v="10248"/>
    <s v="CUST351"/>
    <d v="2024-07-23T00:00:00"/>
    <s v="Electronics"/>
    <x v="3"/>
    <n v="2"/>
    <n v="72.19"/>
    <n v="144.38"/>
    <s v="UPI"/>
    <s v="Repeat Customer"/>
  </r>
  <r>
    <n v="10249"/>
    <s v="CUST327"/>
    <d v="2024-03-30T00:00:00"/>
    <s v="Electronics"/>
    <x v="1"/>
    <n v="6"/>
    <n v="335.58"/>
    <n v="2013.48"/>
    <s v="Net Banking"/>
    <s v="Repeat Customer"/>
  </r>
  <r>
    <n v="10250"/>
    <s v="CUST180"/>
    <d v="2025-12-29T00:00:00"/>
    <s v="Sports"/>
    <x v="2"/>
    <n v="3"/>
    <n v="397.88"/>
    <n v="1193.6400000000001"/>
    <s v="Credit Card"/>
    <s v="Repeat Customer"/>
  </r>
  <r>
    <n v="10251"/>
    <s v="CUST202"/>
    <d v="2024-05-22T00:00:00"/>
    <s v="Electronics"/>
    <x v="1"/>
    <n v="4"/>
    <n v="396.23"/>
    <n v="1584.92"/>
    <s v="Net Banking"/>
    <s v="Repeat Customer"/>
  </r>
  <r>
    <n v="10252"/>
    <s v="CUST339"/>
    <d v="2025-07-18T00:00:00"/>
    <s v="Electronics"/>
    <x v="0"/>
    <n v="3"/>
    <n v="307.91000000000003"/>
    <n v="923.73"/>
    <s v="Net Banking"/>
    <s v="Repeat Customer"/>
  </r>
  <r>
    <n v="10253"/>
    <s v="CUST303"/>
    <d v="2025-05-05T00:00:00"/>
    <s v="Beauty"/>
    <x v="0"/>
    <n v="9"/>
    <n v="208.34"/>
    <n v="1875.06"/>
    <s v="UPI"/>
    <s v="New Customer"/>
  </r>
  <r>
    <n v="10254"/>
    <s v="CUST262"/>
    <d v="2025-10-19T00:00:00"/>
    <s v="Sports"/>
    <x v="1"/>
    <n v="2"/>
    <n v="227.74"/>
    <n v="455.48"/>
    <s v="UPI"/>
    <s v="Repeat Customer"/>
  </r>
  <r>
    <n v="10255"/>
    <s v="CUST382"/>
    <d v="2025-10-17T00:00:00"/>
    <s v="Fashion"/>
    <x v="3"/>
    <n v="10"/>
    <n v="95.07"/>
    <n v="950.7"/>
    <s v="Credit Card"/>
    <s v="Repeat Customer"/>
  </r>
  <r>
    <n v="10256"/>
    <s v="CUST163"/>
    <d v="2025-06-14T00:00:00"/>
    <s v="Fashion"/>
    <x v="1"/>
    <n v="3"/>
    <n v="155.54"/>
    <n v="466.62"/>
    <s v="UPI"/>
    <s v="Repeat Customer"/>
  </r>
  <r>
    <n v="10257"/>
    <s v="CUST277"/>
    <d v="2025-06-15T00:00:00"/>
    <s v="Home"/>
    <x v="2"/>
    <n v="5"/>
    <n v="423.74"/>
    <n v="2118.6999999999998"/>
    <s v="Net Banking"/>
    <s v="Repeat Customer"/>
  </r>
  <r>
    <n v="10258"/>
    <s v="CUST164"/>
    <d v="2025-10-02T00:00:00"/>
    <s v="Electronics"/>
    <x v="2"/>
    <n v="5"/>
    <n v="309.14"/>
    <n v="1545.7"/>
    <s v="UPI"/>
    <s v="Repeat Customer"/>
  </r>
  <r>
    <n v="10259"/>
    <s v="CUST187"/>
    <d v="2025-11-05T00:00:00"/>
    <s v="Sports"/>
    <x v="1"/>
    <n v="10"/>
    <n v="361.71"/>
    <n v="3617.1"/>
    <s v="Credit Card"/>
    <s v="Repeat Customer"/>
  </r>
  <r>
    <n v="10260"/>
    <s v="CUST114"/>
    <d v="2024-03-24T00:00:00"/>
    <s v="Sports"/>
    <x v="1"/>
    <n v="1"/>
    <n v="474.53"/>
    <n v="474.53"/>
    <s v="UPI"/>
    <s v="Repeat Customer"/>
  </r>
  <r>
    <n v="10261"/>
    <s v="CUST392"/>
    <d v="2025-03-02T00:00:00"/>
    <s v="Beauty"/>
    <x v="1"/>
    <n v="10"/>
    <n v="321.3"/>
    <n v="3213"/>
    <s v="Net Banking"/>
    <s v="Repeat Customer"/>
  </r>
  <r>
    <n v="10262"/>
    <s v="CUST347"/>
    <d v="2024-09-07T00:00:00"/>
    <s v="Electronics"/>
    <x v="0"/>
    <n v="7"/>
    <n v="152.22999999999999"/>
    <n v="1065.6099999999999"/>
    <s v="UPI"/>
    <s v="Repeat Customer"/>
  </r>
  <r>
    <n v="10263"/>
    <s v="CUST325"/>
    <d v="2025-03-01T00:00:00"/>
    <s v="Home"/>
    <x v="2"/>
    <n v="8"/>
    <n v="234.9"/>
    <n v="1879.2"/>
    <s v="Net Banking"/>
    <s v="Repeat Customer"/>
  </r>
  <r>
    <n v="10264"/>
    <s v="CUST263"/>
    <d v="2024-12-19T00:00:00"/>
    <s v="Home"/>
    <x v="0"/>
    <n v="7"/>
    <n v="69.73"/>
    <n v="488.11"/>
    <s v="Net Banking"/>
    <s v="Repeat Customer"/>
  </r>
  <r>
    <n v="10265"/>
    <s v="CUST223"/>
    <d v="2025-04-22T00:00:00"/>
    <s v="Fashion"/>
    <x v="2"/>
    <n v="2"/>
    <n v="137.4"/>
    <n v="274.8"/>
    <s v="Credit Card"/>
    <s v="Repeat Customer"/>
  </r>
  <r>
    <n v="10266"/>
    <s v="CUST125"/>
    <d v="2024-10-24T00:00:00"/>
    <s v="Beauty"/>
    <x v="2"/>
    <n v="7"/>
    <n v="432.76"/>
    <n v="3029.32"/>
    <s v="UPI"/>
    <s v="Repeat Customer"/>
  </r>
  <r>
    <n v="10267"/>
    <s v="CUST267"/>
    <d v="2025-08-14T00:00:00"/>
    <s v="Fashion"/>
    <x v="3"/>
    <n v="6"/>
    <n v="98.97"/>
    <n v="593.82000000000005"/>
    <s v="Wallet"/>
    <s v="Repeat Customer"/>
  </r>
  <r>
    <n v="10268"/>
    <s v="CUST355"/>
    <d v="2024-11-11T00:00:00"/>
    <s v="Beauty"/>
    <x v="3"/>
    <n v="8"/>
    <n v="16.47"/>
    <n v="131.76"/>
    <s v="UPI"/>
    <s v="Repeat Customer"/>
  </r>
  <r>
    <n v="10269"/>
    <s v="CUST210"/>
    <d v="2025-08-20T00:00:00"/>
    <s v="Home"/>
    <x v="3"/>
    <n v="6"/>
    <n v="29.09"/>
    <n v="174.54"/>
    <s v="Wallet"/>
    <s v="Repeat Customer"/>
  </r>
  <r>
    <n v="10270"/>
    <s v="CUST246"/>
    <d v="2025-07-03T00:00:00"/>
    <s v="Beauty"/>
    <x v="2"/>
    <n v="1"/>
    <n v="424.35"/>
    <n v="424.35"/>
    <s v="Net Banking"/>
    <s v="Repeat Customer"/>
  </r>
  <r>
    <n v="10271"/>
    <s v="CUST287"/>
    <d v="2025-02-16T00:00:00"/>
    <s v="Electronics"/>
    <x v="2"/>
    <n v="6"/>
    <n v="27.39"/>
    <n v="164.34"/>
    <s v="Net Banking"/>
    <s v="Repeat Customer"/>
  </r>
  <r>
    <n v="10272"/>
    <s v="CUST383"/>
    <d v="2024-10-22T00:00:00"/>
    <s v="Beauty"/>
    <x v="1"/>
    <n v="2"/>
    <n v="196.24"/>
    <n v="392.48"/>
    <s v="Credit Card"/>
    <s v="Repeat Customer"/>
  </r>
  <r>
    <n v="10273"/>
    <s v="CUST165"/>
    <d v="2024-04-09T00:00:00"/>
    <s v="Home"/>
    <x v="1"/>
    <n v="7"/>
    <n v="189.73"/>
    <n v="1328.11"/>
    <s v="UPI"/>
    <s v="Repeat Customer"/>
  </r>
  <r>
    <n v="10274"/>
    <s v="CUST201"/>
    <d v="2025-09-08T00:00:00"/>
    <s v="Electronics"/>
    <x v="0"/>
    <n v="9"/>
    <n v="203.69"/>
    <n v="1833.21"/>
    <s v="Credit Card"/>
    <s v="Repeat Customer"/>
  </r>
  <r>
    <n v="10275"/>
    <s v="CUST170"/>
    <d v="2025-12-31T00:00:00"/>
    <s v="Sports"/>
    <x v="3"/>
    <n v="6"/>
    <n v="402.96"/>
    <n v="2417.7600000000002"/>
    <s v="UPI"/>
    <s v="Repeat Customer"/>
  </r>
  <r>
    <n v="10276"/>
    <s v="CUST363"/>
    <d v="2024-05-23T00:00:00"/>
    <s v="Home"/>
    <x v="2"/>
    <n v="6"/>
    <n v="466.03"/>
    <n v="2796.18"/>
    <s v="Wallet"/>
    <s v="Repeat Customer"/>
  </r>
  <r>
    <n v="10277"/>
    <s v="CUST253"/>
    <d v="2025-08-30T00:00:00"/>
    <s v="Sports"/>
    <x v="3"/>
    <n v="6"/>
    <n v="256.12"/>
    <n v="1536.72"/>
    <s v="Net Banking"/>
    <s v="Repeat Customer"/>
  </r>
  <r>
    <n v="10278"/>
    <s v="CUST343"/>
    <d v="2024-01-18T00:00:00"/>
    <s v="Electronics"/>
    <x v="3"/>
    <n v="6"/>
    <n v="168.96"/>
    <n v="1013.76"/>
    <s v="Net Banking"/>
    <s v="Repeat Customer"/>
  </r>
  <r>
    <n v="10279"/>
    <s v="CUST113"/>
    <d v="2025-09-03T00:00:00"/>
    <s v="Sports"/>
    <x v="2"/>
    <n v="8"/>
    <n v="136.44"/>
    <n v="1091.52"/>
    <s v="Credit Card"/>
    <s v="Repeat Customer"/>
  </r>
  <r>
    <n v="10280"/>
    <s v="CUST398"/>
    <d v="2025-05-06T00:00:00"/>
    <s v="Sports"/>
    <x v="3"/>
    <n v="3"/>
    <n v="264.5"/>
    <n v="793.5"/>
    <s v="UPI"/>
    <s v="Repeat Customer"/>
  </r>
  <r>
    <n v="10281"/>
    <s v="CUST224"/>
    <d v="2024-02-02T00:00:00"/>
    <s v="Electronics"/>
    <x v="2"/>
    <n v="10"/>
    <n v="474.36"/>
    <n v="4743.6000000000004"/>
    <s v="Credit Card"/>
    <s v="Repeat Customer"/>
  </r>
  <r>
    <n v="10282"/>
    <s v="CUST325"/>
    <d v="2024-11-17T00:00:00"/>
    <s v="Fashion"/>
    <x v="3"/>
    <n v="7"/>
    <n v="79.959999999999994"/>
    <n v="559.72"/>
    <s v="Wallet"/>
    <s v="Repeat Customer"/>
  </r>
  <r>
    <n v="10283"/>
    <s v="CUST131"/>
    <d v="2025-12-23T00:00:00"/>
    <s v="Sports"/>
    <x v="1"/>
    <n v="3"/>
    <n v="261.75"/>
    <n v="785.25"/>
    <s v="Wallet"/>
    <s v="Repeat Customer"/>
  </r>
  <r>
    <n v="10284"/>
    <s v="CUST369"/>
    <d v="2025-01-20T00:00:00"/>
    <s v="Beauty"/>
    <x v="1"/>
    <n v="6"/>
    <n v="478.56"/>
    <n v="2871.36"/>
    <s v="Net Banking"/>
    <s v="Repeat Customer"/>
  </r>
  <r>
    <n v="10285"/>
    <s v="CUST235"/>
    <d v="2025-09-16T00:00:00"/>
    <s v="Fashion"/>
    <x v="1"/>
    <n v="8"/>
    <n v="100.17"/>
    <n v="801.36"/>
    <s v="Net Banking"/>
    <s v="Repeat Customer"/>
  </r>
  <r>
    <n v="10286"/>
    <s v="CUST215"/>
    <d v="2024-10-31T00:00:00"/>
    <s v="Beauty"/>
    <x v="1"/>
    <n v="5"/>
    <n v="353.93"/>
    <n v="1769.65"/>
    <s v="Wallet"/>
    <s v="Repeat Customer"/>
  </r>
  <r>
    <n v="10287"/>
    <s v="CUST278"/>
    <d v="2025-07-27T00:00:00"/>
    <s v="Sports"/>
    <x v="3"/>
    <n v="5"/>
    <n v="147.46"/>
    <n v="737.3"/>
    <s v="Wallet"/>
    <s v="Repeat Customer"/>
  </r>
  <r>
    <n v="10288"/>
    <s v="CUST276"/>
    <d v="2024-05-29T00:00:00"/>
    <s v="Electronics"/>
    <x v="1"/>
    <n v="5"/>
    <n v="25.82"/>
    <n v="129.1"/>
    <s v="Wallet"/>
    <s v="Repeat Customer"/>
  </r>
  <r>
    <n v="10289"/>
    <s v="CUST231"/>
    <d v="2025-05-05T00:00:00"/>
    <s v="Sports"/>
    <x v="1"/>
    <n v="4"/>
    <n v="105.02"/>
    <n v="420.08"/>
    <s v="Net Banking"/>
    <s v="Repeat Customer"/>
  </r>
  <r>
    <n v="10290"/>
    <s v="CUST170"/>
    <d v="2024-04-21T00:00:00"/>
    <s v="Fashion"/>
    <x v="2"/>
    <n v="10"/>
    <n v="371.74"/>
    <n v="3717.4"/>
    <s v="Credit Card"/>
    <s v="Repeat Customer"/>
  </r>
  <r>
    <n v="10291"/>
    <s v="CUST371"/>
    <d v="2024-08-19T00:00:00"/>
    <s v="Beauty"/>
    <x v="1"/>
    <n v="4"/>
    <n v="30.98"/>
    <n v="123.92"/>
    <s v="Wallet"/>
    <s v="Repeat Customer"/>
  </r>
  <r>
    <n v="10292"/>
    <s v="CUST151"/>
    <d v="2025-11-28T00:00:00"/>
    <s v="Sports"/>
    <x v="2"/>
    <n v="3"/>
    <n v="7.56"/>
    <n v="22.68"/>
    <s v="Wallet"/>
    <s v="Repeat Customer"/>
  </r>
  <r>
    <n v="10293"/>
    <s v="CUST343"/>
    <d v="2025-05-03T00:00:00"/>
    <s v="Home"/>
    <x v="1"/>
    <n v="4"/>
    <n v="379.18"/>
    <n v="1516.72"/>
    <s v="Net Banking"/>
    <s v="Repeat Customer"/>
  </r>
  <r>
    <n v="10294"/>
    <s v="CUST130"/>
    <d v="2024-04-01T00:00:00"/>
    <s v="Electronics"/>
    <x v="2"/>
    <n v="10"/>
    <n v="119.95"/>
    <n v="1199.5"/>
    <s v="Wallet"/>
    <s v="Repeat Customer"/>
  </r>
  <r>
    <n v="10295"/>
    <s v="CUST190"/>
    <d v="2024-02-07T00:00:00"/>
    <s v="Fashion"/>
    <x v="1"/>
    <n v="7"/>
    <n v="395.04"/>
    <n v="2765.28"/>
    <s v="Credit Card"/>
    <s v="Repeat Customer"/>
  </r>
  <r>
    <n v="10296"/>
    <s v="CUST104"/>
    <d v="2024-11-01T00:00:00"/>
    <s v="Home"/>
    <x v="1"/>
    <n v="10"/>
    <n v="303.38"/>
    <n v="3033.8"/>
    <s v="Wallet"/>
    <s v="Repeat Customer"/>
  </r>
  <r>
    <n v="10297"/>
    <s v="CUST378"/>
    <d v="2025-06-20T00:00:00"/>
    <s v="Fashion"/>
    <x v="3"/>
    <n v="8"/>
    <n v="445.18"/>
    <n v="3561.44"/>
    <s v="Net Banking"/>
    <s v="Repeat Customer"/>
  </r>
  <r>
    <n v="10298"/>
    <s v="CUST198"/>
    <d v="2024-04-25T00:00:00"/>
    <s v="Beauty"/>
    <x v="1"/>
    <n v="6"/>
    <n v="85.43"/>
    <n v="512.58000000000004"/>
    <s v="UPI"/>
    <s v="Repeat Customer"/>
  </r>
  <r>
    <n v="10299"/>
    <s v="CUST107"/>
    <d v="2024-12-11T00:00:00"/>
    <s v="Fashion"/>
    <x v="2"/>
    <n v="5"/>
    <n v="286.05"/>
    <n v="1430.25"/>
    <s v="Wallet"/>
    <s v="Repeat Customer"/>
  </r>
  <r>
    <n v="10300"/>
    <s v="CUST318"/>
    <d v="2025-06-11T00:00:00"/>
    <s v="Electronics"/>
    <x v="2"/>
    <n v="6"/>
    <n v="47.94"/>
    <n v="287.64"/>
    <s v="UPI"/>
    <s v="Repeat Customer"/>
  </r>
  <r>
    <n v="10301"/>
    <s v="CUST344"/>
    <d v="2024-11-27T00:00:00"/>
    <s v="Beauty"/>
    <x v="2"/>
    <n v="4"/>
    <n v="8.3800000000000008"/>
    <n v="33.520000000000003"/>
    <s v="Wallet"/>
    <s v="Repeat Customer"/>
  </r>
  <r>
    <n v="10302"/>
    <s v="CUST236"/>
    <d v="2024-12-03T00:00:00"/>
    <s v="Sports"/>
    <x v="0"/>
    <n v="5"/>
    <n v="293.32"/>
    <n v="1466.6"/>
    <s v="Net Banking"/>
    <s v="Repeat Customer"/>
  </r>
  <r>
    <n v="10303"/>
    <s v="CUST284"/>
    <d v="2025-12-10T00:00:00"/>
    <s v="Electronics"/>
    <x v="3"/>
    <n v="4"/>
    <n v="35.75"/>
    <n v="143"/>
    <s v="Net Banking"/>
    <s v="Repeat Customer"/>
  </r>
  <r>
    <n v="10304"/>
    <s v="CUST181"/>
    <d v="2025-02-19T00:00:00"/>
    <s v="Home"/>
    <x v="0"/>
    <n v="9"/>
    <n v="461.94"/>
    <n v="4157.46"/>
    <s v="Net Banking"/>
    <s v="Repeat Customer"/>
  </r>
  <r>
    <n v="10305"/>
    <s v="CUST288"/>
    <d v="2025-09-21T00:00:00"/>
    <s v="Fashion"/>
    <x v="3"/>
    <n v="4"/>
    <n v="113.47"/>
    <n v="453.88"/>
    <s v="UPI"/>
    <s v="Repeat Customer"/>
  </r>
  <r>
    <n v="10306"/>
    <s v="CUST332"/>
    <d v="2025-09-12T00:00:00"/>
    <s v="Sports"/>
    <x v="3"/>
    <n v="6"/>
    <n v="210.84"/>
    <n v="1265.04"/>
    <s v="UPI"/>
    <s v="Repeat Customer"/>
  </r>
  <r>
    <n v="10307"/>
    <s v="CUST226"/>
    <d v="2025-11-27T00:00:00"/>
    <s v="Electronics"/>
    <x v="3"/>
    <n v="10"/>
    <n v="437.2"/>
    <n v="4372"/>
    <s v="Net Banking"/>
    <s v="Repeat Customer"/>
  </r>
  <r>
    <n v="10308"/>
    <s v="CUST139"/>
    <d v="2025-07-31T00:00:00"/>
    <s v="Sports"/>
    <x v="2"/>
    <n v="2"/>
    <n v="35.57"/>
    <n v="71.14"/>
    <s v="UPI"/>
    <s v="Repeat Customer"/>
  </r>
  <r>
    <n v="10309"/>
    <s v="CUST184"/>
    <d v="2024-12-01T00:00:00"/>
    <s v="Fashion"/>
    <x v="3"/>
    <n v="9"/>
    <n v="223.71"/>
    <n v="2013.39"/>
    <s v="Credit Card"/>
    <s v="Repeat Customer"/>
  </r>
  <r>
    <n v="10310"/>
    <s v="CUST361"/>
    <d v="2025-04-01T00:00:00"/>
    <s v="Sports"/>
    <x v="3"/>
    <n v="1"/>
    <n v="229.45"/>
    <n v="229.45"/>
    <s v="Wallet"/>
    <s v="New Customer"/>
  </r>
  <r>
    <n v="10311"/>
    <s v="CUST388"/>
    <d v="2024-02-29T00:00:00"/>
    <s v="Home"/>
    <x v="0"/>
    <n v="9"/>
    <n v="233.88"/>
    <n v="2104.92"/>
    <s v="Wallet"/>
    <s v="Repeat Customer"/>
  </r>
  <r>
    <n v="10312"/>
    <s v="CUST230"/>
    <d v="2024-01-04T00:00:00"/>
    <s v="Electronics"/>
    <x v="3"/>
    <n v="4"/>
    <n v="291.26"/>
    <n v="1165.04"/>
    <s v="Net Banking"/>
    <s v="Repeat Customer"/>
  </r>
  <r>
    <n v="10313"/>
    <s v="CUST132"/>
    <d v="2025-07-08T00:00:00"/>
    <s v="Electronics"/>
    <x v="3"/>
    <n v="1"/>
    <n v="467.62"/>
    <n v="467.62"/>
    <s v="Credit Card"/>
    <s v="Repeat Customer"/>
  </r>
  <r>
    <n v="10314"/>
    <s v="CUST246"/>
    <d v="2025-02-22T00:00:00"/>
    <s v="Beauty"/>
    <x v="1"/>
    <n v="3"/>
    <n v="385.64"/>
    <n v="1156.92"/>
    <s v="Wallet"/>
    <s v="Repeat Customer"/>
  </r>
  <r>
    <n v="10315"/>
    <s v="CUST329"/>
    <d v="2025-01-21T00:00:00"/>
    <s v="Sports"/>
    <x v="2"/>
    <n v="7"/>
    <n v="44.72"/>
    <n v="313.04000000000002"/>
    <s v="Net Banking"/>
    <s v="Repeat Customer"/>
  </r>
  <r>
    <n v="10316"/>
    <s v="CUST160"/>
    <d v="2024-07-01T00:00:00"/>
    <s v="Fashion"/>
    <x v="2"/>
    <n v="9"/>
    <n v="199.56"/>
    <n v="1796.04"/>
    <s v="Credit Card"/>
    <s v="Repeat Customer"/>
  </r>
  <r>
    <n v="10317"/>
    <s v="CUST111"/>
    <d v="2024-11-01T00:00:00"/>
    <s v="Sports"/>
    <x v="3"/>
    <n v="8"/>
    <n v="338.38"/>
    <n v="2707.04"/>
    <s v="Wallet"/>
    <s v="Repeat Customer"/>
  </r>
  <r>
    <n v="10318"/>
    <s v="CUST217"/>
    <d v="2024-09-10T00:00:00"/>
    <s v="Home"/>
    <x v="2"/>
    <n v="8"/>
    <n v="176.35"/>
    <n v="1410.8"/>
    <s v="Credit Card"/>
    <s v="Repeat Customer"/>
  </r>
  <r>
    <n v="10319"/>
    <s v="CUST116"/>
    <d v="2025-11-07T00:00:00"/>
    <s v="Electronics"/>
    <x v="2"/>
    <n v="7"/>
    <n v="309.39"/>
    <n v="2165.73"/>
    <s v="UPI"/>
    <s v="Repeat Customer"/>
  </r>
  <r>
    <n v="10320"/>
    <s v="CUST134"/>
    <d v="2024-04-13T00:00:00"/>
    <s v="Sports"/>
    <x v="0"/>
    <n v="10"/>
    <n v="21.62"/>
    <n v="216.2"/>
    <s v="UPI"/>
    <s v="Repeat Customer"/>
  </r>
  <r>
    <n v="10321"/>
    <s v="CUST122"/>
    <d v="2025-02-15T00:00:00"/>
    <s v="Fashion"/>
    <x v="0"/>
    <n v="8"/>
    <n v="121"/>
    <n v="968"/>
    <s v="UPI"/>
    <s v="Repeat Customer"/>
  </r>
  <r>
    <n v="10322"/>
    <s v="CUST357"/>
    <d v="2024-10-23T00:00:00"/>
    <s v="Sports"/>
    <x v="1"/>
    <n v="4"/>
    <n v="408.81"/>
    <n v="1635.24"/>
    <s v="Net Banking"/>
    <s v="Repeat Customer"/>
  </r>
  <r>
    <n v="10323"/>
    <s v="CUST221"/>
    <d v="2024-11-05T00:00:00"/>
    <s v="Sports"/>
    <x v="2"/>
    <n v="3"/>
    <n v="492.92"/>
    <n v="1478.76"/>
    <s v="Wallet"/>
    <s v="Repeat Customer"/>
  </r>
  <r>
    <n v="10324"/>
    <s v="CUST253"/>
    <d v="2024-10-08T00:00:00"/>
    <s v="Sports"/>
    <x v="2"/>
    <n v="1"/>
    <n v="280.58"/>
    <n v="280.58"/>
    <s v="Wallet"/>
    <s v="Repeat Customer"/>
  </r>
  <r>
    <n v="10325"/>
    <s v="CUST384"/>
    <d v="2025-05-22T00:00:00"/>
    <s v="Beauty"/>
    <x v="1"/>
    <n v="1"/>
    <n v="486.28"/>
    <n v="486.28"/>
    <s v="Wallet"/>
    <s v="Repeat Customer"/>
  </r>
  <r>
    <n v="10326"/>
    <s v="CUST309"/>
    <d v="2024-06-01T00:00:00"/>
    <s v="Sports"/>
    <x v="3"/>
    <n v="5"/>
    <n v="191.35"/>
    <n v="956.75"/>
    <s v="UPI"/>
    <s v="Repeat Customer"/>
  </r>
  <r>
    <n v="10327"/>
    <s v="CUST215"/>
    <d v="2024-11-03T00:00:00"/>
    <s v="Electronics"/>
    <x v="3"/>
    <n v="3"/>
    <n v="403.86"/>
    <n v="1211.58"/>
    <s v="Wallet"/>
    <s v="Repeat Customer"/>
  </r>
  <r>
    <n v="10328"/>
    <s v="CUST385"/>
    <d v="2025-06-26T00:00:00"/>
    <s v="Home"/>
    <x v="2"/>
    <n v="3"/>
    <n v="197.27"/>
    <n v="591.80999999999995"/>
    <s v="Net Banking"/>
    <s v="Repeat Customer"/>
  </r>
  <r>
    <n v="10329"/>
    <s v="CUST140"/>
    <d v="2025-04-05T00:00:00"/>
    <s v="Fashion"/>
    <x v="0"/>
    <n v="6"/>
    <n v="50.77"/>
    <n v="304.62"/>
    <s v="Net Banking"/>
    <s v="Repeat Customer"/>
  </r>
  <r>
    <n v="10330"/>
    <s v="CUST293"/>
    <d v="2025-11-20T00:00:00"/>
    <s v="Electronics"/>
    <x v="2"/>
    <n v="10"/>
    <n v="303.45"/>
    <n v="3034.5"/>
    <s v="UPI"/>
    <s v="Repeat Customer"/>
  </r>
  <r>
    <n v="10331"/>
    <s v="CUST345"/>
    <d v="2024-08-01T00:00:00"/>
    <s v="Electronics"/>
    <x v="2"/>
    <n v="6"/>
    <n v="155.08000000000001"/>
    <n v="930.48"/>
    <s v="UPI"/>
    <s v="Repeat Customer"/>
  </r>
  <r>
    <n v="10332"/>
    <s v="CUST160"/>
    <d v="2025-05-05T00:00:00"/>
    <s v="Fashion"/>
    <x v="3"/>
    <n v="4"/>
    <n v="349.34"/>
    <n v="1397.36"/>
    <s v="UPI"/>
    <s v="Repeat Customer"/>
  </r>
  <r>
    <n v="10333"/>
    <s v="CUST382"/>
    <d v="2024-11-25T00:00:00"/>
    <s v="Sports"/>
    <x v="1"/>
    <n v="5"/>
    <n v="193.43"/>
    <n v="967.15"/>
    <s v="Net Banking"/>
    <s v="Repeat Customer"/>
  </r>
  <r>
    <n v="10334"/>
    <s v="CUST233"/>
    <d v="2025-01-03T00:00:00"/>
    <s v="Beauty"/>
    <x v="0"/>
    <n v="9"/>
    <n v="441.99"/>
    <n v="3977.91"/>
    <s v="Wallet"/>
    <s v="Repeat Customer"/>
  </r>
  <r>
    <n v="10335"/>
    <s v="CUST263"/>
    <d v="2024-07-27T00:00:00"/>
    <s v="Electronics"/>
    <x v="2"/>
    <n v="6"/>
    <n v="159.9"/>
    <n v="959.4"/>
    <s v="UPI"/>
    <s v="Repeat Customer"/>
  </r>
  <r>
    <n v="10336"/>
    <s v="CUST108"/>
    <d v="2024-09-24T00:00:00"/>
    <s v="Sports"/>
    <x v="3"/>
    <n v="9"/>
    <n v="467.71"/>
    <n v="4209.3900000000003"/>
    <s v="Net Banking"/>
    <s v="Repeat Customer"/>
  </r>
  <r>
    <n v="10337"/>
    <s v="CUST178"/>
    <d v="2024-07-19T00:00:00"/>
    <s v="Sports"/>
    <x v="2"/>
    <n v="6"/>
    <n v="118.86"/>
    <n v="713.16"/>
    <s v="Wallet"/>
    <s v="Repeat Customer"/>
  </r>
  <r>
    <n v="10338"/>
    <s v="CUST381"/>
    <d v="2025-11-01T00:00:00"/>
    <s v="Beauty"/>
    <x v="3"/>
    <n v="6"/>
    <n v="132.38"/>
    <n v="794.28"/>
    <s v="Wallet"/>
    <s v="Repeat Customer"/>
  </r>
  <r>
    <n v="10339"/>
    <s v="CUST186"/>
    <d v="2024-12-26T00:00:00"/>
    <s v="Sports"/>
    <x v="3"/>
    <n v="3"/>
    <n v="74.28"/>
    <n v="222.84"/>
    <s v="UPI"/>
    <s v="Repeat Customer"/>
  </r>
  <r>
    <n v="10340"/>
    <s v="CUST377"/>
    <d v="2025-10-19T00:00:00"/>
    <s v="Electronics"/>
    <x v="0"/>
    <n v="1"/>
    <n v="264.35000000000002"/>
    <n v="264.35000000000002"/>
    <s v="Credit Card"/>
    <s v="Repeat Customer"/>
  </r>
  <r>
    <n v="10341"/>
    <s v="CUST311"/>
    <d v="2024-05-20T00:00:00"/>
    <s v="Fashion"/>
    <x v="0"/>
    <n v="4"/>
    <n v="38.64"/>
    <n v="154.56"/>
    <s v="UPI"/>
    <s v="Repeat Customer"/>
  </r>
  <r>
    <n v="10342"/>
    <s v="CUST358"/>
    <d v="2025-04-11T00:00:00"/>
    <s v="Sports"/>
    <x v="3"/>
    <n v="6"/>
    <n v="34.92"/>
    <n v="209.52"/>
    <s v="Wallet"/>
    <s v="Repeat Customer"/>
  </r>
  <r>
    <n v="10343"/>
    <s v="CUST108"/>
    <d v="2024-01-07T00:00:00"/>
    <s v="Electronics"/>
    <x v="0"/>
    <n v="9"/>
    <n v="278.06"/>
    <n v="2502.54"/>
    <s v="Net Banking"/>
    <s v="Repeat Customer"/>
  </r>
  <r>
    <n v="10344"/>
    <s v="CUST374"/>
    <d v="2024-10-20T00:00:00"/>
    <s v="Beauty"/>
    <x v="2"/>
    <n v="1"/>
    <n v="253.6"/>
    <n v="253.6"/>
    <s v="Credit Card"/>
    <s v="Repeat Customer"/>
  </r>
  <r>
    <n v="10345"/>
    <s v="CUST149"/>
    <d v="2025-06-20T00:00:00"/>
    <s v="Sports"/>
    <x v="1"/>
    <n v="3"/>
    <n v="124.28"/>
    <n v="372.84"/>
    <s v="Net Banking"/>
    <s v="Repeat Customer"/>
  </r>
  <r>
    <n v="10346"/>
    <s v="CUST236"/>
    <d v="2025-02-10T00:00:00"/>
    <s v="Beauty"/>
    <x v="3"/>
    <n v="2"/>
    <n v="189.66"/>
    <n v="379.32"/>
    <s v="UPI"/>
    <s v="Repeat Customer"/>
  </r>
  <r>
    <n v="10347"/>
    <s v="CUST215"/>
    <d v="2024-11-03T00:00:00"/>
    <s v="Electronics"/>
    <x v="0"/>
    <n v="2"/>
    <n v="328.6"/>
    <n v="657.2"/>
    <s v="Wallet"/>
    <s v="Repeat Customer"/>
  </r>
  <r>
    <n v="10348"/>
    <s v="CUST294"/>
    <d v="2025-01-21T00:00:00"/>
    <s v="Electronics"/>
    <x v="2"/>
    <n v="9"/>
    <n v="240.62"/>
    <n v="2165.58"/>
    <s v="Credit Card"/>
    <s v="Repeat Customer"/>
  </r>
  <r>
    <n v="10349"/>
    <s v="CUST355"/>
    <d v="2025-03-20T00:00:00"/>
    <s v="Electronics"/>
    <x v="0"/>
    <n v="6"/>
    <n v="285.10000000000002"/>
    <n v="1710.6"/>
    <s v="UPI"/>
    <s v="Repeat Customer"/>
  </r>
  <r>
    <n v="10350"/>
    <s v="CUST208"/>
    <d v="2025-12-09T00:00:00"/>
    <s v="Electronics"/>
    <x v="0"/>
    <n v="10"/>
    <n v="240.37"/>
    <n v="2403.6999999999998"/>
    <s v="Net Banking"/>
    <s v="Repeat Customer"/>
  </r>
  <r>
    <n v="10351"/>
    <s v="CUST378"/>
    <d v="2025-07-31T00:00:00"/>
    <s v="Home"/>
    <x v="0"/>
    <n v="1"/>
    <n v="93.78"/>
    <n v="93.78"/>
    <s v="UPI"/>
    <s v="Repeat Customer"/>
  </r>
  <r>
    <n v="10352"/>
    <s v="CUST173"/>
    <d v="2025-12-30T00:00:00"/>
    <s v="Home"/>
    <x v="2"/>
    <n v="7"/>
    <n v="464.79"/>
    <n v="3253.53"/>
    <s v="UPI"/>
    <s v="Repeat Customer"/>
  </r>
  <r>
    <n v="10353"/>
    <s v="CUST390"/>
    <d v="2025-02-02T00:00:00"/>
    <s v="Fashion"/>
    <x v="0"/>
    <n v="9"/>
    <n v="169.21"/>
    <n v="1522.89"/>
    <s v="Net Banking"/>
    <s v="Repeat Customer"/>
  </r>
  <r>
    <n v="10354"/>
    <s v="CUST127"/>
    <d v="2024-04-10T00:00:00"/>
    <s v="Electronics"/>
    <x v="1"/>
    <n v="7"/>
    <n v="119.91"/>
    <n v="839.37"/>
    <s v="Wallet"/>
    <s v="Repeat Customer"/>
  </r>
  <r>
    <n v="10355"/>
    <s v="CUST267"/>
    <d v="2024-01-31T00:00:00"/>
    <s v="Beauty"/>
    <x v="3"/>
    <n v="5"/>
    <n v="392.86"/>
    <n v="1964.3"/>
    <s v="UPI"/>
    <s v="Repeat Customer"/>
  </r>
  <r>
    <n v="10356"/>
    <s v="CUST282"/>
    <d v="2025-07-20T00:00:00"/>
    <s v="Sports"/>
    <x v="3"/>
    <n v="7"/>
    <n v="218.76"/>
    <n v="1531.32"/>
    <s v="Credit Card"/>
    <s v="Repeat Customer"/>
  </r>
  <r>
    <n v="10357"/>
    <s v="CUST251"/>
    <d v="2024-09-09T00:00:00"/>
    <s v="Fashion"/>
    <x v="3"/>
    <n v="2"/>
    <n v="45.61"/>
    <n v="91.22"/>
    <s v="UPI"/>
    <s v="Repeat Customer"/>
  </r>
  <r>
    <n v="10358"/>
    <s v="CUST299"/>
    <d v="2024-11-20T00:00:00"/>
    <s v="Electronics"/>
    <x v="1"/>
    <n v="6"/>
    <n v="57.74"/>
    <n v="346.44"/>
    <s v="Wallet"/>
    <s v="Repeat Customer"/>
  </r>
  <r>
    <n v="10359"/>
    <s v="CUST284"/>
    <d v="2024-10-03T00:00:00"/>
    <s v="Fashion"/>
    <x v="3"/>
    <n v="2"/>
    <n v="70.59"/>
    <n v="141.18"/>
    <s v="Wallet"/>
    <s v="Repeat Customer"/>
  </r>
  <r>
    <n v="10360"/>
    <s v="CUST385"/>
    <d v="2025-07-22T00:00:00"/>
    <s v="Electronics"/>
    <x v="0"/>
    <n v="9"/>
    <n v="206.98"/>
    <n v="1862.82"/>
    <s v="Net Banking"/>
    <s v="Repeat Customer"/>
  </r>
  <r>
    <n v="10361"/>
    <s v="CUST383"/>
    <d v="2024-04-05T00:00:00"/>
    <s v="Home"/>
    <x v="3"/>
    <n v="10"/>
    <n v="301.02999999999997"/>
    <n v="3010.3"/>
    <s v="Credit Card"/>
    <s v="Repeat Customer"/>
  </r>
  <r>
    <n v="10362"/>
    <s v="CUST249"/>
    <d v="2025-02-27T00:00:00"/>
    <s v="Sports"/>
    <x v="2"/>
    <n v="7"/>
    <n v="390.69"/>
    <n v="2734.83"/>
    <s v="UPI"/>
    <s v="Repeat Customer"/>
  </r>
  <r>
    <n v="10363"/>
    <s v="CUST294"/>
    <d v="2024-06-22T00:00:00"/>
    <s v="Home"/>
    <x v="3"/>
    <n v="3"/>
    <n v="138.11000000000001"/>
    <n v="414.33"/>
    <s v="UPI"/>
    <s v="Repeat Customer"/>
  </r>
  <r>
    <n v="10364"/>
    <s v="CUST132"/>
    <d v="2024-06-20T00:00:00"/>
    <s v="Home"/>
    <x v="3"/>
    <n v="7"/>
    <n v="141.6"/>
    <n v="991.2"/>
    <s v="Credit Card"/>
    <s v="Repeat Customer"/>
  </r>
  <r>
    <n v="10365"/>
    <s v="CUST284"/>
    <d v="2024-09-14T00:00:00"/>
    <s v="Beauty"/>
    <x v="2"/>
    <n v="4"/>
    <n v="361.85"/>
    <n v="1447.4"/>
    <s v="Wallet"/>
    <s v="Repeat Customer"/>
  </r>
  <r>
    <n v="10366"/>
    <s v="CUST154"/>
    <d v="2024-05-18T00:00:00"/>
    <s v="Beauty"/>
    <x v="1"/>
    <n v="5"/>
    <n v="8.35"/>
    <n v="41.75"/>
    <s v="Wallet"/>
    <s v="Repeat Customer"/>
  </r>
  <r>
    <n v="10367"/>
    <s v="CUST268"/>
    <d v="2025-03-26T00:00:00"/>
    <s v="Sports"/>
    <x v="2"/>
    <n v="6"/>
    <n v="218.16"/>
    <n v="1308.96"/>
    <s v="Net Banking"/>
    <s v="Repeat Customer"/>
  </r>
  <r>
    <n v="10368"/>
    <s v="CUST264"/>
    <d v="2025-09-09T00:00:00"/>
    <s v="Fashion"/>
    <x v="3"/>
    <n v="4"/>
    <n v="242.11"/>
    <n v="968.44"/>
    <s v="Net Banking"/>
    <s v="Repeat Customer"/>
  </r>
  <r>
    <n v="10369"/>
    <s v="CUST249"/>
    <d v="2025-12-12T00:00:00"/>
    <s v="Fashion"/>
    <x v="1"/>
    <n v="8"/>
    <n v="484.04"/>
    <n v="3872.32"/>
    <s v="Wallet"/>
    <s v="Repeat Customer"/>
  </r>
  <r>
    <n v="10370"/>
    <s v="CUST243"/>
    <d v="2025-02-06T00:00:00"/>
    <s v="Sports"/>
    <x v="2"/>
    <n v="6"/>
    <n v="61.37"/>
    <n v="368.22"/>
    <s v="UPI"/>
    <s v="Repeat Customer"/>
  </r>
  <r>
    <n v="10371"/>
    <s v="CUST381"/>
    <d v="2024-01-28T00:00:00"/>
    <s v="Fashion"/>
    <x v="3"/>
    <n v="8"/>
    <n v="471.77"/>
    <n v="3774.16"/>
    <s v="Net Banking"/>
    <s v="Repeat Customer"/>
  </r>
  <r>
    <n v="10372"/>
    <s v="CUST135"/>
    <d v="2025-02-22T00:00:00"/>
    <s v="Home"/>
    <x v="2"/>
    <n v="8"/>
    <n v="73.89"/>
    <n v="591.12"/>
    <s v="Net Banking"/>
    <s v="Repeat Customer"/>
  </r>
  <r>
    <n v="10373"/>
    <s v="CUST178"/>
    <d v="2025-03-09T00:00:00"/>
    <s v="Sports"/>
    <x v="3"/>
    <n v="7"/>
    <n v="41.61"/>
    <n v="291.27"/>
    <s v="Wallet"/>
    <s v="Repeat Customer"/>
  </r>
  <r>
    <n v="10374"/>
    <s v="CUST373"/>
    <d v="2025-06-02T00:00:00"/>
    <s v="Home"/>
    <x v="0"/>
    <n v="7"/>
    <n v="274.10000000000002"/>
    <n v="1918.7"/>
    <s v="Credit Card"/>
    <s v="Repeat Customer"/>
  </r>
  <r>
    <n v="10375"/>
    <s v="CUST227"/>
    <d v="2025-11-04T00:00:00"/>
    <s v="Sports"/>
    <x v="0"/>
    <n v="6"/>
    <n v="87.34"/>
    <n v="524.04"/>
    <s v="Wallet"/>
    <s v="Repeat Customer"/>
  </r>
  <r>
    <n v="10376"/>
    <s v="CUST269"/>
    <d v="2025-03-16T00:00:00"/>
    <s v="Home"/>
    <x v="2"/>
    <n v="2"/>
    <n v="10.220000000000001"/>
    <n v="20.440000000000001"/>
    <s v="UPI"/>
    <s v="Repeat Customer"/>
  </r>
  <r>
    <n v="10377"/>
    <s v="CUST328"/>
    <d v="2025-01-18T00:00:00"/>
    <s v="Sports"/>
    <x v="2"/>
    <n v="7"/>
    <n v="234.22"/>
    <n v="1639.54"/>
    <s v="Net Banking"/>
    <s v="Repeat Customer"/>
  </r>
  <r>
    <n v="10378"/>
    <s v="CUST112"/>
    <d v="2025-05-09T00:00:00"/>
    <s v="Electronics"/>
    <x v="0"/>
    <n v="2"/>
    <n v="151.24"/>
    <n v="302.48"/>
    <s v="UPI"/>
    <s v="Repeat Customer"/>
  </r>
  <r>
    <n v="10379"/>
    <s v="CUST278"/>
    <d v="2024-11-15T00:00:00"/>
    <s v="Fashion"/>
    <x v="3"/>
    <n v="6"/>
    <n v="230.39"/>
    <n v="1382.34"/>
    <s v="Net Banking"/>
    <s v="Repeat Customer"/>
  </r>
  <r>
    <n v="10380"/>
    <s v="CUST343"/>
    <d v="2024-04-09T00:00:00"/>
    <s v="Beauty"/>
    <x v="1"/>
    <n v="8"/>
    <n v="362.39"/>
    <n v="2899.12"/>
    <s v="Credit Card"/>
    <s v="Repeat Customer"/>
  </r>
  <r>
    <n v="10381"/>
    <s v="CUST253"/>
    <d v="2024-02-15T00:00:00"/>
    <s v="Home"/>
    <x v="0"/>
    <n v="2"/>
    <n v="16.18"/>
    <n v="32.36"/>
    <s v="UPI"/>
    <s v="Repeat Customer"/>
  </r>
  <r>
    <n v="10382"/>
    <s v="CUST224"/>
    <d v="2025-06-12T00:00:00"/>
    <s v="Home"/>
    <x v="3"/>
    <n v="3"/>
    <n v="278.2"/>
    <n v="834.6"/>
    <s v="Wallet"/>
    <s v="Repeat Customer"/>
  </r>
  <r>
    <n v="10383"/>
    <s v="CUST218"/>
    <d v="2025-02-18T00:00:00"/>
    <s v="Beauty"/>
    <x v="3"/>
    <n v="3"/>
    <n v="97.26"/>
    <n v="291.77999999999997"/>
    <s v="Credit Card"/>
    <s v="Repeat Customer"/>
  </r>
  <r>
    <n v="10384"/>
    <s v="CUST201"/>
    <d v="2025-04-05T00:00:00"/>
    <s v="Electronics"/>
    <x v="2"/>
    <n v="10"/>
    <n v="217.63"/>
    <n v="2176.3000000000002"/>
    <s v="UPI"/>
    <s v="Repeat Customer"/>
  </r>
  <r>
    <n v="10385"/>
    <s v="CUST242"/>
    <d v="2025-12-21T00:00:00"/>
    <s v="Sports"/>
    <x v="2"/>
    <n v="2"/>
    <n v="290.79000000000002"/>
    <n v="581.58000000000004"/>
    <s v="Net Banking"/>
    <s v="Repeat Customer"/>
  </r>
  <r>
    <n v="10386"/>
    <s v="CUST266"/>
    <d v="2024-07-20T00:00:00"/>
    <s v="Beauty"/>
    <x v="1"/>
    <n v="8"/>
    <n v="61.41"/>
    <n v="491.28"/>
    <s v="Wallet"/>
    <s v="Repeat Customer"/>
  </r>
  <r>
    <n v="10387"/>
    <s v="CUST300"/>
    <d v="2025-08-24T00:00:00"/>
    <s v="Beauty"/>
    <x v="2"/>
    <n v="2"/>
    <n v="177.22"/>
    <n v="354.44"/>
    <s v="Net Banking"/>
    <s v="Repeat Customer"/>
  </r>
  <r>
    <n v="10388"/>
    <s v="CUST143"/>
    <d v="2025-11-19T00:00:00"/>
    <s v="Fashion"/>
    <x v="1"/>
    <n v="3"/>
    <n v="160.03"/>
    <n v="480.09"/>
    <s v="Credit Card"/>
    <s v="Repeat Customer"/>
  </r>
  <r>
    <n v="10389"/>
    <s v="CUST193"/>
    <d v="2025-01-17T00:00:00"/>
    <s v="Beauty"/>
    <x v="2"/>
    <n v="3"/>
    <n v="257.86"/>
    <n v="773.58"/>
    <s v="Wallet"/>
    <s v="Repeat Customer"/>
  </r>
  <r>
    <n v="10390"/>
    <s v="CUST316"/>
    <d v="2024-07-09T00:00:00"/>
    <s v="Fashion"/>
    <x v="2"/>
    <n v="8"/>
    <n v="319.57"/>
    <n v="2556.56"/>
    <s v="Wallet"/>
    <s v="Repeat Customer"/>
  </r>
  <r>
    <n v="10391"/>
    <s v="CUST247"/>
    <d v="2024-05-23T00:00:00"/>
    <s v="Beauty"/>
    <x v="0"/>
    <n v="3"/>
    <n v="160.72"/>
    <n v="482.16"/>
    <s v="Net Banking"/>
    <s v="Repeat Customer"/>
  </r>
  <r>
    <n v="10392"/>
    <s v="CUST104"/>
    <d v="2025-05-11T00:00:00"/>
    <s v="Beauty"/>
    <x v="3"/>
    <n v="3"/>
    <n v="101.59"/>
    <n v="304.77"/>
    <s v="Wallet"/>
    <s v="Repeat Customer"/>
  </r>
  <r>
    <n v="10393"/>
    <s v="CUST351"/>
    <d v="2025-03-01T00:00:00"/>
    <s v="Electronics"/>
    <x v="0"/>
    <n v="8"/>
    <n v="246.91"/>
    <n v="1975.28"/>
    <s v="UPI"/>
    <s v="Repeat Customer"/>
  </r>
  <r>
    <n v="10394"/>
    <s v="CUST249"/>
    <d v="2024-02-03T00:00:00"/>
    <s v="Home"/>
    <x v="2"/>
    <n v="5"/>
    <n v="116.3"/>
    <n v="581.5"/>
    <s v="Wallet"/>
    <s v="Repeat Customer"/>
  </r>
  <r>
    <n v="10395"/>
    <s v="CUST389"/>
    <d v="2025-05-22T00:00:00"/>
    <s v="Sports"/>
    <x v="0"/>
    <n v="9"/>
    <n v="257.85000000000002"/>
    <n v="2320.65"/>
    <s v="Net Banking"/>
    <s v="Repeat Customer"/>
  </r>
  <r>
    <n v="10396"/>
    <s v="CUST378"/>
    <d v="2025-01-10T00:00:00"/>
    <s v="Electronics"/>
    <x v="3"/>
    <n v="9"/>
    <n v="412.19"/>
    <n v="3709.71"/>
    <s v="UPI"/>
    <s v="Repeat Customer"/>
  </r>
  <r>
    <n v="10397"/>
    <s v="CUST317"/>
    <d v="2024-04-14T00:00:00"/>
    <s v="Electronics"/>
    <x v="3"/>
    <n v="4"/>
    <n v="152.37"/>
    <n v="609.48"/>
    <s v="Net Banking"/>
    <s v="Repeat Customer"/>
  </r>
  <r>
    <n v="10398"/>
    <s v="CUST278"/>
    <d v="2024-03-30T00:00:00"/>
    <s v="Electronics"/>
    <x v="2"/>
    <n v="8"/>
    <n v="433.32"/>
    <n v="3466.56"/>
    <s v="UPI"/>
    <s v="Repeat Customer"/>
  </r>
  <r>
    <n v="10399"/>
    <s v="CUST279"/>
    <d v="2025-12-28T00:00:00"/>
    <s v="Fashion"/>
    <x v="2"/>
    <n v="10"/>
    <n v="318.22000000000003"/>
    <n v="3182.2"/>
    <s v="UPI"/>
    <s v="Repeat Customer"/>
  </r>
  <r>
    <n v="10400"/>
    <s v="CUST205"/>
    <d v="2024-03-01T00:00:00"/>
    <s v="Home"/>
    <x v="2"/>
    <n v="10"/>
    <n v="178.65"/>
    <n v="1786.5"/>
    <s v="Net Banking"/>
    <s v="Repeat Customer"/>
  </r>
  <r>
    <n v="10401"/>
    <s v="CUST249"/>
    <d v="2024-10-23T00:00:00"/>
    <s v="Sports"/>
    <x v="0"/>
    <n v="10"/>
    <n v="137.33000000000001"/>
    <n v="1373.3"/>
    <s v="UPI"/>
    <s v="Repeat Customer"/>
  </r>
  <r>
    <n v="10402"/>
    <s v="CUST310"/>
    <d v="2024-03-01T00:00:00"/>
    <s v="Fashion"/>
    <x v="2"/>
    <n v="5"/>
    <n v="434.19"/>
    <n v="2170.9499999999998"/>
    <s v="UPI"/>
    <s v="Repeat Customer"/>
  </r>
  <r>
    <n v="10403"/>
    <s v="CUST174"/>
    <d v="2025-12-29T00:00:00"/>
    <s v="Beauty"/>
    <x v="3"/>
    <n v="6"/>
    <n v="415.1"/>
    <n v="2490.6"/>
    <s v="UPI"/>
    <s v="Repeat Customer"/>
  </r>
  <r>
    <n v="10404"/>
    <s v="CUST395"/>
    <d v="2025-10-09T00:00:00"/>
    <s v="Beauty"/>
    <x v="3"/>
    <n v="5"/>
    <n v="315.77"/>
    <n v="1578.85"/>
    <s v="Credit Card"/>
    <s v="Repeat Customer"/>
  </r>
  <r>
    <n v="10405"/>
    <s v="CUST147"/>
    <d v="2025-02-16T00:00:00"/>
    <s v="Home"/>
    <x v="3"/>
    <n v="9"/>
    <n v="376.15"/>
    <n v="3385.35"/>
    <s v="Wallet"/>
    <s v="Repeat Customer"/>
  </r>
  <r>
    <n v="10406"/>
    <s v="CUST267"/>
    <d v="2025-08-18T00:00:00"/>
    <s v="Electronics"/>
    <x v="3"/>
    <n v="1"/>
    <n v="435.11"/>
    <n v="435.11"/>
    <s v="Net Banking"/>
    <s v="Repeat Customer"/>
  </r>
  <r>
    <n v="10407"/>
    <s v="CUST132"/>
    <d v="2025-07-01T00:00:00"/>
    <s v="Beauty"/>
    <x v="2"/>
    <n v="7"/>
    <n v="112.83"/>
    <n v="789.81"/>
    <s v="Wallet"/>
    <s v="Repeat Customer"/>
  </r>
  <r>
    <n v="10408"/>
    <s v="CUST237"/>
    <d v="2024-11-26T00:00:00"/>
    <s v="Sports"/>
    <x v="2"/>
    <n v="5"/>
    <n v="172.19"/>
    <n v="860.95"/>
    <s v="Wallet"/>
    <s v="Repeat Customer"/>
  </r>
  <r>
    <n v="10409"/>
    <s v="CUST275"/>
    <d v="2025-11-29T00:00:00"/>
    <s v="Beauty"/>
    <x v="0"/>
    <n v="1"/>
    <n v="27.74"/>
    <n v="27.74"/>
    <s v="Credit Card"/>
    <s v="Repeat Customer"/>
  </r>
  <r>
    <n v="10410"/>
    <s v="CUST180"/>
    <d v="2025-03-27T00:00:00"/>
    <s v="Beauty"/>
    <x v="2"/>
    <n v="8"/>
    <n v="5.33"/>
    <n v="42.64"/>
    <s v="UPI"/>
    <s v="Repeat Customer"/>
  </r>
  <r>
    <n v="10411"/>
    <s v="CUST254"/>
    <d v="2024-06-11T00:00:00"/>
    <s v="Home"/>
    <x v="1"/>
    <n v="5"/>
    <n v="51.2"/>
    <n v="256"/>
    <s v="Credit Card"/>
    <s v="Repeat Customer"/>
  </r>
  <r>
    <n v="10412"/>
    <s v="CUST290"/>
    <d v="2025-11-11T00:00:00"/>
    <s v="Home"/>
    <x v="2"/>
    <n v="3"/>
    <n v="30.63"/>
    <n v="91.89"/>
    <s v="Wallet"/>
    <s v="Repeat Customer"/>
  </r>
  <r>
    <n v="10413"/>
    <s v="CUST146"/>
    <d v="2025-12-21T00:00:00"/>
    <s v="Beauty"/>
    <x v="0"/>
    <n v="2"/>
    <n v="5.54"/>
    <n v="11.08"/>
    <s v="UPI"/>
    <s v="Repeat Customer"/>
  </r>
  <r>
    <n v="10414"/>
    <s v="CUST215"/>
    <d v="2025-06-15T00:00:00"/>
    <s v="Home"/>
    <x v="0"/>
    <n v="8"/>
    <n v="9.6"/>
    <n v="76.8"/>
    <s v="Wallet"/>
    <s v="Repeat Customer"/>
  </r>
  <r>
    <n v="10415"/>
    <s v="CUST167"/>
    <d v="2025-05-04T00:00:00"/>
    <s v="Electronics"/>
    <x v="0"/>
    <n v="2"/>
    <n v="118.33"/>
    <n v="236.66"/>
    <s v="Credit Card"/>
    <s v="Repeat Customer"/>
  </r>
  <r>
    <n v="10416"/>
    <s v="CUST260"/>
    <d v="2025-01-11T00:00:00"/>
    <s v="Fashion"/>
    <x v="2"/>
    <n v="5"/>
    <n v="72.88"/>
    <n v="364.4"/>
    <s v="Credit Card"/>
    <s v="Repeat Customer"/>
  </r>
  <r>
    <n v="10417"/>
    <s v="CUST371"/>
    <d v="2025-07-30T00:00:00"/>
    <s v="Fashion"/>
    <x v="3"/>
    <n v="1"/>
    <n v="307.11"/>
    <n v="307.11"/>
    <s v="Net Banking"/>
    <s v="Repeat Customer"/>
  </r>
  <r>
    <n v="10418"/>
    <s v="CUST209"/>
    <d v="2025-10-05T00:00:00"/>
    <s v="Sports"/>
    <x v="3"/>
    <n v="3"/>
    <n v="460.35"/>
    <n v="1381.05"/>
    <s v="UPI"/>
    <s v="Repeat Customer"/>
  </r>
  <r>
    <n v="10419"/>
    <s v="CUST144"/>
    <d v="2024-04-12T00:00:00"/>
    <s v="Sports"/>
    <x v="3"/>
    <n v="3"/>
    <n v="377.46"/>
    <n v="1132.3800000000001"/>
    <s v="Net Banking"/>
    <s v="Repeat Customer"/>
  </r>
  <r>
    <n v="10420"/>
    <s v="CUST319"/>
    <d v="2024-11-18T00:00:00"/>
    <s v="Electronics"/>
    <x v="2"/>
    <n v="3"/>
    <n v="127.65"/>
    <n v="382.95"/>
    <s v="Net Banking"/>
    <s v="Repeat Customer"/>
  </r>
  <r>
    <n v="10421"/>
    <s v="CUST113"/>
    <d v="2025-11-05T00:00:00"/>
    <s v="Sports"/>
    <x v="2"/>
    <n v="5"/>
    <n v="106.7"/>
    <n v="533.5"/>
    <s v="Wallet"/>
    <s v="Repeat Customer"/>
  </r>
  <r>
    <n v="10422"/>
    <s v="CUST251"/>
    <d v="2025-10-23T00:00:00"/>
    <s v="Fashion"/>
    <x v="3"/>
    <n v="1"/>
    <n v="392.98"/>
    <n v="392.98"/>
    <s v="Wallet"/>
    <s v="Repeat Customer"/>
  </r>
  <r>
    <n v="10423"/>
    <s v="CUST157"/>
    <d v="2024-09-03T00:00:00"/>
    <s v="Electronics"/>
    <x v="0"/>
    <n v="8"/>
    <n v="320.85000000000002"/>
    <n v="2566.8000000000002"/>
    <s v="Net Banking"/>
    <s v="Repeat Customer"/>
  </r>
  <r>
    <n v="10424"/>
    <s v="CUST262"/>
    <d v="2024-05-15T00:00:00"/>
    <s v="Sports"/>
    <x v="3"/>
    <n v="7"/>
    <n v="431.1"/>
    <n v="3017.7"/>
    <s v="Net Banking"/>
    <s v="Repeat Customer"/>
  </r>
  <r>
    <n v="10425"/>
    <s v="CUST379"/>
    <d v="2025-11-30T00:00:00"/>
    <s v="Electronics"/>
    <x v="0"/>
    <n v="3"/>
    <n v="382.55"/>
    <n v="1147.6500000000001"/>
    <s v="Credit Card"/>
    <s v="Repeat Customer"/>
  </r>
  <r>
    <n v="10426"/>
    <s v="CUST107"/>
    <d v="2024-09-25T00:00:00"/>
    <s v="Electronics"/>
    <x v="3"/>
    <n v="4"/>
    <n v="24.71"/>
    <n v="98.84"/>
    <s v="Net Banking"/>
    <s v="Repeat Customer"/>
  </r>
  <r>
    <n v="10427"/>
    <s v="CUST356"/>
    <d v="2025-03-01T00:00:00"/>
    <s v="Electronics"/>
    <x v="2"/>
    <n v="7"/>
    <n v="352.4"/>
    <n v="2466.8000000000002"/>
    <s v="Net Banking"/>
    <s v="Repeat Customer"/>
  </r>
  <r>
    <n v="10428"/>
    <s v="CUST142"/>
    <d v="2024-11-13T00:00:00"/>
    <s v="Fashion"/>
    <x v="2"/>
    <n v="2"/>
    <n v="258.10000000000002"/>
    <n v="516.20000000000005"/>
    <s v="Net Banking"/>
    <s v="Repeat Customer"/>
  </r>
  <r>
    <n v="10429"/>
    <s v="CUST300"/>
    <d v="2025-08-23T00:00:00"/>
    <s v="Beauty"/>
    <x v="2"/>
    <n v="2"/>
    <n v="158.53"/>
    <n v="317.06"/>
    <s v="Credit Card"/>
    <s v="Repeat Customer"/>
  </r>
  <r>
    <n v="10430"/>
    <s v="CUST225"/>
    <d v="2024-03-29T00:00:00"/>
    <s v="Sports"/>
    <x v="0"/>
    <n v="7"/>
    <n v="62.41"/>
    <n v="436.87"/>
    <s v="Net Banking"/>
    <s v="Repeat Customer"/>
  </r>
  <r>
    <n v="10431"/>
    <s v="CUST189"/>
    <d v="2024-05-02T00:00:00"/>
    <s v="Electronics"/>
    <x v="2"/>
    <n v="1"/>
    <n v="355.41"/>
    <n v="355.41"/>
    <s v="Wallet"/>
    <s v="Repeat Customer"/>
  </r>
  <r>
    <n v="10432"/>
    <s v="CUST277"/>
    <d v="2025-06-19T00:00:00"/>
    <s v="Home"/>
    <x v="2"/>
    <n v="9"/>
    <n v="392.58"/>
    <n v="3533.22"/>
    <s v="Net Banking"/>
    <s v="Repeat Customer"/>
  </r>
  <r>
    <n v="10433"/>
    <s v="CUST164"/>
    <d v="2024-10-02T00:00:00"/>
    <s v="Electronics"/>
    <x v="1"/>
    <n v="2"/>
    <n v="386.86"/>
    <n v="773.72"/>
    <s v="Wallet"/>
    <s v="Repeat Customer"/>
  </r>
  <r>
    <n v="10434"/>
    <s v="CUST239"/>
    <d v="2025-06-20T00:00:00"/>
    <s v="Sports"/>
    <x v="0"/>
    <n v="2"/>
    <n v="135.16"/>
    <n v="270.32"/>
    <s v="Wallet"/>
    <s v="Repeat Customer"/>
  </r>
  <r>
    <n v="10435"/>
    <s v="CUST333"/>
    <d v="2025-06-07T00:00:00"/>
    <s v="Sports"/>
    <x v="2"/>
    <n v="6"/>
    <n v="32.44"/>
    <n v="194.64"/>
    <s v="Net Banking"/>
    <s v="Repeat Customer"/>
  </r>
  <r>
    <n v="10436"/>
    <s v="CUST180"/>
    <d v="2024-09-18T00:00:00"/>
    <s v="Electronics"/>
    <x v="2"/>
    <n v="2"/>
    <n v="447.66"/>
    <n v="895.32"/>
    <s v="Credit Card"/>
    <s v="Repeat Customer"/>
  </r>
  <r>
    <n v="10437"/>
    <s v="CUST122"/>
    <d v="2024-01-13T00:00:00"/>
    <s v="Home"/>
    <x v="3"/>
    <n v="4"/>
    <n v="27.76"/>
    <n v="111.04"/>
    <s v="UPI"/>
    <s v="Repeat Customer"/>
  </r>
  <r>
    <n v="10438"/>
    <s v="CUST191"/>
    <d v="2024-02-06T00:00:00"/>
    <s v="Beauty"/>
    <x v="2"/>
    <n v="9"/>
    <n v="402.54"/>
    <n v="3622.86"/>
    <s v="Net Banking"/>
    <s v="Repeat Customer"/>
  </r>
  <r>
    <n v="10439"/>
    <s v="CUST227"/>
    <d v="2025-03-02T00:00:00"/>
    <s v="Electronics"/>
    <x v="1"/>
    <n v="6"/>
    <n v="139.27000000000001"/>
    <n v="835.62"/>
    <s v="Credit Card"/>
    <s v="Repeat Customer"/>
  </r>
  <r>
    <n v="10440"/>
    <s v="CUST357"/>
    <d v="2025-11-20T00:00:00"/>
    <s v="Sports"/>
    <x v="0"/>
    <n v="1"/>
    <n v="93.78"/>
    <n v="93.78"/>
    <s v="Wallet"/>
    <s v="Repeat Customer"/>
  </r>
  <r>
    <n v="10441"/>
    <s v="CUST135"/>
    <d v="2025-04-21T00:00:00"/>
    <s v="Home"/>
    <x v="1"/>
    <n v="5"/>
    <n v="387.9"/>
    <n v="1939.5"/>
    <s v="Credit Card"/>
    <s v="Repeat Customer"/>
  </r>
  <r>
    <n v="10442"/>
    <s v="CUST383"/>
    <d v="2025-04-12T00:00:00"/>
    <s v="Home"/>
    <x v="1"/>
    <n v="1"/>
    <n v="187.62"/>
    <n v="187.62"/>
    <s v="UPI"/>
    <s v="Repeat Customer"/>
  </r>
  <r>
    <n v="10443"/>
    <s v="CUST337"/>
    <d v="2025-01-12T00:00:00"/>
    <s v="Fashion"/>
    <x v="2"/>
    <n v="10"/>
    <n v="486.07"/>
    <n v="4860.7"/>
    <s v="UPI"/>
    <s v="Repeat Customer"/>
  </r>
  <r>
    <n v="10444"/>
    <s v="CUST103"/>
    <d v="2025-02-23T00:00:00"/>
    <s v="Home"/>
    <x v="0"/>
    <n v="1"/>
    <n v="120.33"/>
    <n v="120.33"/>
    <s v="Net Banking"/>
    <s v="Repeat Customer"/>
  </r>
  <r>
    <n v="10445"/>
    <s v="CUST100"/>
    <d v="2025-11-04T00:00:00"/>
    <s v="Home"/>
    <x v="0"/>
    <n v="7"/>
    <n v="425.26"/>
    <n v="2976.82"/>
    <s v="UPI"/>
    <s v="Repeat Customer"/>
  </r>
  <r>
    <n v="10446"/>
    <s v="CUST371"/>
    <d v="2024-08-31T00:00:00"/>
    <s v="Electronics"/>
    <x v="2"/>
    <n v="7"/>
    <n v="248.55"/>
    <n v="1739.85"/>
    <s v="Net Banking"/>
    <s v="Repeat Customer"/>
  </r>
  <r>
    <n v="10447"/>
    <s v="CUST147"/>
    <d v="2024-02-14T00:00:00"/>
    <s v="Sports"/>
    <x v="3"/>
    <n v="4"/>
    <n v="449.16"/>
    <n v="1796.64"/>
    <s v="Net Banking"/>
    <s v="Repeat Customer"/>
  </r>
  <r>
    <n v="10448"/>
    <s v="CUST334"/>
    <d v="2024-03-27T00:00:00"/>
    <s v="Fashion"/>
    <x v="3"/>
    <n v="10"/>
    <n v="52.31"/>
    <n v="523.1"/>
    <s v="Credit Card"/>
    <s v="Repeat Customer"/>
  </r>
  <r>
    <n v="10449"/>
    <s v="CUST390"/>
    <d v="2024-03-04T00:00:00"/>
    <s v="Fashion"/>
    <x v="2"/>
    <n v="7"/>
    <n v="332.91"/>
    <n v="2330.37"/>
    <s v="Net Banking"/>
    <s v="Repeat Customer"/>
  </r>
  <r>
    <n v="10450"/>
    <s v="CUST233"/>
    <d v="2024-11-18T00:00:00"/>
    <s v="Home"/>
    <x v="1"/>
    <n v="7"/>
    <n v="351.86"/>
    <n v="2463.02"/>
    <s v="Wallet"/>
    <s v="Repeat Customer"/>
  </r>
  <r>
    <n v="10451"/>
    <s v="CUST239"/>
    <d v="2024-08-27T00:00:00"/>
    <s v="Fashion"/>
    <x v="0"/>
    <n v="2"/>
    <n v="472.06"/>
    <n v="944.12"/>
    <s v="UPI"/>
    <s v="Repeat Customer"/>
  </r>
  <r>
    <n v="10452"/>
    <s v="CUST154"/>
    <d v="2024-06-17T00:00:00"/>
    <s v="Beauty"/>
    <x v="0"/>
    <n v="8"/>
    <n v="235.7"/>
    <n v="1885.6"/>
    <s v="Net Banking"/>
    <s v="Repeat Customer"/>
  </r>
  <r>
    <n v="10453"/>
    <s v="CUST206"/>
    <d v="2025-04-07T00:00:00"/>
    <s v="Electronics"/>
    <x v="0"/>
    <n v="5"/>
    <n v="234.36"/>
    <n v="1171.8"/>
    <s v="UPI"/>
    <s v="Repeat Customer"/>
  </r>
  <r>
    <n v="10454"/>
    <s v="CUST255"/>
    <d v="2025-12-22T00:00:00"/>
    <s v="Home"/>
    <x v="2"/>
    <n v="10"/>
    <n v="24.96"/>
    <n v="249.6"/>
    <s v="Credit Card"/>
    <s v="Repeat Customer"/>
  </r>
  <r>
    <n v="10455"/>
    <s v="CUST227"/>
    <d v="2024-12-30T00:00:00"/>
    <s v="Home"/>
    <x v="1"/>
    <n v="7"/>
    <n v="259.16000000000003"/>
    <n v="1814.12"/>
    <s v="UPI"/>
    <s v="Repeat Customer"/>
  </r>
  <r>
    <n v="10456"/>
    <s v="CUST115"/>
    <d v="2025-02-18T00:00:00"/>
    <s v="Sports"/>
    <x v="2"/>
    <n v="8"/>
    <n v="280.2"/>
    <n v="2241.6"/>
    <s v="Credit Card"/>
    <s v="Repeat Customer"/>
  </r>
  <r>
    <n v="10457"/>
    <s v="CUST336"/>
    <d v="2024-04-14T00:00:00"/>
    <s v="Electronics"/>
    <x v="2"/>
    <n v="3"/>
    <n v="65.12"/>
    <n v="195.36"/>
    <s v="UPI"/>
    <s v="Repeat Customer"/>
  </r>
  <r>
    <n v="10458"/>
    <s v="CUST201"/>
    <d v="2025-02-14T00:00:00"/>
    <s v="Electronics"/>
    <x v="1"/>
    <n v="6"/>
    <n v="344.71"/>
    <n v="2068.2600000000002"/>
    <s v="Credit Card"/>
    <s v="Repeat Customer"/>
  </r>
  <r>
    <n v="10459"/>
    <s v="CUST111"/>
    <d v="2024-03-07T00:00:00"/>
    <s v="Beauty"/>
    <x v="2"/>
    <n v="4"/>
    <n v="451.74"/>
    <n v="1806.96"/>
    <s v="Credit Card"/>
    <s v="Repeat Customer"/>
  </r>
  <r>
    <n v="10460"/>
    <s v="CUST269"/>
    <d v="2024-05-05T00:00:00"/>
    <s v="Electronics"/>
    <x v="2"/>
    <n v="1"/>
    <n v="471.43"/>
    <n v="471.43"/>
    <s v="Wallet"/>
    <s v="Repeat Customer"/>
  </r>
  <r>
    <n v="10461"/>
    <s v="CUST302"/>
    <d v="2025-05-23T00:00:00"/>
    <s v="Beauty"/>
    <x v="2"/>
    <n v="1"/>
    <n v="194.45"/>
    <n v="194.45"/>
    <s v="Net Banking"/>
    <s v="Repeat Customer"/>
  </r>
  <r>
    <n v="10462"/>
    <s v="CUST209"/>
    <d v="2024-07-10T00:00:00"/>
    <s v="Fashion"/>
    <x v="0"/>
    <n v="5"/>
    <n v="143.53"/>
    <n v="717.65"/>
    <s v="UPI"/>
    <s v="Repeat Customer"/>
  </r>
  <r>
    <n v="10463"/>
    <s v="CUST251"/>
    <d v="2025-05-25T00:00:00"/>
    <s v="Beauty"/>
    <x v="0"/>
    <n v="7"/>
    <n v="441.98"/>
    <n v="3093.86"/>
    <s v="Credit Card"/>
    <s v="Repeat Customer"/>
  </r>
  <r>
    <n v="10464"/>
    <s v="CUST243"/>
    <d v="2025-01-27T00:00:00"/>
    <s v="Sports"/>
    <x v="2"/>
    <n v="3"/>
    <n v="212.52"/>
    <n v="637.55999999999995"/>
    <s v="Credit Card"/>
    <s v="Repeat Customer"/>
  </r>
  <r>
    <n v="10465"/>
    <s v="CUST295"/>
    <d v="2025-12-31T00:00:00"/>
    <s v="Beauty"/>
    <x v="1"/>
    <n v="6"/>
    <n v="242.44"/>
    <n v="1454.64"/>
    <s v="Net Banking"/>
    <s v="Repeat Customer"/>
  </r>
  <r>
    <n v="10466"/>
    <s v="CUST298"/>
    <d v="2024-10-03T00:00:00"/>
    <s v="Sports"/>
    <x v="2"/>
    <n v="3"/>
    <n v="17.899999999999999"/>
    <n v="53.7"/>
    <s v="Credit Card"/>
    <s v="Repeat Customer"/>
  </r>
  <r>
    <n v="10467"/>
    <s v="CUST243"/>
    <d v="2024-02-29T00:00:00"/>
    <s v="Sports"/>
    <x v="2"/>
    <n v="8"/>
    <n v="267.07"/>
    <n v="2136.56"/>
    <s v="UPI"/>
    <s v="Repeat Customer"/>
  </r>
  <r>
    <n v="10468"/>
    <s v="CUST151"/>
    <d v="2024-09-10T00:00:00"/>
    <s v="Electronics"/>
    <x v="2"/>
    <n v="4"/>
    <n v="136.93"/>
    <n v="547.72"/>
    <s v="Wallet"/>
    <s v="Repeat Customer"/>
  </r>
  <r>
    <n v="10469"/>
    <s v="CUST281"/>
    <d v="2024-06-26T00:00:00"/>
    <s v="Home"/>
    <x v="1"/>
    <n v="3"/>
    <n v="122.09"/>
    <n v="366.27"/>
    <s v="Credit Card"/>
    <s v="Repeat Customer"/>
  </r>
  <r>
    <n v="10470"/>
    <s v="CUST280"/>
    <d v="2025-08-04T00:00:00"/>
    <s v="Fashion"/>
    <x v="3"/>
    <n v="10"/>
    <n v="75.34"/>
    <n v="753.4"/>
    <s v="Net Banking"/>
    <s v="Repeat Customer"/>
  </r>
  <r>
    <n v="10471"/>
    <s v="CUST189"/>
    <d v="2025-05-17T00:00:00"/>
    <s v="Fashion"/>
    <x v="2"/>
    <n v="1"/>
    <n v="49.68"/>
    <n v="49.68"/>
    <s v="Credit Card"/>
    <s v="Repeat Customer"/>
  </r>
  <r>
    <n v="10472"/>
    <s v="CUST369"/>
    <d v="2025-05-04T00:00:00"/>
    <s v="Sports"/>
    <x v="2"/>
    <n v="1"/>
    <n v="169.21"/>
    <n v="169.21"/>
    <s v="UPI"/>
    <s v="Repeat Customer"/>
  </r>
  <r>
    <n v="10473"/>
    <s v="CUST274"/>
    <d v="2024-06-30T00:00:00"/>
    <s v="Fashion"/>
    <x v="2"/>
    <n v="6"/>
    <n v="34.479999999999997"/>
    <n v="206.88"/>
    <s v="Credit Card"/>
    <s v="Repeat Customer"/>
  </r>
  <r>
    <n v="10474"/>
    <s v="CUST369"/>
    <d v="2025-01-08T00:00:00"/>
    <s v="Beauty"/>
    <x v="0"/>
    <n v="2"/>
    <n v="189.93"/>
    <n v="379.86"/>
    <s v="Net Banking"/>
    <s v="Repeat Customer"/>
  </r>
  <r>
    <n v="10475"/>
    <s v="CUST254"/>
    <d v="2024-11-26T00:00:00"/>
    <s v="Beauty"/>
    <x v="3"/>
    <n v="3"/>
    <n v="488.05"/>
    <n v="1464.15"/>
    <s v="Net Banking"/>
    <s v="Repeat Customer"/>
  </r>
  <r>
    <n v="10476"/>
    <s v="CUST189"/>
    <d v="2025-12-25T00:00:00"/>
    <s v="Sports"/>
    <x v="1"/>
    <n v="9"/>
    <n v="348.31"/>
    <n v="3134.79"/>
    <s v="UPI"/>
    <s v="Repeat Customer"/>
  </r>
  <r>
    <n v="10477"/>
    <s v="CUST189"/>
    <d v="2025-01-22T00:00:00"/>
    <s v="Home"/>
    <x v="2"/>
    <n v="5"/>
    <n v="368.33"/>
    <n v="1841.65"/>
    <s v="UPI"/>
    <s v="Repeat Customer"/>
  </r>
  <r>
    <n v="10478"/>
    <s v="CUST100"/>
    <d v="2025-12-19T00:00:00"/>
    <s v="Sports"/>
    <x v="0"/>
    <n v="10"/>
    <n v="198.84"/>
    <n v="1988.4"/>
    <s v="UPI"/>
    <s v="Repeat Customer"/>
  </r>
  <r>
    <n v="10479"/>
    <s v="CUST262"/>
    <d v="2025-09-18T00:00:00"/>
    <s v="Electronics"/>
    <x v="3"/>
    <n v="4"/>
    <n v="321.63"/>
    <n v="1286.52"/>
    <s v="UPI"/>
    <s v="Repeat Customer"/>
  </r>
  <r>
    <n v="10480"/>
    <s v="CUST269"/>
    <d v="2024-03-20T00:00:00"/>
    <s v="Home"/>
    <x v="2"/>
    <n v="4"/>
    <n v="176.67"/>
    <n v="706.68"/>
    <s v="Credit Card"/>
    <s v="Repeat Customer"/>
  </r>
  <r>
    <n v="10481"/>
    <s v="CUST271"/>
    <d v="2025-04-02T00:00:00"/>
    <s v="Fashion"/>
    <x v="0"/>
    <n v="1"/>
    <n v="136.28"/>
    <n v="136.28"/>
    <s v="Net Banking"/>
    <s v="Repeat Customer"/>
  </r>
  <r>
    <n v="10482"/>
    <s v="CUST231"/>
    <d v="2024-04-20T00:00:00"/>
    <s v="Beauty"/>
    <x v="3"/>
    <n v="1"/>
    <n v="28.83"/>
    <n v="28.83"/>
    <s v="UPI"/>
    <s v="Repeat Customer"/>
  </r>
  <r>
    <n v="10483"/>
    <s v="CUST311"/>
    <d v="2025-05-19T00:00:00"/>
    <s v="Beauty"/>
    <x v="0"/>
    <n v="7"/>
    <n v="178.86"/>
    <n v="1252.02"/>
    <s v="Wallet"/>
    <s v="Repeat Customer"/>
  </r>
  <r>
    <n v="10484"/>
    <s v="CUST395"/>
    <d v="2025-10-28T00:00:00"/>
    <s v="Electronics"/>
    <x v="0"/>
    <n v="4"/>
    <n v="85.51"/>
    <n v="342.04"/>
    <s v="Net Banking"/>
    <s v="Repeat Customer"/>
  </r>
  <r>
    <n v="10485"/>
    <s v="CUST110"/>
    <d v="2024-11-22T00:00:00"/>
    <s v="Electronics"/>
    <x v="1"/>
    <n v="5"/>
    <n v="476.07"/>
    <n v="2380.35"/>
    <s v="UPI"/>
    <s v="Repeat Customer"/>
  </r>
  <r>
    <n v="10486"/>
    <s v="CUST292"/>
    <d v="2024-06-13T00:00:00"/>
    <s v="Electronics"/>
    <x v="1"/>
    <n v="2"/>
    <n v="275.79000000000002"/>
    <n v="551.58000000000004"/>
    <s v="Wallet"/>
    <s v="Repeat Customer"/>
  </r>
  <r>
    <n v="10487"/>
    <s v="CUST115"/>
    <d v="2025-03-17T00:00:00"/>
    <s v="Beauty"/>
    <x v="2"/>
    <n v="3"/>
    <n v="305.62"/>
    <n v="916.86"/>
    <s v="Credit Card"/>
    <s v="Repeat Customer"/>
  </r>
  <r>
    <n v="10488"/>
    <s v="CUST151"/>
    <d v="2024-12-05T00:00:00"/>
    <s v="Beauty"/>
    <x v="1"/>
    <n v="4"/>
    <n v="487.33"/>
    <n v="1949.32"/>
    <s v="Net Banking"/>
    <s v="Repeat Customer"/>
  </r>
  <r>
    <n v="10489"/>
    <s v="CUST252"/>
    <d v="2024-08-31T00:00:00"/>
    <s v="Sports"/>
    <x v="3"/>
    <n v="2"/>
    <n v="29.57"/>
    <n v="59.14"/>
    <s v="UPI"/>
    <s v="Repeat Customer"/>
  </r>
  <r>
    <n v="10490"/>
    <s v="CUST127"/>
    <d v="2025-01-04T00:00:00"/>
    <s v="Home"/>
    <x v="3"/>
    <n v="1"/>
    <n v="216.66"/>
    <n v="216.66"/>
    <s v="UPI"/>
    <s v="Repeat Customer"/>
  </r>
  <r>
    <n v="10491"/>
    <s v="CUST149"/>
    <d v="2024-01-27T00:00:00"/>
    <s v="Home"/>
    <x v="0"/>
    <n v="4"/>
    <n v="89.56"/>
    <n v="358.24"/>
    <s v="Wallet"/>
    <s v="Repeat Customer"/>
  </r>
  <r>
    <n v="10492"/>
    <s v="CUST159"/>
    <d v="2024-11-11T00:00:00"/>
    <s v="Home"/>
    <x v="0"/>
    <n v="7"/>
    <n v="238.12"/>
    <n v="1666.84"/>
    <s v="Wallet"/>
    <s v="Repeat Customer"/>
  </r>
  <r>
    <n v="10493"/>
    <s v="CUST194"/>
    <d v="2025-01-14T00:00:00"/>
    <s v="Beauty"/>
    <x v="0"/>
    <n v="7"/>
    <n v="187.85"/>
    <n v="1314.95"/>
    <s v="Net Banking"/>
    <s v="Repeat Customer"/>
  </r>
  <r>
    <n v="10494"/>
    <s v="CUST325"/>
    <d v="2025-04-21T00:00:00"/>
    <s v="Home"/>
    <x v="0"/>
    <n v="5"/>
    <n v="116.99"/>
    <n v="584.95000000000005"/>
    <s v="UPI"/>
    <s v="Repeat Customer"/>
  </r>
  <r>
    <n v="10495"/>
    <s v="CUST149"/>
    <d v="2024-03-28T00:00:00"/>
    <s v="Beauty"/>
    <x v="2"/>
    <n v="6"/>
    <n v="405.05"/>
    <n v="2430.3000000000002"/>
    <s v="Credit Card"/>
    <s v="Repeat Customer"/>
  </r>
  <r>
    <n v="10496"/>
    <s v="CUST298"/>
    <d v="2025-06-19T00:00:00"/>
    <s v="Beauty"/>
    <x v="2"/>
    <n v="7"/>
    <n v="482.99"/>
    <n v="3380.93"/>
    <s v="Wallet"/>
    <s v="Repeat Customer"/>
  </r>
  <r>
    <n v="10497"/>
    <s v="CUST253"/>
    <d v="2024-03-21T00:00:00"/>
    <s v="Electronics"/>
    <x v="2"/>
    <n v="7"/>
    <n v="451.87"/>
    <n v="3163.09"/>
    <s v="Credit Card"/>
    <s v="Repeat Customer"/>
  </r>
  <r>
    <n v="10498"/>
    <s v="CUST329"/>
    <d v="2024-06-26T00:00:00"/>
    <s v="Fashion"/>
    <x v="2"/>
    <n v="3"/>
    <n v="486.22"/>
    <n v="1458.66"/>
    <s v="Credit Card"/>
    <s v="Repeat Customer"/>
  </r>
  <r>
    <n v="10499"/>
    <s v="CUST316"/>
    <d v="2024-03-21T00:00:00"/>
    <s v="Fashion"/>
    <x v="1"/>
    <n v="7"/>
    <n v="104.95"/>
    <n v="734.65"/>
    <s v="Net Banking"/>
    <s v="Repeat Customer"/>
  </r>
  <r>
    <n v="10500"/>
    <s v="CUST134"/>
    <d v="2024-03-30T00:00:00"/>
    <s v="Sports"/>
    <x v="1"/>
    <n v="7"/>
    <n v="280.39999999999998"/>
    <n v="1962.8"/>
    <s v="Net Banking"/>
    <s v="Repeat Customer"/>
  </r>
  <r>
    <n v="10501"/>
    <s v="CUST366"/>
    <d v="2025-04-14T00:00:00"/>
    <s v="Sports"/>
    <x v="3"/>
    <n v="1"/>
    <n v="394.34"/>
    <n v="394.34"/>
    <s v="Credit Card"/>
    <s v="Repeat Customer"/>
  </r>
  <r>
    <n v="10502"/>
    <s v="CUST312"/>
    <d v="2024-06-02T00:00:00"/>
    <s v="Sports"/>
    <x v="0"/>
    <n v="3"/>
    <n v="285.45999999999998"/>
    <n v="856.38"/>
    <s v="Credit Card"/>
    <s v="Repeat Customer"/>
  </r>
  <r>
    <n v="10503"/>
    <s v="CUST388"/>
    <d v="2024-04-13T00:00:00"/>
    <s v="Home"/>
    <x v="3"/>
    <n v="5"/>
    <n v="434.4"/>
    <n v="2172"/>
    <s v="Net Banking"/>
    <s v="Repeat Customer"/>
  </r>
  <r>
    <n v="10504"/>
    <s v="CUST296"/>
    <d v="2025-11-01T00:00:00"/>
    <s v="Beauty"/>
    <x v="0"/>
    <n v="8"/>
    <n v="288.14999999999998"/>
    <n v="2305.1999999999998"/>
    <s v="UPI"/>
    <s v="Repeat Customer"/>
  </r>
  <r>
    <n v="10505"/>
    <s v="CUST241"/>
    <d v="2025-02-16T00:00:00"/>
    <s v="Beauty"/>
    <x v="0"/>
    <n v="3"/>
    <n v="311.02999999999997"/>
    <n v="933.09"/>
    <s v="Wallet"/>
    <s v="Repeat Customer"/>
  </r>
  <r>
    <n v="10506"/>
    <s v="CUST269"/>
    <d v="2025-12-08T00:00:00"/>
    <s v="Beauty"/>
    <x v="1"/>
    <n v="4"/>
    <n v="29.4"/>
    <n v="117.6"/>
    <s v="Net Banking"/>
    <s v="Repeat Customer"/>
  </r>
  <r>
    <n v="10507"/>
    <s v="CUST110"/>
    <d v="2024-12-11T00:00:00"/>
    <s v="Beauty"/>
    <x v="0"/>
    <n v="5"/>
    <n v="158.91999999999999"/>
    <n v="794.6"/>
    <s v="UPI"/>
    <s v="Repeat Customer"/>
  </r>
  <r>
    <n v="10508"/>
    <s v="CUST168"/>
    <d v="2024-11-03T00:00:00"/>
    <s v="Home"/>
    <x v="1"/>
    <n v="8"/>
    <n v="388.15"/>
    <n v="3105.2"/>
    <s v="Wallet"/>
    <s v="Repeat Customer"/>
  </r>
  <r>
    <n v="10509"/>
    <s v="CUST145"/>
    <d v="2024-07-11T00:00:00"/>
    <s v="Beauty"/>
    <x v="3"/>
    <n v="8"/>
    <n v="109.64"/>
    <n v="877.12"/>
    <s v="Net Banking"/>
    <s v="Repeat Customer"/>
  </r>
  <r>
    <n v="10510"/>
    <s v="CUST128"/>
    <d v="2025-06-11T00:00:00"/>
    <s v="Sports"/>
    <x v="3"/>
    <n v="3"/>
    <n v="37.479999999999997"/>
    <n v="112.44"/>
    <s v="UPI"/>
    <s v="Repeat Customer"/>
  </r>
  <r>
    <n v="10511"/>
    <s v="CUST368"/>
    <d v="2025-08-05T00:00:00"/>
    <s v="Fashion"/>
    <x v="0"/>
    <n v="1"/>
    <n v="91"/>
    <n v="91"/>
    <s v="UPI"/>
    <s v="Repeat Customer"/>
  </r>
  <r>
    <n v="10512"/>
    <s v="CUST116"/>
    <d v="2025-04-12T00:00:00"/>
    <s v="Fashion"/>
    <x v="1"/>
    <n v="1"/>
    <n v="459.43"/>
    <n v="459.43"/>
    <s v="Net Banking"/>
    <s v="Repeat Customer"/>
  </r>
  <r>
    <n v="10513"/>
    <s v="CUST337"/>
    <d v="2025-06-01T00:00:00"/>
    <s v="Electronics"/>
    <x v="0"/>
    <n v="7"/>
    <n v="319.52999999999997"/>
    <n v="2236.71"/>
    <s v="UPI"/>
    <s v="Repeat Customer"/>
  </r>
  <r>
    <n v="10514"/>
    <s v="CUST290"/>
    <d v="2025-05-15T00:00:00"/>
    <s v="Beauty"/>
    <x v="1"/>
    <n v="10"/>
    <n v="225.82"/>
    <n v="2258.1999999999998"/>
    <s v="Net Banking"/>
    <s v="Repeat Customer"/>
  </r>
  <r>
    <n v="10515"/>
    <s v="CUST183"/>
    <d v="2024-09-21T00:00:00"/>
    <s v="Beauty"/>
    <x v="0"/>
    <n v="2"/>
    <n v="146.11000000000001"/>
    <n v="292.22000000000003"/>
    <s v="UPI"/>
    <s v="Repeat Customer"/>
  </r>
  <r>
    <n v="10516"/>
    <s v="CUST392"/>
    <d v="2024-08-07T00:00:00"/>
    <s v="Fashion"/>
    <x v="1"/>
    <n v="4"/>
    <n v="325.45"/>
    <n v="1301.8"/>
    <s v="Wallet"/>
    <s v="Repeat Customer"/>
  </r>
  <r>
    <n v="10517"/>
    <s v="CUST362"/>
    <d v="2024-01-21T00:00:00"/>
    <s v="Fashion"/>
    <x v="2"/>
    <n v="1"/>
    <n v="239.68"/>
    <n v="239.68"/>
    <s v="Credit Card"/>
    <s v="Repeat Customer"/>
  </r>
  <r>
    <n v="10518"/>
    <s v="CUST214"/>
    <d v="2024-09-15T00:00:00"/>
    <s v="Home"/>
    <x v="1"/>
    <n v="10"/>
    <n v="403.52"/>
    <n v="4035.2"/>
    <s v="Wallet"/>
    <s v="Repeat Customer"/>
  </r>
  <r>
    <n v="10519"/>
    <s v="CUST292"/>
    <d v="2024-12-23T00:00:00"/>
    <s v="Beauty"/>
    <x v="1"/>
    <n v="8"/>
    <n v="129.74"/>
    <n v="1037.92"/>
    <s v="Wallet"/>
    <s v="Repeat Customer"/>
  </r>
  <r>
    <n v="10520"/>
    <s v="CUST399"/>
    <d v="2024-04-14T00:00:00"/>
    <s v="Home"/>
    <x v="1"/>
    <n v="1"/>
    <n v="258.2"/>
    <n v="258.2"/>
    <s v="Net Banking"/>
    <s v="Repeat Customer"/>
  </r>
  <r>
    <n v="10521"/>
    <s v="CUST155"/>
    <d v="2025-05-08T00:00:00"/>
    <s v="Home"/>
    <x v="1"/>
    <n v="2"/>
    <n v="171.46"/>
    <n v="342.92"/>
    <s v="Net Banking"/>
    <s v="Repeat Customer"/>
  </r>
  <r>
    <n v="10522"/>
    <s v="CUST233"/>
    <d v="2025-11-02T00:00:00"/>
    <s v="Sports"/>
    <x v="2"/>
    <n v="5"/>
    <n v="98.24"/>
    <n v="491.2"/>
    <s v="Credit Card"/>
    <s v="Repeat Customer"/>
  </r>
  <r>
    <n v="10523"/>
    <s v="CUST306"/>
    <d v="2025-11-07T00:00:00"/>
    <s v="Electronics"/>
    <x v="3"/>
    <n v="6"/>
    <n v="341.97"/>
    <n v="2051.8200000000002"/>
    <s v="Net Banking"/>
    <s v="Repeat Customer"/>
  </r>
  <r>
    <n v="10524"/>
    <s v="CUST232"/>
    <d v="2025-03-04T00:00:00"/>
    <s v="Electronics"/>
    <x v="2"/>
    <n v="7"/>
    <n v="197.2"/>
    <n v="1380.4"/>
    <s v="Net Banking"/>
    <s v="Repeat Customer"/>
  </r>
  <r>
    <n v="10525"/>
    <s v="CUST213"/>
    <d v="2025-12-03T00:00:00"/>
    <s v="Beauty"/>
    <x v="1"/>
    <n v="9"/>
    <n v="320.97000000000003"/>
    <n v="2888.73"/>
    <s v="Net Banking"/>
    <s v="Repeat Customer"/>
  </r>
  <r>
    <n v="10526"/>
    <s v="CUST187"/>
    <d v="2025-11-04T00:00:00"/>
    <s v="Electronics"/>
    <x v="3"/>
    <n v="9"/>
    <n v="94.66"/>
    <n v="851.94"/>
    <s v="UPI"/>
    <s v="Repeat Customer"/>
  </r>
  <r>
    <n v="10527"/>
    <s v="CUST232"/>
    <d v="2025-07-26T00:00:00"/>
    <s v="Home"/>
    <x v="0"/>
    <n v="3"/>
    <n v="473.73"/>
    <n v="1421.19"/>
    <s v="UPI"/>
    <s v="Repeat Customer"/>
  </r>
  <r>
    <n v="10528"/>
    <s v="CUST281"/>
    <d v="2024-08-16T00:00:00"/>
    <s v="Home"/>
    <x v="1"/>
    <n v="5"/>
    <n v="213.13"/>
    <n v="1065.6500000000001"/>
    <s v="Net Banking"/>
    <s v="Repeat Customer"/>
  </r>
  <r>
    <n v="10529"/>
    <s v="CUST399"/>
    <d v="2024-10-28T00:00:00"/>
    <s v="Beauty"/>
    <x v="0"/>
    <n v="8"/>
    <n v="426.35"/>
    <n v="3410.8"/>
    <s v="Credit Card"/>
    <s v="Repeat Customer"/>
  </r>
  <r>
    <n v="10530"/>
    <s v="CUST341"/>
    <d v="2024-07-18T00:00:00"/>
    <s v="Beauty"/>
    <x v="1"/>
    <n v="9"/>
    <n v="64.31"/>
    <n v="578.79"/>
    <s v="Wallet"/>
    <s v="Repeat Customer"/>
  </r>
  <r>
    <n v="10531"/>
    <s v="CUST127"/>
    <d v="2024-06-03T00:00:00"/>
    <s v="Home"/>
    <x v="3"/>
    <n v="3"/>
    <n v="496.21"/>
    <n v="1488.63"/>
    <s v="Wallet"/>
    <s v="Repeat Customer"/>
  </r>
  <r>
    <n v="10532"/>
    <s v="CUST173"/>
    <d v="2024-11-19T00:00:00"/>
    <s v="Beauty"/>
    <x v="1"/>
    <n v="3"/>
    <n v="390.58"/>
    <n v="1171.74"/>
    <s v="UPI"/>
    <s v="Repeat Customer"/>
  </r>
  <r>
    <n v="10533"/>
    <s v="CUST260"/>
    <d v="2025-10-11T00:00:00"/>
    <s v="Home"/>
    <x v="2"/>
    <n v="1"/>
    <n v="7.33"/>
    <n v="7.33"/>
    <s v="UPI"/>
    <s v="Repeat Customer"/>
  </r>
  <r>
    <n v="10534"/>
    <s v="CUST395"/>
    <d v="2024-06-11T00:00:00"/>
    <s v="Electronics"/>
    <x v="2"/>
    <n v="8"/>
    <n v="393.68"/>
    <n v="3149.44"/>
    <s v="Wallet"/>
    <s v="Repeat Customer"/>
  </r>
  <r>
    <n v="10535"/>
    <s v="CUST319"/>
    <d v="2025-02-17T00:00:00"/>
    <s v="Beauty"/>
    <x v="0"/>
    <n v="7"/>
    <n v="482.84"/>
    <n v="3379.88"/>
    <s v="Credit Card"/>
    <s v="Repeat Customer"/>
  </r>
  <r>
    <n v="10536"/>
    <s v="CUST373"/>
    <d v="2024-07-23T00:00:00"/>
    <s v="Home"/>
    <x v="2"/>
    <n v="6"/>
    <n v="475.28"/>
    <n v="2851.68"/>
    <s v="Credit Card"/>
    <s v="Repeat Customer"/>
  </r>
  <r>
    <n v="10537"/>
    <s v="CUST102"/>
    <d v="2025-10-03T00:00:00"/>
    <s v="Home"/>
    <x v="1"/>
    <n v="4"/>
    <n v="117"/>
    <n v="468"/>
    <s v="UPI"/>
    <s v="Repeat Customer"/>
  </r>
  <r>
    <n v="10538"/>
    <s v="CUST152"/>
    <d v="2025-01-27T00:00:00"/>
    <s v="Fashion"/>
    <x v="0"/>
    <n v="9"/>
    <n v="296.39"/>
    <n v="2667.51"/>
    <s v="Credit Card"/>
    <s v="Repeat Customer"/>
  </r>
  <r>
    <n v="10539"/>
    <s v="CUST252"/>
    <d v="2024-10-24T00:00:00"/>
    <s v="Sports"/>
    <x v="1"/>
    <n v="8"/>
    <n v="365.28"/>
    <n v="2922.24"/>
    <s v="Wallet"/>
    <s v="Repeat Customer"/>
  </r>
  <r>
    <n v="10540"/>
    <s v="CUST168"/>
    <d v="2024-12-16T00:00:00"/>
    <s v="Fashion"/>
    <x v="2"/>
    <n v="8"/>
    <n v="182.83"/>
    <n v="1462.64"/>
    <s v="Wallet"/>
    <s v="Repeat Customer"/>
  </r>
  <r>
    <n v="10541"/>
    <s v="CUST109"/>
    <d v="2024-08-21T00:00:00"/>
    <s v="Fashion"/>
    <x v="2"/>
    <n v="4"/>
    <n v="364.95"/>
    <n v="1459.8"/>
    <s v="Credit Card"/>
    <s v="Repeat Customer"/>
  </r>
  <r>
    <n v="10542"/>
    <s v="CUST358"/>
    <d v="2024-06-22T00:00:00"/>
    <s v="Electronics"/>
    <x v="3"/>
    <n v="2"/>
    <n v="186.46"/>
    <n v="372.92"/>
    <s v="Net Banking"/>
    <s v="Repeat Customer"/>
  </r>
  <r>
    <n v="10543"/>
    <s v="CUST373"/>
    <d v="2025-09-30T00:00:00"/>
    <s v="Electronics"/>
    <x v="0"/>
    <n v="1"/>
    <n v="298.99"/>
    <n v="298.99"/>
    <s v="Credit Card"/>
    <s v="Repeat Customer"/>
  </r>
  <r>
    <n v="10544"/>
    <s v="CUST124"/>
    <d v="2025-12-07T00:00:00"/>
    <s v="Beauty"/>
    <x v="0"/>
    <n v="2"/>
    <n v="211.3"/>
    <n v="422.6"/>
    <s v="Net Banking"/>
    <s v="Repeat Customer"/>
  </r>
  <r>
    <n v="10545"/>
    <s v="CUST342"/>
    <d v="2025-12-19T00:00:00"/>
    <s v="Electronics"/>
    <x v="1"/>
    <n v="3"/>
    <n v="106.72"/>
    <n v="320.16000000000003"/>
    <s v="Wallet"/>
    <s v="Repeat Customer"/>
  </r>
  <r>
    <n v="10546"/>
    <s v="CUST151"/>
    <d v="2025-11-09T00:00:00"/>
    <s v="Sports"/>
    <x v="2"/>
    <n v="9"/>
    <n v="138.63999999999999"/>
    <n v="1247.76"/>
    <s v="Wallet"/>
    <s v="Repeat Customer"/>
  </r>
  <r>
    <n v="10547"/>
    <s v="CUST153"/>
    <d v="2025-06-07T00:00:00"/>
    <s v="Electronics"/>
    <x v="0"/>
    <n v="10"/>
    <n v="63.28"/>
    <n v="632.79999999999995"/>
    <s v="Wallet"/>
    <s v="Repeat Customer"/>
  </r>
  <r>
    <n v="10548"/>
    <s v="CUST201"/>
    <d v="2025-09-15T00:00:00"/>
    <s v="Sports"/>
    <x v="2"/>
    <n v="4"/>
    <n v="390.09"/>
    <n v="1560.36"/>
    <s v="Net Banking"/>
    <s v="Repeat Customer"/>
  </r>
  <r>
    <n v="10549"/>
    <s v="CUST309"/>
    <d v="2024-10-29T00:00:00"/>
    <s v="Beauty"/>
    <x v="2"/>
    <n v="3"/>
    <n v="24.51"/>
    <n v="73.53"/>
    <s v="Wallet"/>
    <s v="Repeat Customer"/>
  </r>
  <r>
    <n v="10550"/>
    <s v="CUST269"/>
    <d v="2024-08-28T00:00:00"/>
    <s v="Electronics"/>
    <x v="0"/>
    <n v="1"/>
    <n v="11.31"/>
    <n v="11.31"/>
    <s v="Wallet"/>
    <s v="Repeat Customer"/>
  </r>
  <r>
    <n v="10551"/>
    <s v="CUST176"/>
    <d v="2024-04-02T00:00:00"/>
    <s v="Electronics"/>
    <x v="1"/>
    <n v="9"/>
    <n v="42.15"/>
    <n v="379.35"/>
    <s v="UPI"/>
    <s v="Repeat Customer"/>
  </r>
  <r>
    <n v="10552"/>
    <s v="CUST333"/>
    <d v="2024-10-30T00:00:00"/>
    <s v="Electronics"/>
    <x v="2"/>
    <n v="5"/>
    <n v="234.82"/>
    <n v="1174.0999999999999"/>
    <s v="Credit Card"/>
    <s v="Repeat Customer"/>
  </r>
  <r>
    <n v="10553"/>
    <s v="CUST248"/>
    <d v="2025-01-03T00:00:00"/>
    <s v="Electronics"/>
    <x v="0"/>
    <n v="6"/>
    <n v="215.87"/>
    <n v="1295.22"/>
    <s v="Credit Card"/>
    <s v="Repeat Customer"/>
  </r>
  <r>
    <n v="10554"/>
    <s v="CUST104"/>
    <d v="2024-05-21T00:00:00"/>
    <s v="Beauty"/>
    <x v="1"/>
    <n v="3"/>
    <n v="167.69"/>
    <n v="503.07"/>
    <s v="Credit Card"/>
    <s v="Repeat Customer"/>
  </r>
  <r>
    <n v="10555"/>
    <s v="CUST290"/>
    <d v="2024-12-16T00:00:00"/>
    <s v="Beauty"/>
    <x v="3"/>
    <n v="3"/>
    <n v="61.35"/>
    <n v="184.05"/>
    <s v="Net Banking"/>
    <s v="Repeat Customer"/>
  </r>
  <r>
    <n v="10556"/>
    <s v="CUST297"/>
    <d v="2025-12-07T00:00:00"/>
    <s v="Fashion"/>
    <x v="0"/>
    <n v="8"/>
    <n v="400.95"/>
    <n v="3207.6"/>
    <s v="UPI"/>
    <s v="Repeat Customer"/>
  </r>
  <r>
    <n v="10557"/>
    <s v="CUST130"/>
    <d v="2024-06-12T00:00:00"/>
    <s v="Sports"/>
    <x v="3"/>
    <n v="2"/>
    <n v="210.93"/>
    <n v="421.86"/>
    <s v="Wallet"/>
    <s v="Repeat Customer"/>
  </r>
  <r>
    <n v="10558"/>
    <s v="CUST192"/>
    <d v="2025-09-17T00:00:00"/>
    <s v="Sports"/>
    <x v="0"/>
    <n v="7"/>
    <n v="390.69"/>
    <n v="2734.83"/>
    <s v="UPI"/>
    <s v="Repeat Customer"/>
  </r>
  <r>
    <n v="10559"/>
    <s v="CUST347"/>
    <d v="2025-05-14T00:00:00"/>
    <s v="Beauty"/>
    <x v="0"/>
    <n v="2"/>
    <n v="444.36"/>
    <n v="888.72"/>
    <s v="Credit Card"/>
    <s v="Repeat Customer"/>
  </r>
  <r>
    <n v="10560"/>
    <s v="CUST233"/>
    <d v="2025-11-01T00:00:00"/>
    <s v="Sports"/>
    <x v="2"/>
    <n v="6"/>
    <n v="11.12"/>
    <n v="66.72"/>
    <s v="Net Banking"/>
    <s v="Repeat Customer"/>
  </r>
  <r>
    <n v="10561"/>
    <s v="CUST365"/>
    <d v="2025-06-19T00:00:00"/>
    <s v="Fashion"/>
    <x v="3"/>
    <n v="10"/>
    <n v="52.14"/>
    <n v="521.4"/>
    <s v="Net Banking"/>
    <s v="Repeat Customer"/>
  </r>
  <r>
    <n v="10562"/>
    <s v="CUST297"/>
    <d v="2024-06-01T00:00:00"/>
    <s v="Sports"/>
    <x v="0"/>
    <n v="9"/>
    <n v="446.57"/>
    <n v="4019.13"/>
    <s v="Credit Card"/>
    <s v="Repeat Customer"/>
  </r>
  <r>
    <n v="10563"/>
    <s v="CUST180"/>
    <d v="2025-06-01T00:00:00"/>
    <s v="Fashion"/>
    <x v="0"/>
    <n v="8"/>
    <n v="426.68"/>
    <n v="3413.44"/>
    <s v="Wallet"/>
    <s v="Repeat Customer"/>
  </r>
  <r>
    <n v="10564"/>
    <s v="CUST264"/>
    <d v="2024-09-03T00:00:00"/>
    <s v="Electronics"/>
    <x v="2"/>
    <n v="6"/>
    <n v="485.22"/>
    <n v="2911.32"/>
    <s v="Wallet"/>
    <s v="Repeat Customer"/>
  </r>
  <r>
    <n v="10565"/>
    <s v="CUST306"/>
    <d v="2024-08-28T00:00:00"/>
    <s v="Sports"/>
    <x v="3"/>
    <n v="2"/>
    <n v="232.25"/>
    <n v="464.5"/>
    <s v="Credit Card"/>
    <s v="Repeat Customer"/>
  </r>
  <r>
    <n v="10566"/>
    <s v="CUST355"/>
    <d v="2025-04-02T00:00:00"/>
    <s v="Beauty"/>
    <x v="0"/>
    <n v="6"/>
    <n v="63.76"/>
    <n v="382.56"/>
    <s v="Credit Card"/>
    <s v="Repeat Customer"/>
  </r>
  <r>
    <n v="10567"/>
    <s v="CUST306"/>
    <d v="2025-02-26T00:00:00"/>
    <s v="Electronics"/>
    <x v="0"/>
    <n v="1"/>
    <n v="280.77999999999997"/>
    <n v="280.77999999999997"/>
    <s v="Net Banking"/>
    <s v="Repeat Customer"/>
  </r>
  <r>
    <n v="10568"/>
    <s v="CUST360"/>
    <d v="2025-07-29T00:00:00"/>
    <s v="Beauty"/>
    <x v="1"/>
    <n v="4"/>
    <n v="329.03"/>
    <n v="1316.12"/>
    <s v="Net Banking"/>
    <s v="Repeat Customer"/>
  </r>
  <r>
    <n v="10569"/>
    <s v="CUST127"/>
    <d v="2024-08-16T00:00:00"/>
    <s v="Sports"/>
    <x v="3"/>
    <n v="8"/>
    <n v="169.33"/>
    <n v="1354.64"/>
    <s v="Net Banking"/>
    <s v="Repeat Customer"/>
  </r>
  <r>
    <n v="10570"/>
    <s v="CUST331"/>
    <d v="2024-04-26T00:00:00"/>
    <s v="Fashion"/>
    <x v="0"/>
    <n v="2"/>
    <n v="380.86"/>
    <n v="761.72"/>
    <s v="Net Banking"/>
    <s v="Repeat Customer"/>
  </r>
  <r>
    <n v="10571"/>
    <s v="CUST281"/>
    <d v="2025-10-10T00:00:00"/>
    <s v="Home"/>
    <x v="0"/>
    <n v="5"/>
    <n v="276.11"/>
    <n v="1380.55"/>
    <s v="Credit Card"/>
    <s v="Repeat Customer"/>
  </r>
  <r>
    <n v="10572"/>
    <s v="CUST184"/>
    <d v="2025-05-19T00:00:00"/>
    <s v="Beauty"/>
    <x v="0"/>
    <n v="3"/>
    <n v="411.81"/>
    <n v="1235.43"/>
    <s v="Net Banking"/>
    <s v="Repeat Customer"/>
  </r>
  <r>
    <n v="10573"/>
    <s v="CUST200"/>
    <d v="2024-07-11T00:00:00"/>
    <s v="Beauty"/>
    <x v="2"/>
    <n v="2"/>
    <n v="465.46"/>
    <n v="930.92"/>
    <s v="Wallet"/>
    <s v="Repeat Customer"/>
  </r>
  <r>
    <n v="10574"/>
    <s v="CUST197"/>
    <d v="2024-12-12T00:00:00"/>
    <s v="Electronics"/>
    <x v="0"/>
    <n v="2"/>
    <n v="379.79"/>
    <n v="759.58"/>
    <s v="Wallet"/>
    <s v="Repeat Customer"/>
  </r>
  <r>
    <n v="10575"/>
    <s v="CUST334"/>
    <d v="2025-11-05T00:00:00"/>
    <s v="Fashion"/>
    <x v="3"/>
    <n v="10"/>
    <n v="478.31"/>
    <n v="4783.1000000000004"/>
    <s v="Credit Card"/>
    <s v="Repeat Customer"/>
  </r>
  <r>
    <n v="10576"/>
    <s v="CUST371"/>
    <d v="2024-02-19T00:00:00"/>
    <s v="Sports"/>
    <x v="3"/>
    <n v="9"/>
    <n v="467.98"/>
    <n v="4211.82"/>
    <s v="UPI"/>
    <s v="Repeat Customer"/>
  </r>
  <r>
    <n v="10577"/>
    <s v="CUST396"/>
    <d v="2024-06-26T00:00:00"/>
    <s v="Sports"/>
    <x v="1"/>
    <n v="3"/>
    <n v="56.26"/>
    <n v="168.78"/>
    <s v="Wallet"/>
    <s v="Repeat Customer"/>
  </r>
  <r>
    <n v="10578"/>
    <s v="CUST314"/>
    <d v="2025-09-15T00:00:00"/>
    <s v="Home"/>
    <x v="1"/>
    <n v="4"/>
    <n v="140.43"/>
    <n v="561.72"/>
    <s v="Wallet"/>
    <s v="Repeat Customer"/>
  </r>
  <r>
    <n v="10579"/>
    <s v="CUST168"/>
    <d v="2024-05-21T00:00:00"/>
    <s v="Sports"/>
    <x v="1"/>
    <n v="7"/>
    <n v="303.25"/>
    <n v="2122.75"/>
    <s v="Net Banking"/>
    <s v="Repeat Customer"/>
  </r>
  <r>
    <n v="10580"/>
    <s v="CUST383"/>
    <d v="2025-10-09T00:00:00"/>
    <s v="Sports"/>
    <x v="1"/>
    <n v="4"/>
    <n v="104.44"/>
    <n v="417.76"/>
    <s v="Net Banking"/>
    <s v="Repeat Customer"/>
  </r>
  <r>
    <n v="10581"/>
    <s v="CUST167"/>
    <d v="2025-12-28T00:00:00"/>
    <s v="Home"/>
    <x v="0"/>
    <n v="3"/>
    <n v="254.43"/>
    <n v="763.29"/>
    <s v="Net Banking"/>
    <s v="Repeat Customer"/>
  </r>
  <r>
    <n v="10582"/>
    <s v="CUST387"/>
    <d v="2025-05-06T00:00:00"/>
    <s v="Beauty"/>
    <x v="1"/>
    <n v="10"/>
    <n v="287.47000000000003"/>
    <n v="2874.7"/>
    <s v="Wallet"/>
    <s v="Repeat Customer"/>
  </r>
  <r>
    <n v="10583"/>
    <s v="CUST106"/>
    <d v="2025-06-19T00:00:00"/>
    <s v="Fashion"/>
    <x v="0"/>
    <n v="2"/>
    <n v="17.510000000000002"/>
    <n v="35.020000000000003"/>
    <s v="Credit Card"/>
    <s v="Repeat Customer"/>
  </r>
  <r>
    <n v="10584"/>
    <s v="CUST202"/>
    <d v="2024-09-30T00:00:00"/>
    <s v="Home"/>
    <x v="2"/>
    <n v="3"/>
    <n v="491.85"/>
    <n v="1475.55"/>
    <s v="Credit Card"/>
    <s v="Repeat Customer"/>
  </r>
  <r>
    <n v="10585"/>
    <s v="CUST251"/>
    <d v="2024-07-27T00:00:00"/>
    <s v="Beauty"/>
    <x v="0"/>
    <n v="9"/>
    <n v="20.99"/>
    <n v="188.91"/>
    <s v="UPI"/>
    <s v="Repeat Customer"/>
  </r>
  <r>
    <n v="10586"/>
    <s v="CUST387"/>
    <d v="2025-02-02T00:00:00"/>
    <s v="Home"/>
    <x v="0"/>
    <n v="4"/>
    <n v="257.91000000000003"/>
    <n v="1031.6400000000001"/>
    <s v="Wallet"/>
    <s v="Repeat Customer"/>
  </r>
  <r>
    <n v="10587"/>
    <s v="CUST298"/>
    <d v="2025-03-02T00:00:00"/>
    <s v="Electronics"/>
    <x v="0"/>
    <n v="6"/>
    <n v="483.09"/>
    <n v="2898.54"/>
    <s v="Net Banking"/>
    <s v="Repeat Customer"/>
  </r>
  <r>
    <n v="10588"/>
    <s v="CUST203"/>
    <d v="2025-09-27T00:00:00"/>
    <s v="Home"/>
    <x v="2"/>
    <n v="8"/>
    <n v="415.84"/>
    <n v="3326.72"/>
    <s v="UPI"/>
    <s v="Repeat Customer"/>
  </r>
  <r>
    <n v="10589"/>
    <s v="CUST250"/>
    <d v="2025-04-04T00:00:00"/>
    <s v="Electronics"/>
    <x v="2"/>
    <n v="3"/>
    <n v="491.81"/>
    <n v="1475.43"/>
    <s v="UPI"/>
    <s v="Repeat Customer"/>
  </r>
  <r>
    <n v="10590"/>
    <s v="CUST363"/>
    <d v="2024-05-02T00:00:00"/>
    <s v="Home"/>
    <x v="1"/>
    <n v="7"/>
    <n v="25.11"/>
    <n v="175.77"/>
    <s v="UPI"/>
    <s v="Repeat Customer"/>
  </r>
  <r>
    <n v="10591"/>
    <s v="CUST182"/>
    <d v="2025-08-21T00:00:00"/>
    <s v="Beauty"/>
    <x v="2"/>
    <n v="5"/>
    <n v="7.79"/>
    <n v="38.950000000000003"/>
    <s v="Credit Card"/>
    <s v="Repeat Customer"/>
  </r>
  <r>
    <n v="10592"/>
    <s v="CUST178"/>
    <d v="2024-11-26T00:00:00"/>
    <s v="Sports"/>
    <x v="1"/>
    <n v="10"/>
    <n v="30.17"/>
    <n v="301.7"/>
    <s v="Wallet"/>
    <s v="Repeat Customer"/>
  </r>
  <r>
    <n v="10593"/>
    <s v="CUST393"/>
    <d v="2025-07-17T00:00:00"/>
    <s v="Home"/>
    <x v="2"/>
    <n v="6"/>
    <n v="41.08"/>
    <n v="246.48"/>
    <s v="UPI"/>
    <s v="Repeat Customer"/>
  </r>
  <r>
    <n v="10594"/>
    <s v="CUST366"/>
    <d v="2024-03-10T00:00:00"/>
    <s v="Sports"/>
    <x v="3"/>
    <n v="9"/>
    <n v="83.89"/>
    <n v="755.01"/>
    <s v="Credit Card"/>
    <s v="Repeat Customer"/>
  </r>
  <r>
    <n v="10595"/>
    <s v="CUST278"/>
    <d v="2024-08-14T00:00:00"/>
    <s v="Home"/>
    <x v="1"/>
    <n v="4"/>
    <n v="333.35"/>
    <n v="1333.4"/>
    <s v="Net Banking"/>
    <s v="Repeat Customer"/>
  </r>
  <r>
    <n v="10596"/>
    <s v="CUST211"/>
    <d v="2025-09-25T00:00:00"/>
    <s v="Sports"/>
    <x v="0"/>
    <n v="9"/>
    <n v="240.05"/>
    <n v="2160.4499999999998"/>
    <s v="Credit Card"/>
    <s v="Repeat Customer"/>
  </r>
  <r>
    <n v="10597"/>
    <s v="CUST277"/>
    <d v="2025-04-01T00:00:00"/>
    <s v="Sports"/>
    <x v="2"/>
    <n v="4"/>
    <n v="452.73"/>
    <n v="1810.92"/>
    <s v="Credit Card"/>
    <s v="Repeat Customer"/>
  </r>
  <r>
    <n v="10598"/>
    <s v="CUST264"/>
    <d v="2025-01-25T00:00:00"/>
    <s v="Sports"/>
    <x v="1"/>
    <n v="2"/>
    <n v="196.01"/>
    <n v="392.02"/>
    <s v="Credit Card"/>
    <s v="Repeat Customer"/>
  </r>
  <r>
    <n v="10599"/>
    <s v="CUST364"/>
    <d v="2025-01-18T00:00:00"/>
    <s v="Beauty"/>
    <x v="3"/>
    <n v="9"/>
    <n v="402.39"/>
    <n v="3621.51"/>
    <s v="Credit Card"/>
    <s v="Repeat Customer"/>
  </r>
  <r>
    <n v="10600"/>
    <s v="CUST251"/>
    <d v="2025-10-29T00:00:00"/>
    <s v="Electronics"/>
    <x v="0"/>
    <n v="4"/>
    <n v="163.55000000000001"/>
    <n v="654.20000000000005"/>
    <s v="UPI"/>
    <s v="Repeat Customer"/>
  </r>
  <r>
    <n v="10601"/>
    <s v="CUST375"/>
    <d v="2025-06-30T00:00:00"/>
    <s v="Fashion"/>
    <x v="2"/>
    <n v="1"/>
    <n v="315.33"/>
    <n v="315.33"/>
    <s v="Wallet"/>
    <s v="Repeat Customer"/>
  </r>
  <r>
    <n v="10602"/>
    <s v="CUST153"/>
    <d v="2024-07-29T00:00:00"/>
    <s v="Beauty"/>
    <x v="0"/>
    <n v="9"/>
    <n v="415.23"/>
    <n v="3737.07"/>
    <s v="UPI"/>
    <s v="Repeat Customer"/>
  </r>
  <r>
    <n v="10603"/>
    <s v="CUST112"/>
    <d v="2025-04-15T00:00:00"/>
    <s v="Electronics"/>
    <x v="0"/>
    <n v="6"/>
    <n v="23.75"/>
    <n v="142.5"/>
    <s v="UPI"/>
    <s v="Repeat Customer"/>
  </r>
  <r>
    <n v="10604"/>
    <s v="CUST228"/>
    <d v="2025-07-25T00:00:00"/>
    <s v="Fashion"/>
    <x v="1"/>
    <n v="2"/>
    <n v="289.61"/>
    <n v="579.22"/>
    <s v="Wallet"/>
    <s v="Repeat Customer"/>
  </r>
  <r>
    <n v="10605"/>
    <s v="CUST298"/>
    <d v="2025-04-06T00:00:00"/>
    <s v="Electronics"/>
    <x v="3"/>
    <n v="7"/>
    <n v="219.35"/>
    <n v="1535.45"/>
    <s v="Credit Card"/>
    <s v="Repeat Customer"/>
  </r>
  <r>
    <n v="10606"/>
    <s v="CUST373"/>
    <d v="2024-01-07T00:00:00"/>
    <s v="Sports"/>
    <x v="0"/>
    <n v="10"/>
    <n v="36.299999999999997"/>
    <n v="363"/>
    <s v="Credit Card"/>
    <s v="Repeat Customer"/>
  </r>
  <r>
    <n v="10607"/>
    <s v="CUST283"/>
    <d v="2025-05-29T00:00:00"/>
    <s v="Home"/>
    <x v="0"/>
    <n v="2"/>
    <n v="148.47"/>
    <n v="296.94"/>
    <s v="Net Banking"/>
    <s v="Repeat Customer"/>
  </r>
  <r>
    <n v="10608"/>
    <s v="CUST324"/>
    <d v="2025-01-25T00:00:00"/>
    <s v="Electronics"/>
    <x v="3"/>
    <n v="7"/>
    <n v="411.95"/>
    <n v="2883.65"/>
    <s v="UPI"/>
    <s v="Repeat Customer"/>
  </r>
  <r>
    <n v="10609"/>
    <s v="CUST373"/>
    <d v="2024-08-13T00:00:00"/>
    <s v="Sports"/>
    <x v="1"/>
    <n v="3"/>
    <n v="374.64"/>
    <n v="1123.92"/>
    <s v="UPI"/>
    <s v="Repeat Customer"/>
  </r>
  <r>
    <n v="10610"/>
    <s v="CUST252"/>
    <d v="2025-11-24T00:00:00"/>
    <s v="Electronics"/>
    <x v="2"/>
    <n v="6"/>
    <n v="478.91"/>
    <n v="2873.46"/>
    <s v="Credit Card"/>
    <s v="Repeat Customer"/>
  </r>
  <r>
    <n v="10611"/>
    <s v="CUST121"/>
    <d v="2024-01-06T00:00:00"/>
    <s v="Sports"/>
    <x v="0"/>
    <n v="10"/>
    <n v="300.33999999999997"/>
    <n v="3003.4"/>
    <s v="Net Banking"/>
    <s v="Repeat Customer"/>
  </r>
  <r>
    <n v="10612"/>
    <s v="CUST207"/>
    <d v="2024-12-18T00:00:00"/>
    <s v="Sports"/>
    <x v="2"/>
    <n v="4"/>
    <n v="209.26"/>
    <n v="837.04"/>
    <s v="UPI"/>
    <s v="Repeat Customer"/>
  </r>
  <r>
    <n v="10613"/>
    <s v="CUST194"/>
    <d v="2024-08-14T00:00:00"/>
    <s v="Fashion"/>
    <x v="0"/>
    <n v="10"/>
    <n v="418.2"/>
    <n v="4182"/>
    <s v="UPI"/>
    <s v="Repeat Customer"/>
  </r>
  <r>
    <n v="10614"/>
    <s v="CUST390"/>
    <d v="2024-02-25T00:00:00"/>
    <s v="Sports"/>
    <x v="0"/>
    <n v="9"/>
    <n v="233.33"/>
    <n v="2099.9699999999998"/>
    <s v="Net Banking"/>
    <s v="Repeat Customer"/>
  </r>
  <r>
    <n v="10615"/>
    <s v="CUST134"/>
    <d v="2024-09-13T00:00:00"/>
    <s v="Sports"/>
    <x v="3"/>
    <n v="2"/>
    <n v="102.72"/>
    <n v="205.44"/>
    <s v="Net Banking"/>
    <s v="Repeat Customer"/>
  </r>
  <r>
    <n v="10616"/>
    <s v="CUST282"/>
    <d v="2024-05-11T00:00:00"/>
    <s v="Sports"/>
    <x v="0"/>
    <n v="4"/>
    <n v="54.52"/>
    <n v="218.08"/>
    <s v="UPI"/>
    <s v="Repeat Customer"/>
  </r>
  <r>
    <n v="10617"/>
    <s v="CUST262"/>
    <d v="2025-05-12T00:00:00"/>
    <s v="Home"/>
    <x v="2"/>
    <n v="8"/>
    <n v="167.53"/>
    <n v="1340.24"/>
    <s v="Net Banking"/>
    <s v="Repeat Customer"/>
  </r>
  <r>
    <n v="10618"/>
    <s v="CUST261"/>
    <d v="2025-03-14T00:00:00"/>
    <s v="Fashion"/>
    <x v="2"/>
    <n v="3"/>
    <n v="7.39"/>
    <n v="22.17"/>
    <s v="Wallet"/>
    <s v="Repeat Customer"/>
  </r>
  <r>
    <n v="10619"/>
    <s v="CUST241"/>
    <d v="2025-01-03T00:00:00"/>
    <s v="Home"/>
    <x v="3"/>
    <n v="3"/>
    <n v="341.39"/>
    <n v="1024.17"/>
    <s v="Wallet"/>
    <s v="Repeat Customer"/>
  </r>
  <r>
    <n v="10620"/>
    <s v="CUST328"/>
    <d v="2025-01-02T00:00:00"/>
    <s v="Electronics"/>
    <x v="2"/>
    <n v="5"/>
    <n v="246.05"/>
    <n v="1230.25"/>
    <s v="Credit Card"/>
    <s v="Repeat Customer"/>
  </r>
  <r>
    <n v="10621"/>
    <s v="CUST243"/>
    <d v="2024-05-23T00:00:00"/>
    <s v="Electronics"/>
    <x v="0"/>
    <n v="9"/>
    <n v="102.23"/>
    <n v="920.07"/>
    <s v="Credit Card"/>
    <s v="Repeat Customer"/>
  </r>
  <r>
    <n v="10622"/>
    <s v="CUST359"/>
    <d v="2025-10-08T00:00:00"/>
    <s v="Sports"/>
    <x v="3"/>
    <n v="1"/>
    <n v="407.26"/>
    <n v="407.26"/>
    <s v="UPI"/>
    <s v="Repeat Customer"/>
  </r>
  <r>
    <n v="10623"/>
    <s v="CUST118"/>
    <d v="2025-07-18T00:00:00"/>
    <s v="Sports"/>
    <x v="3"/>
    <n v="5"/>
    <n v="274.02"/>
    <n v="1370.1"/>
    <s v="UPI"/>
    <s v="Repeat Customer"/>
  </r>
  <r>
    <n v="10624"/>
    <s v="CUST287"/>
    <d v="2025-02-05T00:00:00"/>
    <s v="Sports"/>
    <x v="1"/>
    <n v="4"/>
    <n v="446.26"/>
    <n v="1785.04"/>
    <s v="UPI"/>
    <s v="Repeat Customer"/>
  </r>
  <r>
    <n v="10625"/>
    <s v="CUST337"/>
    <d v="2025-05-28T00:00:00"/>
    <s v="Home"/>
    <x v="0"/>
    <n v="9"/>
    <n v="49.82"/>
    <n v="448.38"/>
    <s v="UPI"/>
    <s v="Repeat Customer"/>
  </r>
  <r>
    <n v="10626"/>
    <s v="CUST184"/>
    <d v="2025-06-10T00:00:00"/>
    <s v="Fashion"/>
    <x v="2"/>
    <n v="3"/>
    <n v="225.88"/>
    <n v="677.64"/>
    <s v="Wallet"/>
    <s v="Repeat Customer"/>
  </r>
  <r>
    <n v="10627"/>
    <s v="CUST283"/>
    <d v="2024-02-11T00:00:00"/>
    <s v="Fashion"/>
    <x v="0"/>
    <n v="4"/>
    <n v="381.93"/>
    <n v="1527.72"/>
    <s v="Net Banking"/>
    <s v="Repeat Customer"/>
  </r>
  <r>
    <n v="10628"/>
    <s v="CUST289"/>
    <d v="2024-08-27T00:00:00"/>
    <s v="Sports"/>
    <x v="1"/>
    <n v="1"/>
    <n v="335.95"/>
    <n v="335.95"/>
    <s v="Wallet"/>
    <s v="Repeat Customer"/>
  </r>
  <r>
    <n v="10629"/>
    <s v="CUST340"/>
    <d v="2025-04-10T00:00:00"/>
    <s v="Home"/>
    <x v="0"/>
    <n v="1"/>
    <n v="24.75"/>
    <n v="24.75"/>
    <s v="Net Banking"/>
    <s v="Repeat Customer"/>
  </r>
  <r>
    <n v="10630"/>
    <s v="CUST234"/>
    <d v="2025-08-15T00:00:00"/>
    <s v="Beauty"/>
    <x v="3"/>
    <n v="9"/>
    <n v="287.23"/>
    <n v="2585.0700000000002"/>
    <s v="Net Banking"/>
    <s v="New Customer"/>
  </r>
  <r>
    <n v="10631"/>
    <s v="CUST139"/>
    <d v="2025-06-13T00:00:00"/>
    <s v="Fashion"/>
    <x v="3"/>
    <n v="5"/>
    <n v="191.28"/>
    <n v="956.4"/>
    <s v="Net Banking"/>
    <s v="Repeat Customer"/>
  </r>
  <r>
    <n v="10632"/>
    <s v="CUST276"/>
    <d v="2025-05-13T00:00:00"/>
    <s v="Electronics"/>
    <x v="2"/>
    <n v="8"/>
    <n v="444.15"/>
    <n v="3553.2"/>
    <s v="Wallet"/>
    <s v="Repeat Customer"/>
  </r>
  <r>
    <n v="10633"/>
    <s v="CUST184"/>
    <d v="2024-08-23T00:00:00"/>
    <s v="Home"/>
    <x v="2"/>
    <n v="2"/>
    <n v="259.7"/>
    <n v="519.4"/>
    <s v="UPI"/>
    <s v="Repeat Customer"/>
  </r>
  <r>
    <n v="10634"/>
    <s v="CUST195"/>
    <d v="2024-06-10T00:00:00"/>
    <s v="Electronics"/>
    <x v="2"/>
    <n v="6"/>
    <n v="303"/>
    <n v="1818"/>
    <s v="Wallet"/>
    <s v="Repeat Customer"/>
  </r>
  <r>
    <n v="10635"/>
    <s v="CUST269"/>
    <d v="2024-04-26T00:00:00"/>
    <s v="Beauty"/>
    <x v="2"/>
    <n v="8"/>
    <n v="339.24"/>
    <n v="2713.92"/>
    <s v="UPI"/>
    <s v="Repeat Customer"/>
  </r>
  <r>
    <n v="10636"/>
    <s v="CUST310"/>
    <d v="2024-01-23T00:00:00"/>
    <s v="Sports"/>
    <x v="2"/>
    <n v="4"/>
    <n v="26.36"/>
    <n v="105.44"/>
    <s v="UPI"/>
    <s v="Repeat Customer"/>
  </r>
  <r>
    <n v="10637"/>
    <s v="CUST362"/>
    <d v="2024-02-10T00:00:00"/>
    <s v="Fashion"/>
    <x v="1"/>
    <n v="10"/>
    <n v="77.7"/>
    <n v="777"/>
    <s v="UPI"/>
    <s v="Repeat Customer"/>
  </r>
  <r>
    <n v="10638"/>
    <s v="CUST364"/>
    <d v="2025-02-19T00:00:00"/>
    <s v="Electronics"/>
    <x v="1"/>
    <n v="10"/>
    <n v="484.78"/>
    <n v="4847.8"/>
    <s v="Credit Card"/>
    <s v="Repeat Customer"/>
  </r>
  <r>
    <n v="10639"/>
    <s v="CUST210"/>
    <d v="2025-04-04T00:00:00"/>
    <s v="Beauty"/>
    <x v="2"/>
    <n v="10"/>
    <n v="496.42"/>
    <n v="4964.2"/>
    <s v="UPI"/>
    <s v="Repeat Customer"/>
  </r>
  <r>
    <n v="10640"/>
    <s v="CUST310"/>
    <d v="2025-09-07T00:00:00"/>
    <s v="Fashion"/>
    <x v="1"/>
    <n v="3"/>
    <n v="398.33"/>
    <n v="1194.99"/>
    <s v="UPI"/>
    <s v="Repeat Customer"/>
  </r>
  <r>
    <n v="10641"/>
    <s v="CUST275"/>
    <d v="2025-04-09T00:00:00"/>
    <s v="Fashion"/>
    <x v="3"/>
    <n v="10"/>
    <n v="297.35000000000002"/>
    <n v="2973.5"/>
    <s v="Wallet"/>
    <s v="Repeat Customer"/>
  </r>
  <r>
    <n v="10642"/>
    <s v="CUST167"/>
    <d v="2024-04-21T00:00:00"/>
    <s v="Sports"/>
    <x v="3"/>
    <n v="1"/>
    <n v="105.16"/>
    <n v="105.16"/>
    <s v="UPI"/>
    <s v="Repeat Customer"/>
  </r>
  <r>
    <n v="10643"/>
    <s v="CUST149"/>
    <d v="2024-06-30T00:00:00"/>
    <s v="Sports"/>
    <x v="0"/>
    <n v="8"/>
    <n v="451.3"/>
    <n v="3610.4"/>
    <s v="Credit Card"/>
    <s v="Repeat Customer"/>
  </r>
  <r>
    <n v="10644"/>
    <s v="CUST147"/>
    <d v="2025-05-08T00:00:00"/>
    <s v="Sports"/>
    <x v="0"/>
    <n v="3"/>
    <n v="451.48"/>
    <n v="1354.44"/>
    <s v="Wallet"/>
    <s v="Repeat Customer"/>
  </r>
  <r>
    <n v="10645"/>
    <s v="CUST367"/>
    <d v="2025-03-06T00:00:00"/>
    <s v="Sports"/>
    <x v="3"/>
    <n v="6"/>
    <n v="438.04"/>
    <n v="2628.24"/>
    <s v="UPI"/>
    <s v="Repeat Customer"/>
  </r>
  <r>
    <n v="10646"/>
    <s v="CUST346"/>
    <d v="2025-01-25T00:00:00"/>
    <s v="Sports"/>
    <x v="0"/>
    <n v="6"/>
    <n v="296.58"/>
    <n v="1779.48"/>
    <s v="Wallet"/>
    <s v="Repeat Customer"/>
  </r>
  <r>
    <n v="10647"/>
    <s v="CUST168"/>
    <d v="2024-09-17T00:00:00"/>
    <s v="Electronics"/>
    <x v="1"/>
    <n v="8"/>
    <n v="384.1"/>
    <n v="3072.8"/>
    <s v="Wallet"/>
    <s v="Repeat Customer"/>
  </r>
  <r>
    <n v="10648"/>
    <s v="CUST231"/>
    <d v="2024-07-12T00:00:00"/>
    <s v="Electronics"/>
    <x v="0"/>
    <n v="1"/>
    <n v="356.03"/>
    <n v="356.03"/>
    <s v="Credit Card"/>
    <s v="Repeat Customer"/>
  </r>
  <r>
    <n v="10649"/>
    <s v="CUST292"/>
    <d v="2025-11-01T00:00:00"/>
    <s v="Home"/>
    <x v="3"/>
    <n v="4"/>
    <n v="345.44"/>
    <n v="1381.76"/>
    <s v="Net Banking"/>
    <s v="Repeat Customer"/>
  </r>
  <r>
    <n v="10650"/>
    <s v="CUST154"/>
    <d v="2024-06-07T00:00:00"/>
    <s v="Home"/>
    <x v="1"/>
    <n v="7"/>
    <n v="327.52999999999997"/>
    <n v="2292.71"/>
    <s v="Wallet"/>
    <s v="Repeat Customer"/>
  </r>
  <r>
    <n v="10651"/>
    <s v="CUST389"/>
    <d v="2025-01-09T00:00:00"/>
    <s v="Beauty"/>
    <x v="2"/>
    <n v="10"/>
    <n v="141.4"/>
    <n v="1414"/>
    <s v="Wallet"/>
    <s v="Repeat Customer"/>
  </r>
  <r>
    <n v="10652"/>
    <s v="CUST382"/>
    <d v="2025-07-24T00:00:00"/>
    <s v="Sports"/>
    <x v="3"/>
    <n v="8"/>
    <n v="93.47"/>
    <n v="747.76"/>
    <s v="Net Banking"/>
    <s v="Repeat Customer"/>
  </r>
  <r>
    <n v="10653"/>
    <s v="CUST257"/>
    <d v="2025-08-14T00:00:00"/>
    <s v="Beauty"/>
    <x v="2"/>
    <n v="6"/>
    <n v="388.23"/>
    <n v="2329.38"/>
    <s v="Credit Card"/>
    <s v="Repeat Customer"/>
  </r>
  <r>
    <n v="10654"/>
    <s v="CUST217"/>
    <d v="2025-04-02T00:00:00"/>
    <s v="Sports"/>
    <x v="3"/>
    <n v="3"/>
    <n v="54.64"/>
    <n v="163.92"/>
    <s v="Net Banking"/>
    <s v="Repeat Customer"/>
  </r>
  <r>
    <n v="10655"/>
    <s v="CUST381"/>
    <d v="2025-09-20T00:00:00"/>
    <s v="Electronics"/>
    <x v="0"/>
    <n v="1"/>
    <n v="84.57"/>
    <n v="84.57"/>
    <s v="UPI"/>
    <s v="Repeat Customer"/>
  </r>
  <r>
    <n v="10656"/>
    <s v="CUST341"/>
    <d v="2025-09-06T00:00:00"/>
    <s v="Home"/>
    <x v="2"/>
    <n v="7"/>
    <n v="48.63"/>
    <n v="340.41"/>
    <s v="Net Banking"/>
    <s v="Repeat Customer"/>
  </r>
  <r>
    <n v="10657"/>
    <s v="CUST140"/>
    <d v="2025-09-15T00:00:00"/>
    <s v="Beauty"/>
    <x v="1"/>
    <n v="1"/>
    <n v="363.62"/>
    <n v="363.62"/>
    <s v="Credit Card"/>
    <s v="Repeat Customer"/>
  </r>
  <r>
    <n v="10658"/>
    <s v="CUST189"/>
    <d v="2025-10-17T00:00:00"/>
    <s v="Fashion"/>
    <x v="1"/>
    <n v="8"/>
    <n v="222.29"/>
    <n v="1778.32"/>
    <s v="UPI"/>
    <s v="Repeat Customer"/>
  </r>
  <r>
    <n v="10659"/>
    <s v="CUST117"/>
    <d v="2025-09-05T00:00:00"/>
    <s v="Fashion"/>
    <x v="2"/>
    <n v="9"/>
    <n v="260.33"/>
    <n v="2342.9699999999998"/>
    <s v="Credit Card"/>
    <s v="Repeat Customer"/>
  </r>
  <r>
    <n v="10660"/>
    <s v="CUST284"/>
    <d v="2024-09-01T00:00:00"/>
    <s v="Electronics"/>
    <x v="1"/>
    <n v="1"/>
    <n v="487.94"/>
    <n v="487.94"/>
    <s v="Wallet"/>
    <s v="Repeat Customer"/>
  </r>
  <r>
    <n v="10661"/>
    <s v="CUST280"/>
    <d v="2025-11-16T00:00:00"/>
    <s v="Fashion"/>
    <x v="0"/>
    <n v="7"/>
    <n v="205.7"/>
    <n v="1439.9"/>
    <s v="Credit Card"/>
    <s v="Repeat Customer"/>
  </r>
  <r>
    <n v="10662"/>
    <s v="CUST146"/>
    <d v="2025-07-16T00:00:00"/>
    <s v="Sports"/>
    <x v="1"/>
    <n v="5"/>
    <n v="364.44"/>
    <n v="1822.2"/>
    <s v="Net Banking"/>
    <s v="Repeat Customer"/>
  </r>
  <r>
    <n v="10663"/>
    <s v="CUST241"/>
    <d v="2024-08-19T00:00:00"/>
    <s v="Beauty"/>
    <x v="3"/>
    <n v="10"/>
    <n v="481.71"/>
    <n v="4817.1000000000004"/>
    <s v="Credit Card"/>
    <s v="Repeat Customer"/>
  </r>
  <r>
    <n v="10664"/>
    <s v="CUST233"/>
    <d v="2024-06-28T00:00:00"/>
    <s v="Sports"/>
    <x v="0"/>
    <n v="7"/>
    <n v="255.59"/>
    <n v="1789.13"/>
    <s v="Net Banking"/>
    <s v="Repeat Customer"/>
  </r>
  <r>
    <n v="10665"/>
    <s v="CUST274"/>
    <d v="2024-04-29T00:00:00"/>
    <s v="Sports"/>
    <x v="1"/>
    <n v="9"/>
    <n v="478.57"/>
    <n v="4307.13"/>
    <s v="Wallet"/>
    <s v="Repeat Customer"/>
  </r>
  <r>
    <n v="10666"/>
    <s v="CUST293"/>
    <d v="2025-07-30T00:00:00"/>
    <s v="Home"/>
    <x v="3"/>
    <n v="8"/>
    <n v="386.13"/>
    <n v="3089.04"/>
    <s v="Wallet"/>
    <s v="Repeat Customer"/>
  </r>
  <r>
    <n v="10667"/>
    <s v="CUST114"/>
    <d v="2025-05-08T00:00:00"/>
    <s v="Beauty"/>
    <x v="2"/>
    <n v="2"/>
    <n v="132.62"/>
    <n v="265.24"/>
    <s v="UPI"/>
    <s v="Repeat Customer"/>
  </r>
  <r>
    <n v="10668"/>
    <s v="CUST261"/>
    <d v="2025-02-26T00:00:00"/>
    <s v="Electronics"/>
    <x v="1"/>
    <n v="6"/>
    <n v="260.67"/>
    <n v="1564.02"/>
    <s v="UPI"/>
    <s v="Repeat Customer"/>
  </r>
  <r>
    <n v="10669"/>
    <s v="CUST247"/>
    <d v="2024-04-05T00:00:00"/>
    <s v="Home"/>
    <x v="0"/>
    <n v="7"/>
    <n v="338.48"/>
    <n v="2369.36"/>
    <s v="UPI"/>
    <s v="Repeat Customer"/>
  </r>
  <r>
    <n v="10670"/>
    <s v="CUST343"/>
    <d v="2024-11-17T00:00:00"/>
    <s v="Sports"/>
    <x v="1"/>
    <n v="6"/>
    <n v="113.19"/>
    <n v="679.14"/>
    <s v="UPI"/>
    <s v="Repeat Customer"/>
  </r>
  <r>
    <n v="10671"/>
    <s v="CUST197"/>
    <d v="2025-05-25T00:00:00"/>
    <s v="Fashion"/>
    <x v="1"/>
    <n v="4"/>
    <n v="121.26"/>
    <n v="485.04"/>
    <s v="UPI"/>
    <s v="Repeat Customer"/>
  </r>
  <r>
    <n v="10672"/>
    <s v="CUST217"/>
    <d v="2024-07-26T00:00:00"/>
    <s v="Home"/>
    <x v="2"/>
    <n v="4"/>
    <n v="418.99"/>
    <n v="1675.96"/>
    <s v="Credit Card"/>
    <s v="Repeat Customer"/>
  </r>
  <r>
    <n v="10673"/>
    <s v="CUST161"/>
    <d v="2024-03-21T00:00:00"/>
    <s v="Sports"/>
    <x v="0"/>
    <n v="8"/>
    <n v="308.83999999999997"/>
    <n v="2470.7199999999998"/>
    <s v="Wallet"/>
    <s v="Repeat Customer"/>
  </r>
  <r>
    <n v="10674"/>
    <s v="CUST290"/>
    <d v="2025-09-27T00:00:00"/>
    <s v="Sports"/>
    <x v="1"/>
    <n v="6"/>
    <n v="248.71"/>
    <n v="1492.26"/>
    <s v="Wallet"/>
    <s v="Repeat Customer"/>
  </r>
  <r>
    <n v="10675"/>
    <s v="CUST193"/>
    <d v="2025-06-07T00:00:00"/>
    <s v="Sports"/>
    <x v="2"/>
    <n v="5"/>
    <n v="201.95"/>
    <n v="1009.75"/>
    <s v="Credit Card"/>
    <s v="Repeat Customer"/>
  </r>
  <r>
    <n v="10676"/>
    <s v="CUST369"/>
    <d v="2025-03-09T00:00:00"/>
    <s v="Electronics"/>
    <x v="1"/>
    <n v="8"/>
    <n v="470.13"/>
    <n v="3761.04"/>
    <s v="Wallet"/>
    <s v="Repeat Customer"/>
  </r>
  <r>
    <n v="10677"/>
    <s v="CUST189"/>
    <d v="2025-04-13T00:00:00"/>
    <s v="Beauty"/>
    <x v="1"/>
    <n v="2"/>
    <n v="350.63"/>
    <n v="701.26"/>
    <s v="Credit Card"/>
    <s v="Repeat Customer"/>
  </r>
  <r>
    <n v="10678"/>
    <s v="CUST106"/>
    <d v="2025-11-21T00:00:00"/>
    <s v="Electronics"/>
    <x v="1"/>
    <n v="4"/>
    <n v="192.82"/>
    <n v="771.28"/>
    <s v="Net Banking"/>
    <s v="Repeat Customer"/>
  </r>
  <r>
    <n v="10679"/>
    <s v="CUST232"/>
    <d v="2024-07-10T00:00:00"/>
    <s v="Home"/>
    <x v="3"/>
    <n v="9"/>
    <n v="135.11000000000001"/>
    <n v="1215.99"/>
    <s v="Net Banking"/>
    <s v="Repeat Customer"/>
  </r>
  <r>
    <n v="10680"/>
    <s v="CUST287"/>
    <d v="2024-07-07T00:00:00"/>
    <s v="Beauty"/>
    <x v="1"/>
    <n v="8"/>
    <n v="214.85"/>
    <n v="1718.8"/>
    <s v="Net Banking"/>
    <s v="Repeat Customer"/>
  </r>
  <r>
    <n v="10681"/>
    <s v="CUST305"/>
    <d v="2024-10-13T00:00:00"/>
    <s v="Fashion"/>
    <x v="2"/>
    <n v="8"/>
    <n v="94.05"/>
    <n v="752.4"/>
    <s v="Credit Card"/>
    <s v="Repeat Customer"/>
  </r>
  <r>
    <n v="10682"/>
    <s v="CUST238"/>
    <d v="2024-08-29T00:00:00"/>
    <s v="Beauty"/>
    <x v="2"/>
    <n v="9"/>
    <n v="218.95"/>
    <n v="1970.55"/>
    <s v="UPI"/>
    <s v="Repeat Customer"/>
  </r>
  <r>
    <n v="10683"/>
    <s v="CUST176"/>
    <d v="2025-04-29T00:00:00"/>
    <s v="Beauty"/>
    <x v="2"/>
    <n v="1"/>
    <n v="92.42"/>
    <n v="92.42"/>
    <s v="Net Banking"/>
    <s v="Repeat Customer"/>
  </r>
  <r>
    <n v="10684"/>
    <s v="CUST349"/>
    <d v="2024-11-03T00:00:00"/>
    <s v="Sports"/>
    <x v="0"/>
    <n v="5"/>
    <n v="283.26"/>
    <n v="1416.3"/>
    <s v="Wallet"/>
    <s v="Repeat Customer"/>
  </r>
  <r>
    <n v="10685"/>
    <s v="CUST150"/>
    <d v="2025-12-08T00:00:00"/>
    <s v="Home"/>
    <x v="3"/>
    <n v="3"/>
    <n v="34.72"/>
    <n v="104.16"/>
    <s v="Credit Card"/>
    <s v="Repeat Customer"/>
  </r>
  <r>
    <n v="10686"/>
    <s v="CUST330"/>
    <d v="2024-12-08T00:00:00"/>
    <s v="Sports"/>
    <x v="1"/>
    <n v="5"/>
    <n v="183.68"/>
    <n v="918.4"/>
    <s v="Net Banking"/>
    <s v="Repeat Customer"/>
  </r>
  <r>
    <n v="10687"/>
    <s v="CUST110"/>
    <d v="2025-02-25T00:00:00"/>
    <s v="Sports"/>
    <x v="2"/>
    <n v="2"/>
    <n v="178.79"/>
    <n v="357.58"/>
    <s v="UPI"/>
    <s v="Repeat Customer"/>
  </r>
  <r>
    <n v="10688"/>
    <s v="CUST245"/>
    <d v="2024-12-29T00:00:00"/>
    <s v="Beauty"/>
    <x v="3"/>
    <n v="6"/>
    <n v="338.23"/>
    <n v="2029.38"/>
    <s v="Credit Card"/>
    <s v="Repeat Customer"/>
  </r>
  <r>
    <n v="10689"/>
    <s v="CUST295"/>
    <d v="2025-09-20T00:00:00"/>
    <s v="Fashion"/>
    <x v="2"/>
    <n v="5"/>
    <n v="234.56"/>
    <n v="1172.8"/>
    <s v="Net Banking"/>
    <s v="Repeat Customer"/>
  </r>
  <r>
    <n v="10690"/>
    <s v="CUST315"/>
    <d v="2025-10-08T00:00:00"/>
    <s v="Electronics"/>
    <x v="0"/>
    <n v="10"/>
    <n v="287.95999999999998"/>
    <n v="2879.6"/>
    <s v="UPI"/>
    <s v="Repeat Customer"/>
  </r>
  <r>
    <n v="10691"/>
    <s v="CUST275"/>
    <d v="2024-08-21T00:00:00"/>
    <s v="Home"/>
    <x v="1"/>
    <n v="6"/>
    <n v="161.85"/>
    <n v="971.1"/>
    <s v="Wallet"/>
    <s v="Repeat Customer"/>
  </r>
  <r>
    <n v="10692"/>
    <s v="CUST238"/>
    <d v="2025-03-31T00:00:00"/>
    <s v="Sports"/>
    <x v="3"/>
    <n v="6"/>
    <n v="375.21"/>
    <n v="2251.2600000000002"/>
    <s v="Wallet"/>
    <s v="Repeat Customer"/>
  </r>
  <r>
    <n v="10693"/>
    <s v="CUST185"/>
    <d v="2024-07-07T00:00:00"/>
    <s v="Fashion"/>
    <x v="1"/>
    <n v="1"/>
    <n v="66.89"/>
    <n v="66.89"/>
    <s v="Credit Card"/>
    <s v="Repeat Customer"/>
  </r>
  <r>
    <n v="10694"/>
    <s v="CUST207"/>
    <d v="2024-06-19T00:00:00"/>
    <s v="Electronics"/>
    <x v="3"/>
    <n v="7"/>
    <n v="55.99"/>
    <n v="391.93"/>
    <s v="Credit Card"/>
    <s v="Repeat Customer"/>
  </r>
  <r>
    <n v="10695"/>
    <s v="CUST113"/>
    <d v="2025-02-10T00:00:00"/>
    <s v="Electronics"/>
    <x v="0"/>
    <n v="9"/>
    <n v="383.67"/>
    <n v="3453.03"/>
    <s v="Net Banking"/>
    <s v="Repeat Customer"/>
  </r>
  <r>
    <n v="10696"/>
    <s v="CUST179"/>
    <d v="2024-03-27T00:00:00"/>
    <s v="Fashion"/>
    <x v="1"/>
    <n v="7"/>
    <n v="158.13999999999999"/>
    <n v="1106.98"/>
    <s v="Wallet"/>
    <s v="Repeat Customer"/>
  </r>
  <r>
    <n v="10697"/>
    <s v="CUST164"/>
    <d v="2024-05-14T00:00:00"/>
    <s v="Electronics"/>
    <x v="0"/>
    <n v="9"/>
    <n v="420.07"/>
    <n v="3780.63"/>
    <s v="Net Banking"/>
    <s v="Repeat Customer"/>
  </r>
  <r>
    <n v="10698"/>
    <s v="CUST266"/>
    <d v="2025-05-02T00:00:00"/>
    <s v="Sports"/>
    <x v="1"/>
    <n v="8"/>
    <n v="487.62"/>
    <n v="3900.96"/>
    <s v="Wallet"/>
    <s v="Repeat Customer"/>
  </r>
  <r>
    <n v="10699"/>
    <s v="CUST169"/>
    <d v="2025-12-15T00:00:00"/>
    <s v="Sports"/>
    <x v="3"/>
    <n v="9"/>
    <n v="92.63"/>
    <n v="833.67"/>
    <s v="Wallet"/>
    <s v="Repeat Customer"/>
  </r>
  <r>
    <n v="10700"/>
    <s v="CUST368"/>
    <d v="2025-10-17T00:00:00"/>
    <s v="Home"/>
    <x v="3"/>
    <n v="9"/>
    <n v="158.28"/>
    <n v="1424.52"/>
    <s v="UPI"/>
    <s v="Repeat Customer"/>
  </r>
  <r>
    <n v="10701"/>
    <s v="CUST145"/>
    <d v="2025-03-28T00:00:00"/>
    <s v="Home"/>
    <x v="2"/>
    <n v="5"/>
    <n v="186.06"/>
    <n v="930.3"/>
    <s v="Net Banking"/>
    <s v="Repeat Customer"/>
  </r>
  <r>
    <n v="10702"/>
    <s v="CUST105"/>
    <d v="2024-01-01T00:00:00"/>
    <s v="Fashion"/>
    <x v="1"/>
    <n v="9"/>
    <n v="408.61"/>
    <n v="3677.49"/>
    <s v="Net Banking"/>
    <s v="Repeat Customer"/>
  </r>
  <r>
    <n v="10703"/>
    <s v="CUST340"/>
    <d v="2025-07-01T00:00:00"/>
    <s v="Beauty"/>
    <x v="3"/>
    <n v="1"/>
    <n v="345.45"/>
    <n v="345.45"/>
    <s v="Net Banking"/>
    <s v="Repeat Customer"/>
  </r>
  <r>
    <n v="10704"/>
    <s v="CUST104"/>
    <d v="2025-03-16T00:00:00"/>
    <s v="Electronics"/>
    <x v="1"/>
    <n v="5"/>
    <n v="300.52"/>
    <n v="1502.6"/>
    <s v="UPI"/>
    <s v="Repeat Customer"/>
  </r>
  <r>
    <n v="10705"/>
    <s v="CUST310"/>
    <d v="2025-07-28T00:00:00"/>
    <s v="Fashion"/>
    <x v="3"/>
    <n v="7"/>
    <n v="200.4"/>
    <n v="1402.8"/>
    <s v="Wallet"/>
    <s v="Repeat Customer"/>
  </r>
  <r>
    <n v="10706"/>
    <s v="CUST212"/>
    <d v="2024-09-26T00:00:00"/>
    <s v="Fashion"/>
    <x v="1"/>
    <n v="2"/>
    <n v="214.01"/>
    <n v="428.02"/>
    <s v="Net Banking"/>
    <s v="Repeat Customer"/>
  </r>
  <r>
    <n v="10707"/>
    <s v="CUST372"/>
    <d v="2024-10-02T00:00:00"/>
    <s v="Electronics"/>
    <x v="2"/>
    <n v="7"/>
    <n v="98.06"/>
    <n v="686.42"/>
    <s v="UPI"/>
    <s v="Repeat Customer"/>
  </r>
  <r>
    <n v="10708"/>
    <s v="CUST248"/>
    <d v="2024-04-23T00:00:00"/>
    <s v="Home"/>
    <x v="3"/>
    <n v="8"/>
    <n v="310.77999999999997"/>
    <n v="2486.2399999999998"/>
    <s v="UPI"/>
    <s v="Repeat Customer"/>
  </r>
  <r>
    <n v="10709"/>
    <s v="CUST264"/>
    <d v="2024-01-20T00:00:00"/>
    <s v="Sports"/>
    <x v="0"/>
    <n v="3"/>
    <n v="29.57"/>
    <n v="88.71"/>
    <s v="UPI"/>
    <s v="Repeat Customer"/>
  </r>
  <r>
    <n v="10710"/>
    <s v="CUST152"/>
    <d v="2024-10-15T00:00:00"/>
    <s v="Beauty"/>
    <x v="0"/>
    <n v="5"/>
    <n v="66.89"/>
    <n v="334.45"/>
    <s v="UPI"/>
    <s v="Repeat Customer"/>
  </r>
  <r>
    <n v="10711"/>
    <s v="CUST146"/>
    <d v="2024-06-03T00:00:00"/>
    <s v="Home"/>
    <x v="3"/>
    <n v="1"/>
    <n v="249.32"/>
    <n v="249.32"/>
    <s v="Net Banking"/>
    <s v="Repeat Customer"/>
  </r>
  <r>
    <n v="10712"/>
    <s v="CUST355"/>
    <d v="2025-01-15T00:00:00"/>
    <s v="Electronics"/>
    <x v="1"/>
    <n v="8"/>
    <n v="349.98"/>
    <n v="2799.84"/>
    <s v="Credit Card"/>
    <s v="Repeat Customer"/>
  </r>
  <r>
    <n v="10713"/>
    <s v="CUST174"/>
    <d v="2024-02-27T00:00:00"/>
    <s v="Electronics"/>
    <x v="3"/>
    <n v="5"/>
    <n v="388.95"/>
    <n v="1944.75"/>
    <s v="UPI"/>
    <s v="Repeat Customer"/>
  </r>
  <r>
    <n v="10714"/>
    <s v="CUST198"/>
    <d v="2024-09-13T00:00:00"/>
    <s v="Electronics"/>
    <x v="2"/>
    <n v="7"/>
    <n v="414.98"/>
    <n v="2904.86"/>
    <s v="Wallet"/>
    <s v="Repeat Customer"/>
  </r>
  <r>
    <n v="10715"/>
    <s v="CUST326"/>
    <d v="2024-09-10T00:00:00"/>
    <s v="Electronics"/>
    <x v="2"/>
    <n v="1"/>
    <n v="103.59"/>
    <n v="103.59"/>
    <s v="Wallet"/>
    <s v="Repeat Customer"/>
  </r>
  <r>
    <n v="10716"/>
    <s v="CUST299"/>
    <d v="2025-11-28T00:00:00"/>
    <s v="Fashion"/>
    <x v="0"/>
    <n v="5"/>
    <n v="468.43"/>
    <n v="2342.15"/>
    <s v="Credit Card"/>
    <s v="Repeat Customer"/>
  </r>
  <r>
    <n v="10717"/>
    <s v="CUST229"/>
    <d v="2025-05-07T00:00:00"/>
    <s v="Electronics"/>
    <x v="2"/>
    <n v="5"/>
    <n v="103.37"/>
    <n v="516.85"/>
    <s v="Credit Card"/>
    <s v="Repeat Customer"/>
  </r>
  <r>
    <n v="10718"/>
    <s v="CUST220"/>
    <d v="2025-10-10T00:00:00"/>
    <s v="Fashion"/>
    <x v="1"/>
    <n v="7"/>
    <n v="165.63"/>
    <n v="1159.4100000000001"/>
    <s v="Credit Card"/>
    <s v="Repeat Customer"/>
  </r>
  <r>
    <n v="10719"/>
    <s v="CUST302"/>
    <d v="2024-09-05T00:00:00"/>
    <s v="Sports"/>
    <x v="3"/>
    <n v="1"/>
    <n v="484.57"/>
    <n v="484.57"/>
    <s v="UPI"/>
    <s v="Repeat Customer"/>
  </r>
  <r>
    <n v="10720"/>
    <s v="CUST290"/>
    <d v="2024-04-01T00:00:00"/>
    <s v="Electronics"/>
    <x v="1"/>
    <n v="4"/>
    <n v="83.06"/>
    <n v="332.24"/>
    <s v="Credit Card"/>
    <s v="Repeat Customer"/>
  </r>
  <r>
    <n v="10721"/>
    <s v="CUST130"/>
    <d v="2024-12-30T00:00:00"/>
    <s v="Electronics"/>
    <x v="2"/>
    <n v="3"/>
    <n v="352.16"/>
    <n v="1056.48"/>
    <s v="Wallet"/>
    <s v="Repeat Customer"/>
  </r>
  <r>
    <n v="10722"/>
    <s v="CUST219"/>
    <d v="2024-11-20T00:00:00"/>
    <s v="Home"/>
    <x v="3"/>
    <n v="9"/>
    <n v="395.34"/>
    <n v="3558.06"/>
    <s v="UPI"/>
    <s v="Repeat Customer"/>
  </r>
  <r>
    <n v="10723"/>
    <s v="CUST110"/>
    <d v="2025-12-06T00:00:00"/>
    <s v="Fashion"/>
    <x v="1"/>
    <n v="7"/>
    <n v="182.29"/>
    <n v="1276.03"/>
    <s v="Credit Card"/>
    <s v="Repeat Customer"/>
  </r>
  <r>
    <n v="10724"/>
    <s v="CUST348"/>
    <d v="2025-12-24T00:00:00"/>
    <s v="Sports"/>
    <x v="3"/>
    <n v="8"/>
    <n v="281.72000000000003"/>
    <n v="2253.7600000000002"/>
    <s v="UPI"/>
    <s v="Repeat Customer"/>
  </r>
  <r>
    <n v="10725"/>
    <s v="CUST390"/>
    <d v="2024-07-10T00:00:00"/>
    <s v="Beauty"/>
    <x v="1"/>
    <n v="9"/>
    <n v="177.09"/>
    <n v="1593.81"/>
    <s v="UPI"/>
    <s v="Repeat Customer"/>
  </r>
  <r>
    <n v="10726"/>
    <s v="CUST135"/>
    <d v="2025-06-27T00:00:00"/>
    <s v="Home"/>
    <x v="1"/>
    <n v="3"/>
    <n v="227.45"/>
    <n v="682.35"/>
    <s v="Wallet"/>
    <s v="Repeat Customer"/>
  </r>
  <r>
    <n v="10727"/>
    <s v="CUST100"/>
    <d v="2025-10-15T00:00:00"/>
    <s v="Fashion"/>
    <x v="0"/>
    <n v="9"/>
    <n v="192.63"/>
    <n v="1733.67"/>
    <s v="Net Banking"/>
    <s v="Repeat Customer"/>
  </r>
  <r>
    <n v="10728"/>
    <s v="CUST222"/>
    <d v="2024-11-24T00:00:00"/>
    <s v="Sports"/>
    <x v="3"/>
    <n v="2"/>
    <n v="330.85"/>
    <n v="661.7"/>
    <s v="UPI"/>
    <s v="Repeat Customer"/>
  </r>
  <r>
    <n v="10729"/>
    <s v="CUST368"/>
    <d v="2025-11-30T00:00:00"/>
    <s v="Fashion"/>
    <x v="1"/>
    <n v="8"/>
    <n v="384.04"/>
    <n v="3072.32"/>
    <s v="Net Banking"/>
    <s v="Repeat Customer"/>
  </r>
  <r>
    <n v="10730"/>
    <s v="CUST309"/>
    <d v="2025-10-18T00:00:00"/>
    <s v="Sports"/>
    <x v="0"/>
    <n v="6"/>
    <n v="59.68"/>
    <n v="358.08"/>
    <s v="Credit Card"/>
    <s v="Repeat Customer"/>
  </r>
  <r>
    <n v="10731"/>
    <s v="CUST166"/>
    <d v="2024-07-01T00:00:00"/>
    <s v="Beauty"/>
    <x v="2"/>
    <n v="1"/>
    <n v="105.03"/>
    <n v="105.03"/>
    <s v="Credit Card"/>
    <s v="New Customer"/>
  </r>
  <r>
    <n v="10732"/>
    <s v="CUST116"/>
    <d v="2025-08-07T00:00:00"/>
    <s v="Sports"/>
    <x v="1"/>
    <n v="7"/>
    <n v="330.67"/>
    <n v="2314.69"/>
    <s v="Credit Card"/>
    <s v="Repeat Customer"/>
  </r>
  <r>
    <n v="10733"/>
    <s v="CUST287"/>
    <d v="2024-08-14T00:00:00"/>
    <s v="Electronics"/>
    <x v="2"/>
    <n v="10"/>
    <n v="360.33"/>
    <n v="3603.3"/>
    <s v="Wallet"/>
    <s v="Repeat Customer"/>
  </r>
  <r>
    <n v="10734"/>
    <s v="CUST140"/>
    <d v="2025-04-24T00:00:00"/>
    <s v="Beauty"/>
    <x v="1"/>
    <n v="1"/>
    <n v="183.66"/>
    <n v="183.66"/>
    <s v="Credit Card"/>
    <s v="Repeat Customer"/>
  </r>
  <r>
    <n v="10735"/>
    <s v="CUST236"/>
    <d v="2025-06-25T00:00:00"/>
    <s v="Home"/>
    <x v="0"/>
    <n v="1"/>
    <n v="368.48"/>
    <n v="368.48"/>
    <s v="UPI"/>
    <s v="Repeat Customer"/>
  </r>
  <r>
    <n v="10736"/>
    <s v="CUST365"/>
    <d v="2024-04-09T00:00:00"/>
    <s v="Sports"/>
    <x v="3"/>
    <n v="2"/>
    <n v="363.96"/>
    <n v="727.92"/>
    <s v="UPI"/>
    <s v="Repeat Customer"/>
  </r>
  <r>
    <n v="10737"/>
    <s v="CUST198"/>
    <d v="2025-06-22T00:00:00"/>
    <s v="Fashion"/>
    <x v="3"/>
    <n v="4"/>
    <n v="287.16000000000003"/>
    <n v="1148.6400000000001"/>
    <s v="Credit Card"/>
    <s v="Repeat Customer"/>
  </r>
  <r>
    <n v="10738"/>
    <s v="CUST395"/>
    <d v="2025-01-01T00:00:00"/>
    <s v="Beauty"/>
    <x v="0"/>
    <n v="8"/>
    <n v="352.76"/>
    <n v="2822.08"/>
    <s v="UPI"/>
    <s v="Repeat Customer"/>
  </r>
  <r>
    <n v="10739"/>
    <s v="CUST192"/>
    <d v="2025-07-17T00:00:00"/>
    <s v="Fashion"/>
    <x v="3"/>
    <n v="7"/>
    <n v="254.82"/>
    <n v="1783.74"/>
    <s v="Net Banking"/>
    <s v="Repeat Customer"/>
  </r>
  <r>
    <n v="10740"/>
    <s v="CUST261"/>
    <d v="2025-07-17T00:00:00"/>
    <s v="Beauty"/>
    <x v="3"/>
    <n v="6"/>
    <n v="423.2"/>
    <n v="2539.1999999999998"/>
    <s v="Net Banking"/>
    <s v="Repeat Customer"/>
  </r>
  <r>
    <n v="10741"/>
    <s v="CUST223"/>
    <d v="2025-07-30T00:00:00"/>
    <s v="Sports"/>
    <x v="1"/>
    <n v="9"/>
    <n v="110.89"/>
    <n v="998.01"/>
    <s v="Net Banking"/>
    <s v="Repeat Customer"/>
  </r>
  <r>
    <n v="10742"/>
    <s v="CUST331"/>
    <d v="2025-04-03T00:00:00"/>
    <s v="Electronics"/>
    <x v="1"/>
    <n v="7"/>
    <n v="5.0999999999999996"/>
    <n v="35.700000000000003"/>
    <s v="Credit Card"/>
    <s v="Repeat Customer"/>
  </r>
  <r>
    <n v="10743"/>
    <s v="CUST365"/>
    <d v="2024-05-18T00:00:00"/>
    <s v="Fashion"/>
    <x v="2"/>
    <n v="5"/>
    <n v="8.25"/>
    <n v="41.25"/>
    <s v="Net Banking"/>
    <s v="Repeat Customer"/>
  </r>
  <r>
    <n v="10744"/>
    <s v="CUST111"/>
    <d v="2025-12-07T00:00:00"/>
    <s v="Sports"/>
    <x v="2"/>
    <n v="5"/>
    <n v="459.96"/>
    <n v="2299.8000000000002"/>
    <s v="Credit Card"/>
    <s v="Repeat Customer"/>
  </r>
  <r>
    <n v="10745"/>
    <s v="CUST119"/>
    <d v="2025-04-16T00:00:00"/>
    <s v="Home"/>
    <x v="1"/>
    <n v="6"/>
    <n v="82.27"/>
    <n v="493.62"/>
    <s v="UPI"/>
    <s v="Repeat Customer"/>
  </r>
  <r>
    <n v="10746"/>
    <s v="CUST219"/>
    <d v="2024-09-19T00:00:00"/>
    <s v="Beauty"/>
    <x v="2"/>
    <n v="5"/>
    <n v="50.49"/>
    <n v="252.45"/>
    <s v="Credit Card"/>
    <s v="Repeat Customer"/>
  </r>
  <r>
    <n v="10747"/>
    <s v="CUST266"/>
    <d v="2025-05-09T00:00:00"/>
    <s v="Sports"/>
    <x v="0"/>
    <n v="3"/>
    <n v="246.7"/>
    <n v="740.1"/>
    <s v="Net Banking"/>
    <s v="Repeat Customer"/>
  </r>
  <r>
    <n v="10748"/>
    <s v="CUST119"/>
    <d v="2025-08-13T00:00:00"/>
    <s v="Electronics"/>
    <x v="1"/>
    <n v="7"/>
    <n v="43.85"/>
    <n v="306.95"/>
    <s v="Net Banking"/>
    <s v="Repeat Customer"/>
  </r>
  <r>
    <n v="10749"/>
    <s v="CUST322"/>
    <d v="2025-03-02T00:00:00"/>
    <s v="Fashion"/>
    <x v="0"/>
    <n v="2"/>
    <n v="435.54"/>
    <n v="871.08"/>
    <s v="Wallet"/>
    <s v="Repeat Customer"/>
  </r>
  <r>
    <n v="10750"/>
    <s v="CUST127"/>
    <d v="2024-11-08T00:00:00"/>
    <s v="Sports"/>
    <x v="2"/>
    <n v="9"/>
    <n v="25.39"/>
    <n v="228.51"/>
    <s v="Net Banking"/>
    <s v="Repeat Customer"/>
  </r>
  <r>
    <n v="10751"/>
    <s v="CUST357"/>
    <d v="2025-12-15T00:00:00"/>
    <s v="Beauty"/>
    <x v="3"/>
    <n v="4"/>
    <n v="80.83"/>
    <n v="323.32"/>
    <s v="Credit Card"/>
    <s v="Repeat Customer"/>
  </r>
  <r>
    <n v="10752"/>
    <s v="CUST213"/>
    <d v="2025-03-18T00:00:00"/>
    <s v="Fashion"/>
    <x v="2"/>
    <n v="5"/>
    <n v="394.25"/>
    <n v="1971.25"/>
    <s v="Net Banking"/>
    <s v="Repeat Customer"/>
  </r>
  <r>
    <n v="10753"/>
    <s v="CUST142"/>
    <d v="2025-05-02T00:00:00"/>
    <s v="Sports"/>
    <x v="3"/>
    <n v="10"/>
    <n v="373.93"/>
    <n v="3739.3"/>
    <s v="Net Banking"/>
    <s v="Repeat Customer"/>
  </r>
  <r>
    <n v="10754"/>
    <s v="CUST143"/>
    <d v="2025-02-12T00:00:00"/>
    <s v="Fashion"/>
    <x v="2"/>
    <n v="9"/>
    <n v="220.07"/>
    <n v="1980.63"/>
    <s v="Wallet"/>
    <s v="Repeat Customer"/>
  </r>
  <r>
    <n v="10755"/>
    <s v="CUST386"/>
    <d v="2024-07-21T00:00:00"/>
    <s v="Sports"/>
    <x v="2"/>
    <n v="8"/>
    <n v="200.68"/>
    <n v="1605.44"/>
    <s v="UPI"/>
    <s v="Repeat Customer"/>
  </r>
  <r>
    <n v="10756"/>
    <s v="CUST224"/>
    <d v="2024-03-14T00:00:00"/>
    <s v="Home"/>
    <x v="0"/>
    <n v="5"/>
    <n v="389.5"/>
    <n v="1947.5"/>
    <s v="Credit Card"/>
    <s v="Repeat Customer"/>
  </r>
  <r>
    <n v="10757"/>
    <s v="CUST311"/>
    <d v="2025-03-09T00:00:00"/>
    <s v="Home"/>
    <x v="1"/>
    <n v="6"/>
    <n v="177.41"/>
    <n v="1064.46"/>
    <s v="Credit Card"/>
    <s v="Repeat Customer"/>
  </r>
  <r>
    <n v="10758"/>
    <s v="CUST256"/>
    <d v="2024-06-22T00:00:00"/>
    <s v="Beauty"/>
    <x v="2"/>
    <n v="6"/>
    <n v="310.02999999999997"/>
    <n v="1860.18"/>
    <s v="Wallet"/>
    <s v="Repeat Customer"/>
  </r>
  <r>
    <n v="10759"/>
    <s v="CUST122"/>
    <d v="2024-08-27T00:00:00"/>
    <s v="Fashion"/>
    <x v="0"/>
    <n v="4"/>
    <n v="344.25"/>
    <n v="1377"/>
    <s v="Credit Card"/>
    <s v="Repeat Customer"/>
  </r>
  <r>
    <n v="10760"/>
    <s v="CUST127"/>
    <d v="2024-09-05T00:00:00"/>
    <s v="Home"/>
    <x v="0"/>
    <n v="10"/>
    <n v="463.73"/>
    <n v="4637.3"/>
    <s v="Net Banking"/>
    <s v="Repeat Customer"/>
  </r>
  <r>
    <n v="10761"/>
    <s v="CUST156"/>
    <d v="2024-11-08T00:00:00"/>
    <s v="Home"/>
    <x v="2"/>
    <n v="8"/>
    <n v="238.24"/>
    <n v="1905.92"/>
    <s v="UPI"/>
    <s v="Repeat Customer"/>
  </r>
  <r>
    <n v="10762"/>
    <s v="CUST204"/>
    <d v="2025-07-13T00:00:00"/>
    <s v="Sports"/>
    <x v="3"/>
    <n v="9"/>
    <n v="376.43"/>
    <n v="3387.87"/>
    <s v="UPI"/>
    <s v="Repeat Customer"/>
  </r>
  <r>
    <n v="10763"/>
    <s v="CUST109"/>
    <d v="2025-01-20T00:00:00"/>
    <s v="Sports"/>
    <x v="0"/>
    <n v="10"/>
    <n v="453.49"/>
    <n v="4534.8999999999996"/>
    <s v="Net Banking"/>
    <s v="Repeat Customer"/>
  </r>
  <r>
    <n v="10764"/>
    <s v="CUST187"/>
    <d v="2024-03-02T00:00:00"/>
    <s v="Sports"/>
    <x v="1"/>
    <n v="5"/>
    <n v="104.34"/>
    <n v="521.70000000000005"/>
    <s v="Credit Card"/>
    <s v="Repeat Customer"/>
  </r>
  <r>
    <n v="10765"/>
    <s v="CUST338"/>
    <d v="2025-11-01T00:00:00"/>
    <s v="Home"/>
    <x v="1"/>
    <n v="1"/>
    <n v="37.97"/>
    <n v="37.97"/>
    <s v="Credit Card"/>
    <s v="Repeat Customer"/>
  </r>
  <r>
    <n v="10766"/>
    <s v="CUST109"/>
    <d v="2024-10-26T00:00:00"/>
    <s v="Beauty"/>
    <x v="0"/>
    <n v="7"/>
    <n v="119.43"/>
    <n v="836.01"/>
    <s v="Net Banking"/>
    <s v="Repeat Customer"/>
  </r>
  <r>
    <n v="10767"/>
    <s v="CUST348"/>
    <d v="2025-09-03T00:00:00"/>
    <s v="Fashion"/>
    <x v="3"/>
    <n v="9"/>
    <n v="48.57"/>
    <n v="437.13"/>
    <s v="Credit Card"/>
    <s v="Repeat Customer"/>
  </r>
  <r>
    <n v="10768"/>
    <s v="CUST120"/>
    <d v="2024-09-10T00:00:00"/>
    <s v="Beauty"/>
    <x v="3"/>
    <n v="9"/>
    <n v="155.94"/>
    <n v="1403.46"/>
    <s v="UPI"/>
    <s v="Repeat Customer"/>
  </r>
  <r>
    <n v="10769"/>
    <s v="CUST109"/>
    <d v="2024-12-21T00:00:00"/>
    <s v="Home"/>
    <x v="2"/>
    <n v="6"/>
    <n v="180.91"/>
    <n v="1085.46"/>
    <s v="Net Banking"/>
    <s v="Repeat Customer"/>
  </r>
  <r>
    <n v="10770"/>
    <s v="CUST131"/>
    <d v="2025-10-02T00:00:00"/>
    <s v="Electronics"/>
    <x v="1"/>
    <n v="5"/>
    <n v="439.95"/>
    <n v="2199.75"/>
    <s v="UPI"/>
    <s v="Repeat Customer"/>
  </r>
  <r>
    <n v="10771"/>
    <s v="CUST177"/>
    <d v="2024-12-15T00:00:00"/>
    <s v="Electronics"/>
    <x v="3"/>
    <n v="7"/>
    <n v="330.18"/>
    <n v="2311.2600000000002"/>
    <s v="UPI"/>
    <s v="Repeat Customer"/>
  </r>
  <r>
    <n v="10772"/>
    <s v="CUST313"/>
    <d v="2024-09-03T00:00:00"/>
    <s v="Home"/>
    <x v="1"/>
    <n v="10"/>
    <n v="80.61"/>
    <n v="806.1"/>
    <s v="Wallet"/>
    <s v="Repeat Customer"/>
  </r>
  <r>
    <n v="10773"/>
    <s v="CUST377"/>
    <d v="2024-05-14T00:00:00"/>
    <s v="Sports"/>
    <x v="2"/>
    <n v="4"/>
    <n v="327.97"/>
    <n v="1311.88"/>
    <s v="UPI"/>
    <s v="Repeat Customer"/>
  </r>
  <r>
    <n v="10774"/>
    <s v="CUST258"/>
    <d v="2025-12-06T00:00:00"/>
    <s v="Beauty"/>
    <x v="2"/>
    <n v="9"/>
    <n v="455.23"/>
    <n v="4097.07"/>
    <s v="UPI"/>
    <s v="Repeat Customer"/>
  </r>
  <r>
    <n v="10775"/>
    <s v="CUST262"/>
    <d v="2024-03-10T00:00:00"/>
    <s v="Electronics"/>
    <x v="2"/>
    <n v="9"/>
    <n v="268.82"/>
    <n v="2419.38"/>
    <s v="Net Banking"/>
    <s v="Repeat Customer"/>
  </r>
  <r>
    <n v="10776"/>
    <s v="CUST174"/>
    <d v="2024-01-31T00:00:00"/>
    <s v="Beauty"/>
    <x v="3"/>
    <n v="6"/>
    <n v="440.67"/>
    <n v="2644.02"/>
    <s v="Net Banking"/>
    <s v="Repeat Customer"/>
  </r>
  <r>
    <n v="10777"/>
    <s v="CUST326"/>
    <d v="2025-10-14T00:00:00"/>
    <s v="Fashion"/>
    <x v="0"/>
    <n v="5"/>
    <n v="80.22"/>
    <n v="401.1"/>
    <s v="UPI"/>
    <s v="Repeat Customer"/>
  </r>
  <r>
    <n v="10778"/>
    <s v="CUST194"/>
    <d v="2024-01-27T00:00:00"/>
    <s v="Sports"/>
    <x v="2"/>
    <n v="10"/>
    <n v="310.39"/>
    <n v="3103.9"/>
    <s v="UPI"/>
    <s v="Repeat Customer"/>
  </r>
  <r>
    <n v="10779"/>
    <s v="CUST218"/>
    <d v="2025-12-04T00:00:00"/>
    <s v="Beauty"/>
    <x v="2"/>
    <n v="1"/>
    <n v="182.83"/>
    <n v="182.83"/>
    <s v="Wallet"/>
    <s v="Repeat Customer"/>
  </r>
  <r>
    <n v="10780"/>
    <s v="CUST291"/>
    <d v="2024-07-07T00:00:00"/>
    <s v="Fashion"/>
    <x v="2"/>
    <n v="7"/>
    <n v="248.27"/>
    <n v="1737.89"/>
    <s v="UPI"/>
    <s v="Repeat Customer"/>
  </r>
  <r>
    <n v="10781"/>
    <s v="CUST215"/>
    <d v="2024-02-03T00:00:00"/>
    <s v="Electronics"/>
    <x v="1"/>
    <n v="7"/>
    <n v="383.45"/>
    <n v="2684.15"/>
    <s v="Wallet"/>
    <s v="Repeat Customer"/>
  </r>
  <r>
    <n v="10782"/>
    <s v="CUST213"/>
    <d v="2025-11-18T00:00:00"/>
    <s v="Electronics"/>
    <x v="2"/>
    <n v="4"/>
    <n v="380.1"/>
    <n v="1520.4"/>
    <s v="Wallet"/>
    <s v="Repeat Customer"/>
  </r>
  <r>
    <n v="10783"/>
    <s v="CUST350"/>
    <d v="2025-12-05T00:00:00"/>
    <s v="Fashion"/>
    <x v="3"/>
    <n v="6"/>
    <n v="434.05"/>
    <n v="2604.3000000000002"/>
    <s v="Wallet"/>
    <s v="Repeat Customer"/>
  </r>
  <r>
    <n v="10784"/>
    <s v="CUST121"/>
    <d v="2025-09-14T00:00:00"/>
    <s v="Beauty"/>
    <x v="0"/>
    <n v="7"/>
    <n v="361.5"/>
    <n v="2530.5"/>
    <s v="Credit Card"/>
    <s v="Repeat Customer"/>
  </r>
  <r>
    <n v="10785"/>
    <s v="CUST331"/>
    <d v="2025-04-12T00:00:00"/>
    <s v="Fashion"/>
    <x v="3"/>
    <n v="1"/>
    <n v="439.5"/>
    <n v="439.5"/>
    <s v="Credit Card"/>
    <s v="Repeat Customer"/>
  </r>
  <r>
    <n v="10786"/>
    <s v="CUST385"/>
    <d v="2025-01-31T00:00:00"/>
    <s v="Electronics"/>
    <x v="2"/>
    <n v="9"/>
    <n v="383.75"/>
    <n v="3453.75"/>
    <s v="Net Banking"/>
    <s v="Repeat Customer"/>
  </r>
  <r>
    <n v="10787"/>
    <s v="CUST325"/>
    <d v="2025-02-11T00:00:00"/>
    <s v="Home"/>
    <x v="3"/>
    <n v="5"/>
    <n v="387.97"/>
    <n v="1939.85"/>
    <s v="UPI"/>
    <s v="Repeat Customer"/>
  </r>
  <r>
    <n v="10788"/>
    <s v="CUST316"/>
    <d v="2024-10-28T00:00:00"/>
    <s v="Sports"/>
    <x v="2"/>
    <n v="10"/>
    <n v="459.92"/>
    <n v="4599.2"/>
    <s v="Wallet"/>
    <s v="Repeat Customer"/>
  </r>
  <r>
    <n v="10789"/>
    <s v="CUST331"/>
    <d v="2024-04-02T00:00:00"/>
    <s v="Sports"/>
    <x v="2"/>
    <n v="9"/>
    <n v="61.02"/>
    <n v="549.17999999999995"/>
    <s v="Wallet"/>
    <s v="Repeat Customer"/>
  </r>
  <r>
    <n v="10790"/>
    <s v="CUST311"/>
    <d v="2024-11-27T00:00:00"/>
    <s v="Beauty"/>
    <x v="2"/>
    <n v="8"/>
    <n v="17.329999999999998"/>
    <n v="138.63999999999999"/>
    <s v="Wallet"/>
    <s v="Repeat Customer"/>
  </r>
  <r>
    <n v="10791"/>
    <s v="CUST146"/>
    <d v="2024-09-13T00:00:00"/>
    <s v="Fashion"/>
    <x v="0"/>
    <n v="6"/>
    <n v="347.4"/>
    <n v="2084.4"/>
    <s v="Credit Card"/>
    <s v="Repeat Customer"/>
  </r>
  <r>
    <n v="10792"/>
    <s v="CUST158"/>
    <d v="2025-12-24T00:00:00"/>
    <s v="Electronics"/>
    <x v="3"/>
    <n v="8"/>
    <n v="318.87"/>
    <n v="2550.96"/>
    <s v="UPI"/>
    <s v="Repeat Customer"/>
  </r>
  <r>
    <n v="10793"/>
    <s v="CUST293"/>
    <d v="2025-07-17T00:00:00"/>
    <s v="Fashion"/>
    <x v="1"/>
    <n v="7"/>
    <n v="26.73"/>
    <n v="187.11"/>
    <s v="UPI"/>
    <s v="Repeat Customer"/>
  </r>
  <r>
    <n v="10794"/>
    <s v="CUST183"/>
    <d v="2024-05-28T00:00:00"/>
    <s v="Electronics"/>
    <x v="3"/>
    <n v="3"/>
    <n v="385.73"/>
    <n v="1157.19"/>
    <s v="Net Banking"/>
    <s v="Repeat Customer"/>
  </r>
  <r>
    <n v="10795"/>
    <s v="CUST258"/>
    <d v="2025-04-01T00:00:00"/>
    <s v="Electronics"/>
    <x v="2"/>
    <n v="5"/>
    <n v="315.08999999999997"/>
    <n v="1575.45"/>
    <s v="UPI"/>
    <s v="Repeat Customer"/>
  </r>
  <r>
    <n v="10796"/>
    <s v="CUST101"/>
    <d v="2025-09-29T00:00:00"/>
    <s v="Beauty"/>
    <x v="3"/>
    <n v="5"/>
    <n v="11.04"/>
    <n v="55.2"/>
    <s v="Credit Card"/>
    <s v="Repeat Customer"/>
  </r>
  <r>
    <n v="10797"/>
    <s v="CUST352"/>
    <d v="2024-08-31T00:00:00"/>
    <s v="Beauty"/>
    <x v="3"/>
    <n v="4"/>
    <n v="296.49"/>
    <n v="1185.96"/>
    <s v="Wallet"/>
    <s v="New Customer"/>
  </r>
  <r>
    <n v="10798"/>
    <s v="CUST326"/>
    <d v="2024-03-22T00:00:00"/>
    <s v="Fashion"/>
    <x v="1"/>
    <n v="10"/>
    <n v="302.05"/>
    <n v="3020.5"/>
    <s v="UPI"/>
    <s v="Repeat Customer"/>
  </r>
  <r>
    <n v="10799"/>
    <s v="CUST125"/>
    <d v="2024-07-08T00:00:00"/>
    <s v="Home"/>
    <x v="0"/>
    <n v="3"/>
    <n v="32.26"/>
    <n v="96.78"/>
    <s v="UPI"/>
    <s v="Repeat Customer"/>
  </r>
  <r>
    <n v="10800"/>
    <s v="CUST116"/>
    <d v="2025-11-14T00:00:00"/>
    <s v="Home"/>
    <x v="1"/>
    <n v="10"/>
    <n v="419.82"/>
    <n v="4198.2"/>
    <s v="Credit Card"/>
    <s v="Repeat Customer"/>
  </r>
  <r>
    <n v="10801"/>
    <s v="CUST125"/>
    <d v="2024-04-21T00:00:00"/>
    <s v="Fashion"/>
    <x v="1"/>
    <n v="7"/>
    <n v="496.9"/>
    <n v="3478.3"/>
    <s v="UPI"/>
    <s v="Repeat Customer"/>
  </r>
  <r>
    <n v="10802"/>
    <s v="CUST333"/>
    <d v="2025-08-15T00:00:00"/>
    <s v="Electronics"/>
    <x v="1"/>
    <n v="6"/>
    <n v="466.08"/>
    <n v="2796.48"/>
    <s v="Net Banking"/>
    <s v="Repeat Customer"/>
  </r>
  <r>
    <n v="10803"/>
    <s v="CUST288"/>
    <d v="2025-01-23T00:00:00"/>
    <s v="Sports"/>
    <x v="0"/>
    <n v="2"/>
    <n v="380.43"/>
    <n v="760.86"/>
    <s v="Net Banking"/>
    <s v="Repeat Customer"/>
  </r>
  <r>
    <n v="10804"/>
    <s v="CUST341"/>
    <d v="2024-05-17T00:00:00"/>
    <s v="Home"/>
    <x v="1"/>
    <n v="2"/>
    <n v="348.84"/>
    <n v="697.68"/>
    <s v="Wallet"/>
    <s v="Repeat Customer"/>
  </r>
  <r>
    <n v="10805"/>
    <s v="CUST368"/>
    <d v="2024-08-02T00:00:00"/>
    <s v="Electronics"/>
    <x v="0"/>
    <n v="4"/>
    <n v="307.97000000000003"/>
    <n v="1231.8800000000001"/>
    <s v="Wallet"/>
    <s v="Repeat Customer"/>
  </r>
  <r>
    <n v="10806"/>
    <s v="CUST247"/>
    <d v="2025-03-13T00:00:00"/>
    <s v="Home"/>
    <x v="1"/>
    <n v="10"/>
    <n v="424.66"/>
    <n v="4246.6000000000004"/>
    <s v="UPI"/>
    <s v="Repeat Customer"/>
  </r>
  <r>
    <n v="10807"/>
    <s v="CUST388"/>
    <d v="2025-05-23T00:00:00"/>
    <s v="Beauty"/>
    <x v="3"/>
    <n v="9"/>
    <n v="365.95"/>
    <n v="3293.55"/>
    <s v="UPI"/>
    <s v="Repeat Customer"/>
  </r>
  <r>
    <n v="10808"/>
    <s v="CUST219"/>
    <d v="2025-12-26T00:00:00"/>
    <s v="Electronics"/>
    <x v="0"/>
    <n v="5"/>
    <n v="489.73"/>
    <n v="2448.65"/>
    <s v="Credit Card"/>
    <s v="Repeat Customer"/>
  </r>
  <r>
    <n v="10809"/>
    <s v="CUST338"/>
    <d v="2025-10-02T00:00:00"/>
    <s v="Fashion"/>
    <x v="3"/>
    <n v="2"/>
    <n v="370.05"/>
    <n v="740.1"/>
    <s v="Wallet"/>
    <s v="Repeat Customer"/>
  </r>
  <r>
    <n v="10810"/>
    <s v="CUST123"/>
    <d v="2024-12-07T00:00:00"/>
    <s v="Fashion"/>
    <x v="0"/>
    <n v="6"/>
    <n v="282.41000000000003"/>
    <n v="1694.46"/>
    <s v="UPI"/>
    <s v="Repeat Customer"/>
  </r>
  <r>
    <n v="10811"/>
    <s v="CUST244"/>
    <d v="2024-09-17T00:00:00"/>
    <s v="Sports"/>
    <x v="1"/>
    <n v="2"/>
    <n v="157.35"/>
    <n v="314.7"/>
    <s v="Credit Card"/>
    <s v="Repeat Customer"/>
  </r>
  <r>
    <n v="10812"/>
    <s v="CUST158"/>
    <d v="2025-12-03T00:00:00"/>
    <s v="Sports"/>
    <x v="0"/>
    <n v="6"/>
    <n v="173.97"/>
    <n v="1043.82"/>
    <s v="UPI"/>
    <s v="Repeat Customer"/>
  </r>
  <r>
    <n v="10813"/>
    <s v="CUST199"/>
    <d v="2024-12-04T00:00:00"/>
    <s v="Beauty"/>
    <x v="3"/>
    <n v="6"/>
    <n v="461.53"/>
    <n v="2769.18"/>
    <s v="Credit Card"/>
    <s v="Repeat Customer"/>
  </r>
  <r>
    <n v="10814"/>
    <s v="CUST169"/>
    <d v="2025-05-08T00:00:00"/>
    <s v="Sports"/>
    <x v="1"/>
    <n v="3"/>
    <n v="315.45999999999998"/>
    <n v="946.38"/>
    <s v="Wallet"/>
    <s v="Repeat Customer"/>
  </r>
  <r>
    <n v="10815"/>
    <s v="CUST311"/>
    <d v="2024-02-27T00:00:00"/>
    <s v="Home"/>
    <x v="0"/>
    <n v="9"/>
    <n v="153.18"/>
    <n v="1378.62"/>
    <s v="UPI"/>
    <s v="Repeat Customer"/>
  </r>
  <r>
    <n v="10816"/>
    <s v="CUST395"/>
    <d v="2025-12-02T00:00:00"/>
    <s v="Home"/>
    <x v="0"/>
    <n v="6"/>
    <n v="400.77"/>
    <n v="2404.62"/>
    <s v="UPI"/>
    <s v="Repeat Customer"/>
  </r>
  <r>
    <n v="10817"/>
    <s v="CUST243"/>
    <d v="2024-02-01T00:00:00"/>
    <s v="Sports"/>
    <x v="2"/>
    <n v="6"/>
    <n v="491.89"/>
    <n v="2951.34"/>
    <s v="Wallet"/>
    <s v="Repeat Customer"/>
  </r>
  <r>
    <n v="10818"/>
    <s v="CUST195"/>
    <d v="2025-09-01T00:00:00"/>
    <s v="Home"/>
    <x v="1"/>
    <n v="2"/>
    <n v="432.97"/>
    <n v="865.94"/>
    <s v="Credit Card"/>
    <s v="Repeat Customer"/>
  </r>
  <r>
    <n v="10819"/>
    <s v="CUST239"/>
    <d v="2025-02-27T00:00:00"/>
    <s v="Fashion"/>
    <x v="1"/>
    <n v="2"/>
    <n v="251.04"/>
    <n v="502.08"/>
    <s v="Wallet"/>
    <s v="Repeat Customer"/>
  </r>
  <r>
    <n v="10820"/>
    <s v="CUST254"/>
    <d v="2024-08-09T00:00:00"/>
    <s v="Electronics"/>
    <x v="1"/>
    <n v="9"/>
    <n v="154.65"/>
    <n v="1391.85"/>
    <s v="Credit Card"/>
    <s v="Repeat Customer"/>
  </r>
  <r>
    <n v="10821"/>
    <s v="CUST203"/>
    <d v="2024-04-04T00:00:00"/>
    <s v="Beauty"/>
    <x v="2"/>
    <n v="8"/>
    <n v="255.47"/>
    <n v="2043.76"/>
    <s v="UPI"/>
    <s v="Repeat Customer"/>
  </r>
  <r>
    <n v="10822"/>
    <s v="CUST274"/>
    <d v="2025-05-10T00:00:00"/>
    <s v="Home"/>
    <x v="2"/>
    <n v="9"/>
    <n v="158.63"/>
    <n v="1427.67"/>
    <s v="Credit Card"/>
    <s v="Repeat Customer"/>
  </r>
  <r>
    <n v="10823"/>
    <s v="CUST364"/>
    <d v="2025-11-23T00:00:00"/>
    <s v="Electronics"/>
    <x v="3"/>
    <n v="3"/>
    <n v="106.57"/>
    <n v="319.70999999999998"/>
    <s v="Wallet"/>
    <s v="Repeat Customer"/>
  </r>
  <r>
    <n v="10824"/>
    <s v="CUST367"/>
    <d v="2024-04-28T00:00:00"/>
    <s v="Electronics"/>
    <x v="0"/>
    <n v="1"/>
    <n v="158.94"/>
    <n v="158.94"/>
    <s v="Net Banking"/>
    <s v="Repeat Customer"/>
  </r>
  <r>
    <n v="10825"/>
    <s v="CUST339"/>
    <d v="2024-02-17T00:00:00"/>
    <s v="Home"/>
    <x v="0"/>
    <n v="2"/>
    <n v="262.69"/>
    <n v="525.38"/>
    <s v="Net Banking"/>
    <s v="Repeat Customer"/>
  </r>
  <r>
    <n v="10826"/>
    <s v="CUST207"/>
    <d v="2024-11-24T00:00:00"/>
    <s v="Home"/>
    <x v="1"/>
    <n v="4"/>
    <n v="100.31"/>
    <n v="401.24"/>
    <s v="Wallet"/>
    <s v="Repeat Customer"/>
  </r>
  <r>
    <n v="10827"/>
    <s v="CUST160"/>
    <d v="2024-10-06T00:00:00"/>
    <s v="Electronics"/>
    <x v="0"/>
    <n v="3"/>
    <n v="82.96"/>
    <n v="248.88"/>
    <s v="Credit Card"/>
    <s v="Repeat Customer"/>
  </r>
  <r>
    <n v="10828"/>
    <s v="CUST205"/>
    <d v="2025-07-09T00:00:00"/>
    <s v="Home"/>
    <x v="2"/>
    <n v="6"/>
    <n v="276.94"/>
    <n v="1661.64"/>
    <s v="Net Banking"/>
    <s v="Repeat Customer"/>
  </r>
  <r>
    <n v="10829"/>
    <s v="CUST393"/>
    <d v="2024-09-07T00:00:00"/>
    <s v="Sports"/>
    <x v="1"/>
    <n v="3"/>
    <n v="40.270000000000003"/>
    <n v="120.81"/>
    <s v="Wallet"/>
    <s v="Repeat Customer"/>
  </r>
  <r>
    <n v="10830"/>
    <s v="CUST125"/>
    <d v="2024-05-13T00:00:00"/>
    <s v="Electronics"/>
    <x v="0"/>
    <n v="1"/>
    <n v="238.01"/>
    <n v="238.01"/>
    <s v="Wallet"/>
    <s v="Repeat Customer"/>
  </r>
  <r>
    <n v="10831"/>
    <s v="CUST127"/>
    <d v="2024-03-29T00:00:00"/>
    <s v="Sports"/>
    <x v="3"/>
    <n v="7"/>
    <n v="199"/>
    <n v="1393"/>
    <s v="Net Banking"/>
    <s v="Repeat Customer"/>
  </r>
  <r>
    <n v="10832"/>
    <s v="CUST259"/>
    <d v="2024-12-06T00:00:00"/>
    <s v="Sports"/>
    <x v="0"/>
    <n v="4"/>
    <n v="357.88"/>
    <n v="1431.52"/>
    <s v="Wallet"/>
    <s v="Repeat Customer"/>
  </r>
  <r>
    <n v="10833"/>
    <s v="CUST390"/>
    <d v="2024-05-14T00:00:00"/>
    <s v="Beauty"/>
    <x v="0"/>
    <n v="2"/>
    <n v="407.36"/>
    <n v="814.72"/>
    <s v="Wallet"/>
    <s v="Repeat Customer"/>
  </r>
  <r>
    <n v="10834"/>
    <s v="CUST258"/>
    <d v="2025-12-01T00:00:00"/>
    <s v="Fashion"/>
    <x v="2"/>
    <n v="8"/>
    <n v="237.92"/>
    <n v="1903.36"/>
    <s v="Net Banking"/>
    <s v="Repeat Customer"/>
  </r>
  <r>
    <n v="10835"/>
    <s v="CUST286"/>
    <d v="2025-02-05T00:00:00"/>
    <s v="Home"/>
    <x v="1"/>
    <n v="3"/>
    <n v="351.31"/>
    <n v="1053.93"/>
    <s v="Wallet"/>
    <s v="Repeat Customer"/>
  </r>
  <r>
    <n v="10836"/>
    <s v="CUST349"/>
    <d v="2024-01-31T00:00:00"/>
    <s v="Home"/>
    <x v="3"/>
    <n v="2"/>
    <n v="240.29"/>
    <n v="480.58"/>
    <s v="Wallet"/>
    <s v="Repeat Customer"/>
  </r>
  <r>
    <n v="10837"/>
    <s v="CUST187"/>
    <d v="2024-10-16T00:00:00"/>
    <s v="Fashion"/>
    <x v="0"/>
    <n v="6"/>
    <n v="304.2"/>
    <n v="1825.2"/>
    <s v="Wallet"/>
    <s v="Repeat Customer"/>
  </r>
  <r>
    <n v="10838"/>
    <s v="CUST154"/>
    <d v="2024-11-29T00:00:00"/>
    <s v="Home"/>
    <x v="3"/>
    <n v="9"/>
    <n v="326.48"/>
    <n v="2938.32"/>
    <s v="Wallet"/>
    <s v="Repeat Customer"/>
  </r>
  <r>
    <n v="10839"/>
    <s v="CUST311"/>
    <d v="2024-09-01T00:00:00"/>
    <s v="Fashion"/>
    <x v="3"/>
    <n v="10"/>
    <n v="125.63"/>
    <n v="1256.3"/>
    <s v="Wallet"/>
    <s v="Repeat Customer"/>
  </r>
  <r>
    <n v="10840"/>
    <s v="CUST133"/>
    <d v="2024-12-14T00:00:00"/>
    <s v="Sports"/>
    <x v="3"/>
    <n v="4"/>
    <n v="407.89"/>
    <n v="1631.56"/>
    <s v="Wallet"/>
    <s v="Repeat Customer"/>
  </r>
  <r>
    <n v="10841"/>
    <s v="CUST390"/>
    <d v="2024-12-16T00:00:00"/>
    <s v="Fashion"/>
    <x v="0"/>
    <n v="9"/>
    <n v="348.6"/>
    <n v="3137.4"/>
    <s v="Wallet"/>
    <s v="Repeat Customer"/>
  </r>
  <r>
    <n v="10842"/>
    <s v="CUST158"/>
    <d v="2025-08-29T00:00:00"/>
    <s v="Sports"/>
    <x v="0"/>
    <n v="10"/>
    <n v="234.14"/>
    <n v="2341.4"/>
    <s v="Wallet"/>
    <s v="Repeat Customer"/>
  </r>
  <r>
    <n v="10843"/>
    <s v="CUST190"/>
    <d v="2024-11-11T00:00:00"/>
    <s v="Electronics"/>
    <x v="3"/>
    <n v="7"/>
    <n v="39.46"/>
    <n v="276.22000000000003"/>
    <s v="Net Banking"/>
    <s v="Repeat Customer"/>
  </r>
  <r>
    <n v="10844"/>
    <s v="CUST353"/>
    <d v="2025-10-22T00:00:00"/>
    <s v="Fashion"/>
    <x v="0"/>
    <n v="1"/>
    <n v="49.81"/>
    <n v="49.81"/>
    <s v="UPI"/>
    <s v="New Customer"/>
  </r>
  <r>
    <n v="10845"/>
    <s v="CUST176"/>
    <d v="2025-04-08T00:00:00"/>
    <s v="Sports"/>
    <x v="3"/>
    <n v="9"/>
    <n v="149.29"/>
    <n v="1343.61"/>
    <s v="UPI"/>
    <s v="Repeat Customer"/>
  </r>
  <r>
    <n v="10846"/>
    <s v="CUST205"/>
    <d v="2025-11-28T00:00:00"/>
    <s v="Home"/>
    <x v="3"/>
    <n v="6"/>
    <n v="153.37"/>
    <n v="920.22"/>
    <s v="Net Banking"/>
    <s v="Repeat Customer"/>
  </r>
  <r>
    <n v="10847"/>
    <s v="CUST145"/>
    <d v="2025-08-19T00:00:00"/>
    <s v="Sports"/>
    <x v="3"/>
    <n v="1"/>
    <n v="307.69"/>
    <n v="307.69"/>
    <s v="UPI"/>
    <s v="Repeat Customer"/>
  </r>
  <r>
    <n v="10848"/>
    <s v="CUST250"/>
    <d v="2024-03-04T00:00:00"/>
    <s v="Electronics"/>
    <x v="0"/>
    <n v="6"/>
    <n v="451.03"/>
    <n v="2706.18"/>
    <s v="Net Banking"/>
    <s v="Repeat Customer"/>
  </r>
  <r>
    <n v="10849"/>
    <s v="CUST156"/>
    <d v="2024-10-15T00:00:00"/>
    <s v="Sports"/>
    <x v="3"/>
    <n v="1"/>
    <n v="121.44"/>
    <n v="121.44"/>
    <s v="Net Banking"/>
    <s v="Repeat Customer"/>
  </r>
  <r>
    <n v="10850"/>
    <s v="CUST295"/>
    <d v="2025-02-19T00:00:00"/>
    <s v="Fashion"/>
    <x v="2"/>
    <n v="7"/>
    <n v="220.42"/>
    <n v="1542.94"/>
    <s v="Wallet"/>
    <s v="Repeat Customer"/>
  </r>
  <r>
    <n v="10851"/>
    <s v="CUST171"/>
    <d v="2024-07-11T00:00:00"/>
    <s v="Home"/>
    <x v="3"/>
    <n v="9"/>
    <n v="195.37"/>
    <n v="1758.33"/>
    <s v="UPI"/>
    <s v="Repeat Customer"/>
  </r>
  <r>
    <n v="10852"/>
    <s v="CUST247"/>
    <d v="2025-11-17T00:00:00"/>
    <s v="Electronics"/>
    <x v="0"/>
    <n v="3"/>
    <n v="71.47"/>
    <n v="214.41"/>
    <s v="UPI"/>
    <s v="Repeat Customer"/>
  </r>
  <r>
    <n v="10853"/>
    <s v="CUST349"/>
    <d v="2025-11-04T00:00:00"/>
    <s v="Fashion"/>
    <x v="0"/>
    <n v="7"/>
    <n v="487.61"/>
    <n v="3413.27"/>
    <s v="UPI"/>
    <s v="Repeat Customer"/>
  </r>
  <r>
    <n v="10854"/>
    <s v="CUST312"/>
    <d v="2025-04-11T00:00:00"/>
    <s v="Sports"/>
    <x v="2"/>
    <n v="10"/>
    <n v="465.5"/>
    <n v="4655"/>
    <s v="Wallet"/>
    <s v="Repeat Customer"/>
  </r>
  <r>
    <n v="10855"/>
    <s v="CUST360"/>
    <d v="2025-03-10T00:00:00"/>
    <s v="Beauty"/>
    <x v="1"/>
    <n v="9"/>
    <n v="410.94"/>
    <n v="3698.46"/>
    <s v="UPI"/>
    <s v="Repeat Customer"/>
  </r>
  <r>
    <n v="10856"/>
    <s v="CUST195"/>
    <d v="2025-03-10T00:00:00"/>
    <s v="Beauty"/>
    <x v="2"/>
    <n v="10"/>
    <n v="8.68"/>
    <n v="86.8"/>
    <s v="Net Banking"/>
    <s v="Repeat Customer"/>
  </r>
  <r>
    <n v="10857"/>
    <s v="CUST310"/>
    <d v="2025-07-13T00:00:00"/>
    <s v="Electronics"/>
    <x v="3"/>
    <n v="10"/>
    <n v="186.65"/>
    <n v="1866.5"/>
    <s v="Net Banking"/>
    <s v="Repeat Customer"/>
  </r>
  <r>
    <n v="10858"/>
    <s v="CUST157"/>
    <d v="2025-08-17T00:00:00"/>
    <s v="Electronics"/>
    <x v="2"/>
    <n v="8"/>
    <n v="481.06"/>
    <n v="3848.48"/>
    <s v="Net Banking"/>
    <s v="Repeat Customer"/>
  </r>
  <r>
    <n v="10859"/>
    <s v="CUST338"/>
    <d v="2025-06-13T00:00:00"/>
    <s v="Sports"/>
    <x v="0"/>
    <n v="2"/>
    <n v="264.06"/>
    <n v="528.12"/>
    <s v="UPI"/>
    <s v="Repeat Customer"/>
  </r>
  <r>
    <n v="10860"/>
    <s v="CUST341"/>
    <d v="2025-10-07T00:00:00"/>
    <s v="Sports"/>
    <x v="1"/>
    <n v="2"/>
    <n v="343.62"/>
    <n v="687.24"/>
    <s v="Credit Card"/>
    <s v="Repeat Customer"/>
  </r>
  <r>
    <n v="10861"/>
    <s v="CUST275"/>
    <d v="2025-07-01T00:00:00"/>
    <s v="Sports"/>
    <x v="3"/>
    <n v="1"/>
    <n v="237.09"/>
    <n v="237.09"/>
    <s v="Net Banking"/>
    <s v="Repeat Customer"/>
  </r>
  <r>
    <n v="10862"/>
    <s v="CUST315"/>
    <d v="2024-12-27T00:00:00"/>
    <s v="Electronics"/>
    <x v="1"/>
    <n v="5"/>
    <n v="148.16"/>
    <n v="740.8"/>
    <s v="Net Banking"/>
    <s v="Repeat Customer"/>
  </r>
  <r>
    <n v="10863"/>
    <s v="CUST131"/>
    <d v="2025-10-06T00:00:00"/>
    <s v="Sports"/>
    <x v="0"/>
    <n v="8"/>
    <n v="291.18"/>
    <n v="2329.44"/>
    <s v="Net Banking"/>
    <s v="Repeat Customer"/>
  </r>
  <r>
    <n v="10864"/>
    <s v="CUST113"/>
    <d v="2024-10-20T00:00:00"/>
    <s v="Sports"/>
    <x v="0"/>
    <n v="8"/>
    <n v="45.84"/>
    <n v="366.72"/>
    <s v="Net Banking"/>
    <s v="Repeat Customer"/>
  </r>
  <r>
    <n v="10865"/>
    <s v="CUST229"/>
    <d v="2024-05-15T00:00:00"/>
    <s v="Home"/>
    <x v="0"/>
    <n v="10"/>
    <n v="144.08000000000001"/>
    <n v="1440.8"/>
    <s v="Credit Card"/>
    <s v="Repeat Customer"/>
  </r>
  <r>
    <n v="10866"/>
    <s v="CUST189"/>
    <d v="2025-08-28T00:00:00"/>
    <s v="Home"/>
    <x v="2"/>
    <n v="3"/>
    <n v="331.28"/>
    <n v="993.84"/>
    <s v="Net Banking"/>
    <s v="Repeat Customer"/>
  </r>
  <r>
    <n v="10867"/>
    <s v="CUST220"/>
    <d v="2025-05-11T00:00:00"/>
    <s v="Electronics"/>
    <x v="1"/>
    <n v="3"/>
    <n v="400.69"/>
    <n v="1202.07"/>
    <s v="Credit Card"/>
    <s v="Repeat Customer"/>
  </r>
  <r>
    <n v="10868"/>
    <s v="CUST174"/>
    <d v="2025-09-01T00:00:00"/>
    <s v="Beauty"/>
    <x v="3"/>
    <n v="3"/>
    <n v="419.62"/>
    <n v="1258.8599999999999"/>
    <s v="UPI"/>
    <s v="Repeat Customer"/>
  </r>
  <r>
    <n v="10869"/>
    <s v="CUST325"/>
    <d v="2025-10-14T00:00:00"/>
    <s v="Home"/>
    <x v="0"/>
    <n v="3"/>
    <n v="109.37"/>
    <n v="328.11"/>
    <s v="Net Banking"/>
    <s v="Repeat Customer"/>
  </r>
  <r>
    <n v="10870"/>
    <s v="CUST159"/>
    <d v="2024-02-23T00:00:00"/>
    <s v="Beauty"/>
    <x v="1"/>
    <n v="3"/>
    <n v="234.69"/>
    <n v="704.07"/>
    <s v="Wallet"/>
    <s v="Repeat Customer"/>
  </r>
  <r>
    <n v="10871"/>
    <s v="CUST372"/>
    <d v="2024-08-27T00:00:00"/>
    <s v="Beauty"/>
    <x v="3"/>
    <n v="7"/>
    <n v="343.34"/>
    <n v="2403.38"/>
    <s v="Net Banking"/>
    <s v="Repeat Customer"/>
  </r>
  <r>
    <n v="10872"/>
    <s v="CUST174"/>
    <d v="2025-06-27T00:00:00"/>
    <s v="Beauty"/>
    <x v="3"/>
    <n v="7"/>
    <n v="10.87"/>
    <n v="76.09"/>
    <s v="Net Banking"/>
    <s v="Repeat Customer"/>
  </r>
  <r>
    <n v="10873"/>
    <s v="CUST371"/>
    <d v="2025-11-30T00:00:00"/>
    <s v="Sports"/>
    <x v="1"/>
    <n v="1"/>
    <n v="53.2"/>
    <n v="53.2"/>
    <s v="Wallet"/>
    <s v="Repeat Customer"/>
  </r>
  <r>
    <n v="10874"/>
    <s v="CUST239"/>
    <d v="2024-12-09T00:00:00"/>
    <s v="Electronics"/>
    <x v="1"/>
    <n v="5"/>
    <n v="137.21"/>
    <n v="686.05"/>
    <s v="Wallet"/>
    <s v="Repeat Customer"/>
  </r>
  <r>
    <n v="10875"/>
    <s v="CUST336"/>
    <d v="2025-11-22T00:00:00"/>
    <s v="Sports"/>
    <x v="2"/>
    <n v="4"/>
    <n v="368.49"/>
    <n v="1473.96"/>
    <s v="Net Banking"/>
    <s v="Repeat Customer"/>
  </r>
  <r>
    <n v="10876"/>
    <s v="CUST192"/>
    <d v="2024-11-16T00:00:00"/>
    <s v="Electronics"/>
    <x v="0"/>
    <n v="9"/>
    <n v="10.24"/>
    <n v="92.16"/>
    <s v="Credit Card"/>
    <s v="Repeat Customer"/>
  </r>
  <r>
    <n v="10877"/>
    <s v="CUST310"/>
    <d v="2024-04-10T00:00:00"/>
    <s v="Beauty"/>
    <x v="1"/>
    <n v="9"/>
    <n v="56.43"/>
    <n v="507.87"/>
    <s v="UPI"/>
    <s v="Repeat Customer"/>
  </r>
  <r>
    <n v="10878"/>
    <s v="CUST245"/>
    <d v="2024-09-14T00:00:00"/>
    <s v="Sports"/>
    <x v="0"/>
    <n v="4"/>
    <n v="21.85"/>
    <n v="87.4"/>
    <s v="Credit Card"/>
    <s v="Repeat Customer"/>
  </r>
  <r>
    <n v="10879"/>
    <s v="CUST211"/>
    <d v="2025-09-05T00:00:00"/>
    <s v="Electronics"/>
    <x v="0"/>
    <n v="2"/>
    <n v="355.5"/>
    <n v="711"/>
    <s v="UPI"/>
    <s v="Repeat Customer"/>
  </r>
  <r>
    <n v="10880"/>
    <s v="CUST292"/>
    <d v="2025-11-03T00:00:00"/>
    <s v="Fashion"/>
    <x v="0"/>
    <n v="10"/>
    <n v="402.58"/>
    <n v="4025.8"/>
    <s v="UPI"/>
    <s v="Repeat Customer"/>
  </r>
  <r>
    <n v="10881"/>
    <s v="CUST229"/>
    <d v="2024-10-28T00:00:00"/>
    <s v="Electronics"/>
    <x v="3"/>
    <n v="8"/>
    <n v="331.94"/>
    <n v="2655.52"/>
    <s v="Net Banking"/>
    <s v="Repeat Customer"/>
  </r>
  <r>
    <n v="10882"/>
    <s v="CUST318"/>
    <d v="2025-12-09T00:00:00"/>
    <s v="Electronics"/>
    <x v="1"/>
    <n v="6"/>
    <n v="132.38"/>
    <n v="794.28"/>
    <s v="Credit Card"/>
    <s v="Repeat Customer"/>
  </r>
  <r>
    <n v="10883"/>
    <s v="CUST295"/>
    <d v="2025-02-01T00:00:00"/>
    <s v="Home"/>
    <x v="1"/>
    <n v="6"/>
    <n v="498"/>
    <n v="2988"/>
    <s v="UPI"/>
    <s v="Repeat Customer"/>
  </r>
  <r>
    <n v="10884"/>
    <s v="CUST325"/>
    <d v="2024-03-12T00:00:00"/>
    <s v="Fashion"/>
    <x v="3"/>
    <n v="8"/>
    <n v="489.81"/>
    <n v="3918.48"/>
    <s v="UPI"/>
    <s v="Repeat Customer"/>
  </r>
  <r>
    <n v="10885"/>
    <s v="CUST351"/>
    <d v="2024-04-21T00:00:00"/>
    <s v="Beauty"/>
    <x v="2"/>
    <n v="3"/>
    <n v="272.61"/>
    <n v="817.83"/>
    <s v="Credit Card"/>
    <s v="Repeat Customer"/>
  </r>
  <r>
    <n v="10886"/>
    <s v="CUST326"/>
    <d v="2024-09-22T00:00:00"/>
    <s v="Electronics"/>
    <x v="1"/>
    <n v="2"/>
    <n v="22.26"/>
    <n v="44.52"/>
    <s v="Wallet"/>
    <s v="Repeat Customer"/>
  </r>
  <r>
    <n v="10887"/>
    <s v="CUST109"/>
    <d v="2025-05-24T00:00:00"/>
    <s v="Electronics"/>
    <x v="0"/>
    <n v="3"/>
    <n v="328.17"/>
    <n v="984.51"/>
    <s v="Wallet"/>
    <s v="Repeat Customer"/>
  </r>
  <r>
    <n v="10888"/>
    <s v="CUST236"/>
    <d v="2024-06-04T00:00:00"/>
    <s v="Sports"/>
    <x v="0"/>
    <n v="6"/>
    <n v="452.79"/>
    <n v="2716.74"/>
    <s v="Wallet"/>
    <s v="Repeat Customer"/>
  </r>
  <r>
    <n v="10889"/>
    <s v="CUST344"/>
    <d v="2025-03-22T00:00:00"/>
    <s v="Electronics"/>
    <x v="2"/>
    <n v="7"/>
    <n v="422.8"/>
    <n v="2959.6"/>
    <s v="Credit Card"/>
    <s v="Repeat Customer"/>
  </r>
  <r>
    <n v="10890"/>
    <s v="CUST296"/>
    <d v="2025-12-06T00:00:00"/>
    <s v="Sports"/>
    <x v="1"/>
    <n v="8"/>
    <n v="65"/>
    <n v="520"/>
    <s v="Net Banking"/>
    <s v="Repeat Customer"/>
  </r>
  <r>
    <n v="10891"/>
    <s v="CUST255"/>
    <d v="2025-02-14T00:00:00"/>
    <s v="Electronics"/>
    <x v="1"/>
    <n v="1"/>
    <n v="317.97000000000003"/>
    <n v="317.97000000000003"/>
    <s v="Net Banking"/>
    <s v="Repeat Customer"/>
  </r>
  <r>
    <n v="10892"/>
    <s v="CUST141"/>
    <d v="2025-04-15T00:00:00"/>
    <s v="Fashion"/>
    <x v="0"/>
    <n v="5"/>
    <n v="325.66000000000003"/>
    <n v="1628.3"/>
    <s v="Wallet"/>
    <s v="Repeat Customer"/>
  </r>
  <r>
    <n v="10893"/>
    <s v="CUST197"/>
    <d v="2024-11-02T00:00:00"/>
    <s v="Home"/>
    <x v="3"/>
    <n v="7"/>
    <n v="448.75"/>
    <n v="3141.25"/>
    <s v="Credit Card"/>
    <s v="Repeat Customer"/>
  </r>
  <r>
    <n v="10894"/>
    <s v="CUST324"/>
    <d v="2024-07-13T00:00:00"/>
    <s v="Electronics"/>
    <x v="2"/>
    <n v="3"/>
    <n v="22.67"/>
    <n v="68.010000000000005"/>
    <s v="Wallet"/>
    <s v="Repeat Customer"/>
  </r>
  <r>
    <n v="10895"/>
    <s v="CUST299"/>
    <d v="2024-03-05T00:00:00"/>
    <s v="Beauty"/>
    <x v="3"/>
    <n v="9"/>
    <n v="323.49"/>
    <n v="2911.41"/>
    <s v="Credit Card"/>
    <s v="Repeat Customer"/>
  </r>
  <r>
    <n v="10896"/>
    <s v="CUST118"/>
    <d v="2024-12-13T00:00:00"/>
    <s v="Electronics"/>
    <x v="3"/>
    <n v="1"/>
    <n v="172.17"/>
    <n v="172.17"/>
    <s v="Credit Card"/>
    <s v="Repeat Customer"/>
  </r>
  <r>
    <n v="10897"/>
    <s v="CUST208"/>
    <d v="2025-10-31T00:00:00"/>
    <s v="Sports"/>
    <x v="2"/>
    <n v="9"/>
    <n v="231.89"/>
    <n v="2087.0100000000002"/>
    <s v="UPI"/>
    <s v="Repeat Customer"/>
  </r>
  <r>
    <n v="10898"/>
    <s v="CUST136"/>
    <d v="2024-02-07T00:00:00"/>
    <s v="Electronics"/>
    <x v="3"/>
    <n v="3"/>
    <n v="247"/>
    <n v="741"/>
    <s v="Credit Card"/>
    <s v="Repeat Customer"/>
  </r>
  <r>
    <n v="10899"/>
    <s v="CUST224"/>
    <d v="2025-12-19T00:00:00"/>
    <s v="Electronics"/>
    <x v="1"/>
    <n v="3"/>
    <n v="12.11"/>
    <n v="36.33"/>
    <s v="Credit Card"/>
    <s v="Repeat Customer"/>
  </r>
  <r>
    <n v="10900"/>
    <s v="CUST333"/>
    <d v="2025-09-17T00:00:00"/>
    <s v="Electronics"/>
    <x v="0"/>
    <n v="3"/>
    <n v="418.5"/>
    <n v="1255.5"/>
    <s v="Credit Card"/>
    <s v="Repeat Customer"/>
  </r>
  <r>
    <n v="10901"/>
    <s v="CUST354"/>
    <d v="2025-09-01T00:00:00"/>
    <s v="Fashion"/>
    <x v="3"/>
    <n v="10"/>
    <n v="114.18"/>
    <n v="1141.8"/>
    <s v="Net Banking"/>
    <s v="Repeat Customer"/>
  </r>
  <r>
    <n v="10902"/>
    <s v="CUST305"/>
    <d v="2024-11-28T00:00:00"/>
    <s v="Sports"/>
    <x v="2"/>
    <n v="2"/>
    <n v="488.05"/>
    <n v="976.1"/>
    <s v="Net Banking"/>
    <s v="Repeat Customer"/>
  </r>
  <r>
    <n v="10903"/>
    <s v="CUST209"/>
    <d v="2024-02-16T00:00:00"/>
    <s v="Electronics"/>
    <x v="0"/>
    <n v="10"/>
    <n v="90.86"/>
    <n v="908.6"/>
    <s v="Net Banking"/>
    <s v="Repeat Customer"/>
  </r>
  <r>
    <n v="10904"/>
    <s v="CUST172"/>
    <d v="2025-03-01T00:00:00"/>
    <s v="Sports"/>
    <x v="2"/>
    <n v="3"/>
    <n v="349.67"/>
    <n v="1049.01"/>
    <s v="Wallet"/>
    <s v="Repeat Customer"/>
  </r>
  <r>
    <n v="10905"/>
    <s v="CUST224"/>
    <d v="2025-08-18T00:00:00"/>
    <s v="Sports"/>
    <x v="3"/>
    <n v="1"/>
    <n v="71.02"/>
    <n v="71.02"/>
    <s v="UPI"/>
    <s v="Repeat Customer"/>
  </r>
  <r>
    <n v="10906"/>
    <s v="CUST108"/>
    <d v="2025-05-13T00:00:00"/>
    <s v="Fashion"/>
    <x v="0"/>
    <n v="2"/>
    <n v="8.14"/>
    <n v="16.28"/>
    <s v="Net Banking"/>
    <s v="Repeat Customer"/>
  </r>
  <r>
    <n v="10907"/>
    <s v="CUST313"/>
    <d v="2025-12-11T00:00:00"/>
    <s v="Fashion"/>
    <x v="2"/>
    <n v="8"/>
    <n v="347.72"/>
    <n v="2781.76"/>
    <s v="Net Banking"/>
    <s v="Repeat Customer"/>
  </r>
  <r>
    <n v="10908"/>
    <s v="CUST367"/>
    <d v="2025-04-06T00:00:00"/>
    <s v="Fashion"/>
    <x v="0"/>
    <n v="7"/>
    <n v="123.43"/>
    <n v="864.01"/>
    <s v="UPI"/>
    <s v="Repeat Customer"/>
  </r>
  <r>
    <n v="10909"/>
    <s v="CUST355"/>
    <d v="2025-09-18T00:00:00"/>
    <s v="Home"/>
    <x v="1"/>
    <n v="2"/>
    <n v="315.45999999999998"/>
    <n v="630.91999999999996"/>
    <s v="Wallet"/>
    <s v="Repeat Customer"/>
  </r>
  <r>
    <n v="10910"/>
    <s v="CUST102"/>
    <d v="2025-07-25T00:00:00"/>
    <s v="Sports"/>
    <x v="0"/>
    <n v="4"/>
    <n v="99.99"/>
    <n v="399.96"/>
    <s v="Net Banking"/>
    <s v="Repeat Customer"/>
  </r>
  <r>
    <n v="10911"/>
    <s v="CUST376"/>
    <d v="2025-06-03T00:00:00"/>
    <s v="Fashion"/>
    <x v="1"/>
    <n v="4"/>
    <n v="234.79"/>
    <n v="939.16"/>
    <s v="Credit Card"/>
    <s v="Repeat Customer"/>
  </r>
  <r>
    <n v="10912"/>
    <s v="CUST199"/>
    <d v="2024-04-25T00:00:00"/>
    <s v="Beauty"/>
    <x v="3"/>
    <n v="3"/>
    <n v="344.2"/>
    <n v="1032.5999999999999"/>
    <s v="UPI"/>
    <s v="Repeat Customer"/>
  </r>
  <r>
    <n v="10913"/>
    <s v="CUST181"/>
    <d v="2025-11-17T00:00:00"/>
    <s v="Home"/>
    <x v="1"/>
    <n v="1"/>
    <n v="31.74"/>
    <n v="31.74"/>
    <s v="UPI"/>
    <s v="Repeat Customer"/>
  </r>
  <r>
    <n v="10914"/>
    <s v="CUST322"/>
    <d v="2024-09-14T00:00:00"/>
    <s v="Beauty"/>
    <x v="0"/>
    <n v="6"/>
    <n v="310.33"/>
    <n v="1861.98"/>
    <s v="Credit Card"/>
    <s v="Repeat Customer"/>
  </r>
  <r>
    <n v="10915"/>
    <s v="CUST126"/>
    <d v="2025-07-04T00:00:00"/>
    <s v="Electronics"/>
    <x v="3"/>
    <n v="3"/>
    <n v="83.23"/>
    <n v="249.69"/>
    <s v="Credit Card"/>
    <s v="Repeat Customer"/>
  </r>
  <r>
    <n v="10916"/>
    <s v="CUST136"/>
    <d v="2024-08-28T00:00:00"/>
    <s v="Home"/>
    <x v="3"/>
    <n v="8"/>
    <n v="298.39"/>
    <n v="2387.12"/>
    <s v="UPI"/>
    <s v="Repeat Customer"/>
  </r>
  <r>
    <n v="10917"/>
    <s v="CUST266"/>
    <d v="2024-08-23T00:00:00"/>
    <s v="Electronics"/>
    <x v="2"/>
    <n v="2"/>
    <n v="166.44"/>
    <n v="332.88"/>
    <s v="Wallet"/>
    <s v="Repeat Customer"/>
  </r>
  <r>
    <n v="10918"/>
    <s v="CUST202"/>
    <d v="2025-01-19T00:00:00"/>
    <s v="Sports"/>
    <x v="3"/>
    <n v="4"/>
    <n v="41.4"/>
    <n v="165.6"/>
    <s v="Credit Card"/>
    <s v="Repeat Customer"/>
  </r>
  <r>
    <n v="10919"/>
    <s v="CUST323"/>
    <d v="2024-05-28T00:00:00"/>
    <s v="Beauty"/>
    <x v="2"/>
    <n v="4"/>
    <n v="464.3"/>
    <n v="1857.2"/>
    <s v="Wallet"/>
    <s v="Repeat Customer"/>
  </r>
  <r>
    <n v="10920"/>
    <s v="CUST291"/>
    <d v="2024-05-19T00:00:00"/>
    <s v="Home"/>
    <x v="1"/>
    <n v="8"/>
    <n v="361.31"/>
    <n v="2890.48"/>
    <s v="UPI"/>
    <s v="Repeat Customer"/>
  </r>
  <r>
    <n v="10921"/>
    <s v="CUST271"/>
    <d v="2024-05-10T00:00:00"/>
    <s v="Electronics"/>
    <x v="1"/>
    <n v="1"/>
    <n v="347.64"/>
    <n v="347.64"/>
    <s v="UPI"/>
    <s v="Repeat Customer"/>
  </r>
  <r>
    <n v="10922"/>
    <s v="CUST156"/>
    <d v="2025-04-21T00:00:00"/>
    <s v="Home"/>
    <x v="2"/>
    <n v="8"/>
    <n v="212.02"/>
    <n v="1696.16"/>
    <s v="Net Banking"/>
    <s v="Repeat Customer"/>
  </r>
  <r>
    <n v="10923"/>
    <s v="CUST180"/>
    <d v="2025-10-15T00:00:00"/>
    <s v="Sports"/>
    <x v="2"/>
    <n v="10"/>
    <n v="453.26"/>
    <n v="4532.6000000000004"/>
    <s v="Credit Card"/>
    <s v="Repeat Customer"/>
  </r>
  <r>
    <n v="10924"/>
    <s v="CUST310"/>
    <d v="2025-06-18T00:00:00"/>
    <s v="Fashion"/>
    <x v="3"/>
    <n v="8"/>
    <n v="431.79"/>
    <n v="3454.32"/>
    <s v="Wallet"/>
    <s v="Repeat Customer"/>
  </r>
  <r>
    <n v="10925"/>
    <s v="CUST242"/>
    <d v="2024-01-15T00:00:00"/>
    <s v="Fashion"/>
    <x v="2"/>
    <n v="7"/>
    <n v="369.41"/>
    <n v="2585.87"/>
    <s v="Net Banking"/>
    <s v="Repeat Customer"/>
  </r>
  <r>
    <n v="10926"/>
    <s v="CUST322"/>
    <d v="2025-08-16T00:00:00"/>
    <s v="Sports"/>
    <x v="2"/>
    <n v="4"/>
    <n v="446.45"/>
    <n v="1785.8"/>
    <s v="Credit Card"/>
    <s v="Repeat Customer"/>
  </r>
  <r>
    <n v="10927"/>
    <s v="CUST313"/>
    <d v="2024-02-15T00:00:00"/>
    <s v="Sports"/>
    <x v="0"/>
    <n v="1"/>
    <n v="495.68"/>
    <n v="495.68"/>
    <s v="Wallet"/>
    <s v="Repeat Customer"/>
  </r>
  <r>
    <n v="10928"/>
    <s v="CUST371"/>
    <d v="2025-02-07T00:00:00"/>
    <s v="Electronics"/>
    <x v="3"/>
    <n v="8"/>
    <n v="405.81"/>
    <n v="3246.48"/>
    <s v="Wallet"/>
    <s v="Repeat Customer"/>
  </r>
  <r>
    <n v="10929"/>
    <s v="CUST223"/>
    <d v="2024-03-26T00:00:00"/>
    <s v="Beauty"/>
    <x v="2"/>
    <n v="9"/>
    <n v="377.77"/>
    <n v="3399.93"/>
    <s v="UPI"/>
    <s v="Repeat Customer"/>
  </r>
  <r>
    <n v="10930"/>
    <s v="CUST283"/>
    <d v="2024-10-29T00:00:00"/>
    <s v="Electronics"/>
    <x v="0"/>
    <n v="4"/>
    <n v="325.58"/>
    <n v="1302.32"/>
    <s v="Wallet"/>
    <s v="Repeat Customer"/>
  </r>
  <r>
    <n v="10931"/>
    <s v="CUST256"/>
    <d v="2024-06-14T00:00:00"/>
    <s v="Sports"/>
    <x v="0"/>
    <n v="8"/>
    <n v="429.67"/>
    <n v="3437.36"/>
    <s v="Wallet"/>
    <s v="Repeat Customer"/>
  </r>
  <r>
    <n v="10932"/>
    <s v="CUST337"/>
    <d v="2024-05-21T00:00:00"/>
    <s v="Home"/>
    <x v="3"/>
    <n v="7"/>
    <n v="96.55"/>
    <n v="675.85"/>
    <s v="Credit Card"/>
    <s v="Repeat Customer"/>
  </r>
  <r>
    <n v="10933"/>
    <s v="CUST136"/>
    <d v="2025-01-29T00:00:00"/>
    <s v="Home"/>
    <x v="3"/>
    <n v="6"/>
    <n v="267.81"/>
    <n v="1606.86"/>
    <s v="Net Banking"/>
    <s v="Repeat Customer"/>
  </r>
  <r>
    <n v="10934"/>
    <s v="CUST377"/>
    <d v="2025-08-12T00:00:00"/>
    <s v="Electronics"/>
    <x v="1"/>
    <n v="4"/>
    <n v="394.91"/>
    <n v="1579.64"/>
    <s v="Credit Card"/>
    <s v="Repeat Customer"/>
  </r>
  <r>
    <n v="10935"/>
    <s v="CUST363"/>
    <d v="2025-11-21T00:00:00"/>
    <s v="Electronics"/>
    <x v="3"/>
    <n v="6"/>
    <n v="444.55"/>
    <n v="2667.3"/>
    <s v="Net Banking"/>
    <s v="Repeat Customer"/>
  </r>
  <r>
    <n v="10936"/>
    <s v="CUST338"/>
    <d v="2025-09-25T00:00:00"/>
    <s v="Fashion"/>
    <x v="0"/>
    <n v="1"/>
    <n v="185.96"/>
    <n v="185.96"/>
    <s v="UPI"/>
    <s v="Repeat Customer"/>
  </r>
  <r>
    <n v="10937"/>
    <s v="CUST170"/>
    <d v="2024-12-08T00:00:00"/>
    <s v="Beauty"/>
    <x v="2"/>
    <n v="4"/>
    <n v="272.12"/>
    <n v="1088.48"/>
    <s v="UPI"/>
    <s v="Repeat Customer"/>
  </r>
  <r>
    <n v="10938"/>
    <s v="CUST264"/>
    <d v="2024-12-27T00:00:00"/>
    <s v="Beauty"/>
    <x v="1"/>
    <n v="5"/>
    <n v="254.27"/>
    <n v="1271.3499999999999"/>
    <s v="Credit Card"/>
    <s v="Repeat Customer"/>
  </r>
  <r>
    <n v="10939"/>
    <s v="CUST132"/>
    <d v="2025-01-16T00:00:00"/>
    <s v="Sports"/>
    <x v="0"/>
    <n v="6"/>
    <n v="228.94"/>
    <n v="1373.64"/>
    <s v="Wallet"/>
    <s v="Repeat Customer"/>
  </r>
  <r>
    <n v="10940"/>
    <s v="CUST372"/>
    <d v="2025-11-25T00:00:00"/>
    <s v="Beauty"/>
    <x v="1"/>
    <n v="9"/>
    <n v="450.23"/>
    <n v="4052.07"/>
    <s v="Credit Card"/>
    <s v="Repeat Customer"/>
  </r>
  <r>
    <n v="10941"/>
    <s v="CUST196"/>
    <d v="2025-04-13T00:00:00"/>
    <s v="Fashion"/>
    <x v="1"/>
    <n v="2"/>
    <n v="44.68"/>
    <n v="89.36"/>
    <s v="Credit Card"/>
    <s v="Repeat Customer"/>
  </r>
  <r>
    <n v="10942"/>
    <s v="CUST155"/>
    <d v="2024-06-17T00:00:00"/>
    <s v="Fashion"/>
    <x v="3"/>
    <n v="5"/>
    <n v="60.45"/>
    <n v="302.25"/>
    <s v="UPI"/>
    <s v="Repeat Customer"/>
  </r>
  <r>
    <n v="10943"/>
    <s v="CUST204"/>
    <d v="2025-06-17T00:00:00"/>
    <s v="Sports"/>
    <x v="2"/>
    <n v="1"/>
    <n v="150.12"/>
    <n v="150.12"/>
    <s v="Wallet"/>
    <s v="Repeat Customer"/>
  </r>
  <r>
    <n v="10944"/>
    <s v="CUST277"/>
    <d v="2025-03-06T00:00:00"/>
    <s v="Electronics"/>
    <x v="1"/>
    <n v="8"/>
    <n v="370.17"/>
    <n v="2961.36"/>
    <s v="UPI"/>
    <s v="Repeat Customer"/>
  </r>
  <r>
    <n v="10945"/>
    <s v="CUST132"/>
    <d v="2024-01-23T00:00:00"/>
    <s v="Sports"/>
    <x v="1"/>
    <n v="4"/>
    <n v="418.3"/>
    <n v="1673.2"/>
    <s v="Wallet"/>
    <s v="Repeat Customer"/>
  </r>
  <r>
    <n v="10946"/>
    <s v="CUST396"/>
    <d v="2024-12-17T00:00:00"/>
    <s v="Sports"/>
    <x v="3"/>
    <n v="6"/>
    <n v="245.64"/>
    <n v="1473.84"/>
    <s v="Wallet"/>
    <s v="Repeat Customer"/>
  </r>
  <r>
    <n v="10947"/>
    <s v="CUST255"/>
    <d v="2025-08-03T00:00:00"/>
    <s v="Home"/>
    <x v="2"/>
    <n v="3"/>
    <n v="449.65"/>
    <n v="1348.95"/>
    <s v="Net Banking"/>
    <s v="Repeat Customer"/>
  </r>
  <r>
    <n v="10948"/>
    <s v="CUST216"/>
    <d v="2025-05-10T00:00:00"/>
    <s v="Electronics"/>
    <x v="2"/>
    <n v="6"/>
    <n v="485.51"/>
    <n v="2913.06"/>
    <s v="Net Banking"/>
    <s v="Repeat Customer"/>
  </r>
  <r>
    <n v="10949"/>
    <s v="CUST245"/>
    <d v="2025-04-11T00:00:00"/>
    <s v="Fashion"/>
    <x v="1"/>
    <n v="3"/>
    <n v="311.22000000000003"/>
    <n v="933.66"/>
    <s v="UPI"/>
    <s v="Repeat Customer"/>
  </r>
  <r>
    <n v="10950"/>
    <s v="CUST189"/>
    <d v="2025-12-26T00:00:00"/>
    <s v="Electronics"/>
    <x v="0"/>
    <n v="3"/>
    <n v="84.82"/>
    <n v="254.46"/>
    <s v="Net Banking"/>
    <s v="Repeat Customer"/>
  </r>
  <r>
    <n v="10951"/>
    <s v="CUST394"/>
    <d v="2024-05-09T00:00:00"/>
    <s v="Fashion"/>
    <x v="2"/>
    <n v="8"/>
    <n v="133.9"/>
    <n v="1071.2"/>
    <s v="Credit Card"/>
    <s v="Repeat Customer"/>
  </r>
  <r>
    <n v="10952"/>
    <s v="CUST262"/>
    <d v="2024-12-18T00:00:00"/>
    <s v="Sports"/>
    <x v="2"/>
    <n v="3"/>
    <n v="189.59"/>
    <n v="568.77"/>
    <s v="Net Banking"/>
    <s v="Repeat Customer"/>
  </r>
  <r>
    <n v="10953"/>
    <s v="CUST162"/>
    <d v="2024-01-26T00:00:00"/>
    <s v="Fashion"/>
    <x v="3"/>
    <n v="7"/>
    <n v="465.88"/>
    <n v="3261.16"/>
    <s v="Net Banking"/>
    <s v="Repeat Customer"/>
  </r>
  <r>
    <n v="10954"/>
    <s v="CUST179"/>
    <d v="2024-01-05T00:00:00"/>
    <s v="Home"/>
    <x v="1"/>
    <n v="9"/>
    <n v="487.92"/>
    <n v="4391.28"/>
    <s v="Wallet"/>
    <s v="Repeat Customer"/>
  </r>
  <r>
    <n v="10955"/>
    <s v="CUST248"/>
    <d v="2025-08-10T00:00:00"/>
    <s v="Beauty"/>
    <x v="1"/>
    <n v="3"/>
    <n v="400.79"/>
    <n v="1202.3699999999999"/>
    <s v="Credit Card"/>
    <s v="Repeat Customer"/>
  </r>
  <r>
    <n v="10956"/>
    <s v="CUST345"/>
    <d v="2024-02-11T00:00:00"/>
    <s v="Electronics"/>
    <x v="1"/>
    <n v="3"/>
    <n v="340.61"/>
    <n v="1021.83"/>
    <s v="Credit Card"/>
    <s v="Repeat Customer"/>
  </r>
  <r>
    <n v="10957"/>
    <s v="CUST305"/>
    <d v="2025-09-24T00:00:00"/>
    <s v="Electronics"/>
    <x v="1"/>
    <n v="4"/>
    <n v="225.76"/>
    <n v="903.04"/>
    <s v="Credit Card"/>
    <s v="Repeat Customer"/>
  </r>
  <r>
    <n v="10958"/>
    <s v="CUST199"/>
    <d v="2025-08-20T00:00:00"/>
    <s v="Home"/>
    <x v="2"/>
    <n v="9"/>
    <n v="114.96"/>
    <n v="1034.6400000000001"/>
    <s v="Credit Card"/>
    <s v="Repeat Customer"/>
  </r>
  <r>
    <n v="10959"/>
    <s v="CUST142"/>
    <d v="2025-07-05T00:00:00"/>
    <s v="Electronics"/>
    <x v="3"/>
    <n v="8"/>
    <n v="340.15"/>
    <n v="2721.2"/>
    <s v="UPI"/>
    <s v="Repeat Customer"/>
  </r>
  <r>
    <n v="10960"/>
    <s v="CUST351"/>
    <d v="2024-11-21T00:00:00"/>
    <s v="Electronics"/>
    <x v="1"/>
    <n v="10"/>
    <n v="304.51"/>
    <n v="3045.1"/>
    <s v="Wallet"/>
    <s v="Repeat Customer"/>
  </r>
  <r>
    <n v="10961"/>
    <s v="CUST175"/>
    <d v="2025-03-13T00:00:00"/>
    <s v="Electronics"/>
    <x v="1"/>
    <n v="6"/>
    <n v="196.13"/>
    <n v="1176.78"/>
    <s v="Net Banking"/>
    <s v="Repeat Customer"/>
  </r>
  <r>
    <n v="10962"/>
    <s v="CUST279"/>
    <d v="2024-11-11T00:00:00"/>
    <s v="Electronics"/>
    <x v="2"/>
    <n v="8"/>
    <n v="437.78"/>
    <n v="3502.24"/>
    <s v="Wallet"/>
    <s v="Repeat Customer"/>
  </r>
  <r>
    <n v="10963"/>
    <s v="CUST312"/>
    <d v="2025-03-29T00:00:00"/>
    <s v="Beauty"/>
    <x v="3"/>
    <n v="5"/>
    <n v="86.08"/>
    <n v="430.4"/>
    <s v="UPI"/>
    <s v="Repeat Customer"/>
  </r>
  <r>
    <n v="10964"/>
    <s v="CUST144"/>
    <d v="2024-05-27T00:00:00"/>
    <s v="Sports"/>
    <x v="1"/>
    <n v="4"/>
    <n v="155.1"/>
    <n v="620.4"/>
    <s v="Credit Card"/>
    <s v="Repeat Customer"/>
  </r>
  <r>
    <n v="10965"/>
    <s v="CUST292"/>
    <d v="2024-03-31T00:00:00"/>
    <s v="Home"/>
    <x v="3"/>
    <n v="1"/>
    <n v="207.68"/>
    <n v="207.68"/>
    <s v="UPI"/>
    <s v="Repeat Customer"/>
  </r>
  <r>
    <n v="10966"/>
    <s v="CUST384"/>
    <d v="2025-04-18T00:00:00"/>
    <s v="Fashion"/>
    <x v="2"/>
    <n v="10"/>
    <n v="378.85"/>
    <n v="3788.5"/>
    <s v="UPI"/>
    <s v="Repeat Customer"/>
  </r>
  <r>
    <n v="10967"/>
    <s v="CUST295"/>
    <d v="2024-10-23T00:00:00"/>
    <s v="Home"/>
    <x v="1"/>
    <n v="9"/>
    <n v="247.84"/>
    <n v="2230.56"/>
    <s v="Wallet"/>
    <s v="Repeat Customer"/>
  </r>
  <r>
    <n v="10968"/>
    <s v="CUST386"/>
    <d v="2025-04-19T00:00:00"/>
    <s v="Electronics"/>
    <x v="2"/>
    <n v="4"/>
    <n v="18.29"/>
    <n v="73.16"/>
    <s v="Net Banking"/>
    <s v="Repeat Customer"/>
  </r>
  <r>
    <n v="10969"/>
    <s v="CUST253"/>
    <d v="2025-10-17T00:00:00"/>
    <s v="Home"/>
    <x v="3"/>
    <n v="8"/>
    <n v="66.47"/>
    <n v="531.76"/>
    <s v="UPI"/>
    <s v="Repeat Customer"/>
  </r>
  <r>
    <n v="10970"/>
    <s v="CUST351"/>
    <d v="2025-12-05T00:00:00"/>
    <s v="Home"/>
    <x v="3"/>
    <n v="4"/>
    <n v="19.079999999999998"/>
    <n v="76.319999999999993"/>
    <s v="Credit Card"/>
    <s v="Repeat Customer"/>
  </r>
  <r>
    <n v="10971"/>
    <s v="CUST285"/>
    <d v="2025-08-18T00:00:00"/>
    <s v="Home"/>
    <x v="3"/>
    <n v="8"/>
    <n v="284.95999999999998"/>
    <n v="2279.6799999999998"/>
    <s v="Credit Card"/>
    <s v="Repeat Customer"/>
  </r>
  <r>
    <n v="10972"/>
    <s v="CUST291"/>
    <d v="2025-06-08T00:00:00"/>
    <s v="Home"/>
    <x v="2"/>
    <n v="10"/>
    <n v="13.68"/>
    <n v="136.80000000000001"/>
    <s v="Credit Card"/>
    <s v="Repeat Customer"/>
  </r>
  <r>
    <n v="10973"/>
    <s v="CUST174"/>
    <d v="2024-11-23T00:00:00"/>
    <s v="Fashion"/>
    <x v="1"/>
    <n v="8"/>
    <n v="439.77"/>
    <n v="3518.16"/>
    <s v="UPI"/>
    <s v="Repeat Customer"/>
  </r>
  <r>
    <n v="10974"/>
    <s v="CUST127"/>
    <d v="2024-10-06T00:00:00"/>
    <s v="Home"/>
    <x v="0"/>
    <n v="6"/>
    <n v="212.66"/>
    <n v="1275.96"/>
    <s v="Net Banking"/>
    <s v="Repeat Customer"/>
  </r>
  <r>
    <n v="10975"/>
    <s v="CUST249"/>
    <d v="2025-06-26T00:00:00"/>
    <s v="Fashion"/>
    <x v="0"/>
    <n v="2"/>
    <n v="259.36"/>
    <n v="518.72"/>
    <s v="UPI"/>
    <s v="Repeat Customer"/>
  </r>
  <r>
    <n v="10976"/>
    <s v="CUST378"/>
    <d v="2024-11-26T00:00:00"/>
    <s v="Home"/>
    <x v="1"/>
    <n v="6"/>
    <n v="414.28"/>
    <n v="2485.6799999999998"/>
    <s v="Net Banking"/>
    <s v="Repeat Customer"/>
  </r>
  <r>
    <n v="10977"/>
    <s v="CUST149"/>
    <d v="2025-07-01T00:00:00"/>
    <s v="Fashion"/>
    <x v="0"/>
    <n v="10"/>
    <n v="179.06"/>
    <n v="1790.6"/>
    <s v="UPI"/>
    <s v="Repeat Customer"/>
  </r>
  <r>
    <n v="10978"/>
    <s v="CUST365"/>
    <d v="2024-10-15T00:00:00"/>
    <s v="Beauty"/>
    <x v="1"/>
    <n v="6"/>
    <n v="390.51"/>
    <n v="2343.06"/>
    <s v="UPI"/>
    <s v="Repeat Customer"/>
  </r>
  <r>
    <n v="10979"/>
    <s v="CUST152"/>
    <d v="2024-08-11T00:00:00"/>
    <s v="Fashion"/>
    <x v="0"/>
    <n v="3"/>
    <n v="254.17"/>
    <n v="762.51"/>
    <s v="Wallet"/>
    <s v="Repeat Customer"/>
  </r>
  <r>
    <n v="10980"/>
    <s v="CUST335"/>
    <d v="2024-03-19T00:00:00"/>
    <s v="Electronics"/>
    <x v="3"/>
    <n v="2"/>
    <n v="410.33"/>
    <n v="820.66"/>
    <s v="Net Banking"/>
    <s v="Repeat Customer"/>
  </r>
  <r>
    <n v="10981"/>
    <s v="CUST259"/>
    <d v="2025-12-08T00:00:00"/>
    <s v="Beauty"/>
    <x v="1"/>
    <n v="6"/>
    <n v="73.81"/>
    <n v="442.86"/>
    <s v="UPI"/>
    <s v="Repeat Customer"/>
  </r>
  <r>
    <n v="10982"/>
    <s v="CUST255"/>
    <d v="2024-01-30T00:00:00"/>
    <s v="Fashion"/>
    <x v="2"/>
    <n v="2"/>
    <n v="115.07"/>
    <n v="230.14"/>
    <s v="Net Banking"/>
    <s v="Repeat Customer"/>
  </r>
  <r>
    <n v="10983"/>
    <s v="CUST164"/>
    <d v="2024-08-02T00:00:00"/>
    <s v="Beauty"/>
    <x v="0"/>
    <n v="3"/>
    <n v="490.65"/>
    <n v="1471.95"/>
    <s v="Credit Card"/>
    <s v="Repeat Customer"/>
  </r>
  <r>
    <n v="10984"/>
    <s v="CUST109"/>
    <d v="2025-05-10T00:00:00"/>
    <s v="Electronics"/>
    <x v="0"/>
    <n v="7"/>
    <n v="26.05"/>
    <n v="182.35"/>
    <s v="Credit Card"/>
    <s v="Repeat Customer"/>
  </r>
  <r>
    <n v="10985"/>
    <s v="CUST340"/>
    <d v="2024-05-01T00:00:00"/>
    <s v="Home"/>
    <x v="0"/>
    <n v="5"/>
    <n v="26.42"/>
    <n v="132.1"/>
    <s v="Credit Card"/>
    <s v="Repeat Customer"/>
  </r>
  <r>
    <n v="10986"/>
    <s v="CUST163"/>
    <d v="2025-09-08T00:00:00"/>
    <s v="Fashion"/>
    <x v="2"/>
    <n v="4"/>
    <n v="295.86"/>
    <n v="1183.44"/>
    <s v="Net Banking"/>
    <s v="Repeat Customer"/>
  </r>
  <r>
    <n v="10987"/>
    <s v="CUST114"/>
    <d v="2024-04-02T00:00:00"/>
    <s v="Home"/>
    <x v="1"/>
    <n v="3"/>
    <n v="423.7"/>
    <n v="1271.0999999999999"/>
    <s v="Net Banking"/>
    <s v="Repeat Customer"/>
  </r>
  <r>
    <n v="10988"/>
    <s v="CUST182"/>
    <d v="2025-05-27T00:00:00"/>
    <s v="Sports"/>
    <x v="0"/>
    <n v="10"/>
    <n v="124.7"/>
    <n v="1247"/>
    <s v="Credit Card"/>
    <s v="Repeat Customer"/>
  </r>
  <r>
    <n v="10989"/>
    <s v="CUST396"/>
    <d v="2024-01-15T00:00:00"/>
    <s v="Fashion"/>
    <x v="1"/>
    <n v="9"/>
    <n v="112.41"/>
    <n v="1011.69"/>
    <s v="UPI"/>
    <s v="Repeat Customer"/>
  </r>
  <r>
    <n v="10990"/>
    <s v="CUST375"/>
    <d v="2024-01-05T00:00:00"/>
    <s v="Sports"/>
    <x v="3"/>
    <n v="2"/>
    <n v="462.49"/>
    <n v="924.98"/>
    <s v="Net Banking"/>
    <s v="Repeat Customer"/>
  </r>
  <r>
    <n v="10991"/>
    <s v="CUST194"/>
    <d v="2025-03-26T00:00:00"/>
    <s v="Home"/>
    <x v="3"/>
    <n v="2"/>
    <n v="94.52"/>
    <n v="189.04"/>
    <s v="Wallet"/>
    <s v="Repeat Customer"/>
  </r>
  <r>
    <n v="10992"/>
    <s v="CUST209"/>
    <d v="2025-06-10T00:00:00"/>
    <s v="Home"/>
    <x v="0"/>
    <n v="4"/>
    <n v="206.75"/>
    <n v="827"/>
    <s v="Wallet"/>
    <s v="Repeat Customer"/>
  </r>
  <r>
    <n v="10993"/>
    <s v="CUST156"/>
    <d v="2025-06-16T00:00:00"/>
    <s v="Home"/>
    <x v="1"/>
    <n v="3"/>
    <n v="250.43"/>
    <n v="751.29"/>
    <s v="Credit Card"/>
    <s v="Repeat Customer"/>
  </r>
  <r>
    <n v="10994"/>
    <s v="CUST142"/>
    <d v="2024-12-01T00:00:00"/>
    <s v="Home"/>
    <x v="3"/>
    <n v="8"/>
    <n v="62.28"/>
    <n v="498.24"/>
    <s v="Net Banking"/>
    <s v="Repeat Customer"/>
  </r>
  <r>
    <n v="10995"/>
    <s v="CUST327"/>
    <d v="2024-08-19T00:00:00"/>
    <s v="Beauty"/>
    <x v="2"/>
    <n v="9"/>
    <n v="206.6"/>
    <n v="1859.4"/>
    <s v="Credit Card"/>
    <s v="Repeat Customer"/>
  </r>
  <r>
    <n v="10996"/>
    <s v="CUST343"/>
    <d v="2025-11-26T00:00:00"/>
    <s v="Beauty"/>
    <x v="0"/>
    <n v="6"/>
    <n v="93.75"/>
    <n v="562.5"/>
    <s v="Wallet"/>
    <s v="Repeat Customer"/>
  </r>
  <r>
    <n v="10997"/>
    <s v="CUST324"/>
    <d v="2025-06-19T00:00:00"/>
    <s v="Beauty"/>
    <x v="3"/>
    <n v="2"/>
    <n v="64.010000000000005"/>
    <n v="128.02000000000001"/>
    <s v="Credit Card"/>
    <s v="Repeat Customer"/>
  </r>
  <r>
    <n v="10998"/>
    <s v="CUST186"/>
    <d v="2024-03-07T00:00:00"/>
    <s v="Home"/>
    <x v="2"/>
    <n v="6"/>
    <n v="487.73"/>
    <n v="2926.38"/>
    <s v="Wallet"/>
    <s v="Repeat Customer"/>
  </r>
  <r>
    <n v="10999"/>
    <s v="CUST162"/>
    <d v="2024-08-26T00:00:00"/>
    <s v="Home"/>
    <x v="1"/>
    <n v="7"/>
    <n v="363.97"/>
    <n v="2547.79"/>
    <s v="Wallet"/>
    <s v="Repeat Customer"/>
  </r>
  <r>
    <n v="11000"/>
    <s v="CUST282"/>
    <d v="2025-05-02T00:00:00"/>
    <s v="Beauty"/>
    <x v="1"/>
    <n v="10"/>
    <n v="475.32"/>
    <n v="4753.2"/>
    <s v="UPI"/>
    <s v="Repeat Customer"/>
  </r>
  <r>
    <n v="11001"/>
    <s v="CUST332"/>
    <d v="2024-04-20T00:00:00"/>
    <s v="Beauty"/>
    <x v="2"/>
    <n v="2"/>
    <n v="129.09"/>
    <n v="258.18"/>
    <s v="UPI"/>
    <s v="Repeat Customer"/>
  </r>
  <r>
    <n v="11002"/>
    <s v="CUST115"/>
    <d v="2024-04-11T00:00:00"/>
    <s v="Beauty"/>
    <x v="0"/>
    <n v="1"/>
    <n v="416"/>
    <n v="416"/>
    <s v="UPI"/>
    <s v="Repeat Customer"/>
  </r>
  <r>
    <n v="11003"/>
    <s v="CUST295"/>
    <d v="2025-09-11T00:00:00"/>
    <s v="Sports"/>
    <x v="0"/>
    <n v="6"/>
    <n v="80.599999999999994"/>
    <n v="483.6"/>
    <s v="Credit Card"/>
    <s v="Repeat Customer"/>
  </r>
  <r>
    <n v="11004"/>
    <s v="CUST366"/>
    <d v="2025-05-19T00:00:00"/>
    <s v="Beauty"/>
    <x v="3"/>
    <n v="8"/>
    <n v="104.96"/>
    <n v="839.68"/>
    <s v="Net Banking"/>
    <s v="Repeat Customer"/>
  </r>
  <r>
    <n v="11005"/>
    <s v="CUST377"/>
    <d v="2024-12-17T00:00:00"/>
    <s v="Electronics"/>
    <x v="3"/>
    <n v="9"/>
    <n v="275.58"/>
    <n v="2480.2199999999998"/>
    <s v="Credit Card"/>
    <s v="Repeat Customer"/>
  </r>
  <r>
    <n v="11006"/>
    <s v="CUST296"/>
    <d v="2025-04-05T00:00:00"/>
    <s v="Beauty"/>
    <x v="3"/>
    <n v="6"/>
    <n v="427.17"/>
    <n v="2563.02"/>
    <s v="Credit Card"/>
    <s v="Repeat Customer"/>
  </r>
  <r>
    <n v="11007"/>
    <s v="CUST116"/>
    <d v="2024-06-30T00:00:00"/>
    <s v="Home"/>
    <x v="2"/>
    <n v="9"/>
    <n v="331.41"/>
    <n v="2982.69"/>
    <s v="Wallet"/>
    <s v="Repeat Customer"/>
  </r>
  <r>
    <n v="11008"/>
    <s v="CUST320"/>
    <d v="2024-05-17T00:00:00"/>
    <s v="Beauty"/>
    <x v="0"/>
    <n v="5"/>
    <n v="359.28"/>
    <n v="1796.4"/>
    <s v="Wallet"/>
    <s v="Repeat Customer"/>
  </r>
  <r>
    <n v="11009"/>
    <s v="CUST383"/>
    <d v="2025-12-02T00:00:00"/>
    <s v="Beauty"/>
    <x v="2"/>
    <n v="9"/>
    <n v="288.24"/>
    <n v="2594.16"/>
    <s v="Credit Card"/>
    <s v="Repeat Customer"/>
  </r>
  <r>
    <n v="11010"/>
    <s v="CUST300"/>
    <d v="2024-09-26T00:00:00"/>
    <s v="Beauty"/>
    <x v="1"/>
    <n v="8"/>
    <n v="297.57"/>
    <n v="2380.56"/>
    <s v="Net Banking"/>
    <s v="Repeat Customer"/>
  </r>
  <r>
    <n v="11011"/>
    <s v="CUST264"/>
    <d v="2024-03-03T00:00:00"/>
    <s v="Fashion"/>
    <x v="1"/>
    <n v="1"/>
    <n v="297.27999999999997"/>
    <n v="297.27999999999997"/>
    <s v="Net Banking"/>
    <s v="Repeat Customer"/>
  </r>
  <r>
    <n v="11012"/>
    <s v="CUST398"/>
    <d v="2024-01-28T00:00:00"/>
    <s v="Beauty"/>
    <x v="1"/>
    <n v="6"/>
    <n v="193.38"/>
    <n v="1160.28"/>
    <s v="Net Banking"/>
    <s v="Repeat Customer"/>
  </r>
  <r>
    <n v="11013"/>
    <s v="CUST310"/>
    <d v="2024-12-25T00:00:00"/>
    <s v="Fashion"/>
    <x v="2"/>
    <n v="1"/>
    <n v="332.31"/>
    <n v="332.31"/>
    <s v="Net Banking"/>
    <s v="Repeat Customer"/>
  </r>
  <r>
    <n v="11014"/>
    <s v="CUST143"/>
    <d v="2025-12-05T00:00:00"/>
    <s v="Electronics"/>
    <x v="1"/>
    <n v="2"/>
    <n v="435.13"/>
    <n v="870.26"/>
    <s v="UPI"/>
    <s v="Repeat Customer"/>
  </r>
  <r>
    <n v="11015"/>
    <s v="CUST110"/>
    <d v="2025-07-05T00:00:00"/>
    <s v="Beauty"/>
    <x v="3"/>
    <n v="6"/>
    <n v="23.5"/>
    <n v="141"/>
    <s v="Net Banking"/>
    <s v="Repeat Customer"/>
  </r>
  <r>
    <n v="11016"/>
    <s v="CUST110"/>
    <d v="2025-12-13T00:00:00"/>
    <s v="Home"/>
    <x v="3"/>
    <n v="8"/>
    <n v="296.05"/>
    <n v="2368.4"/>
    <s v="Wallet"/>
    <s v="Repeat Customer"/>
  </r>
  <r>
    <n v="11017"/>
    <s v="CUST265"/>
    <d v="2025-08-09T00:00:00"/>
    <s v="Electronics"/>
    <x v="2"/>
    <n v="2"/>
    <n v="405.12"/>
    <n v="810.24"/>
    <s v="Net Banking"/>
    <s v="New Customer"/>
  </r>
  <r>
    <n v="11018"/>
    <s v="CUST354"/>
    <d v="2025-05-29T00:00:00"/>
    <s v="Home"/>
    <x v="1"/>
    <n v="6"/>
    <n v="87.48"/>
    <n v="524.88"/>
    <s v="Wallet"/>
    <s v="Repeat Customer"/>
  </r>
  <r>
    <n v="11019"/>
    <s v="CUST203"/>
    <d v="2025-05-23T00:00:00"/>
    <s v="Sports"/>
    <x v="2"/>
    <n v="2"/>
    <n v="420.99"/>
    <n v="841.98"/>
    <s v="Net Banking"/>
    <s v="Repeat Customer"/>
  </r>
  <r>
    <n v="11020"/>
    <s v="CUST235"/>
    <d v="2024-02-18T00:00:00"/>
    <s v="Beauty"/>
    <x v="2"/>
    <n v="5"/>
    <n v="498.13"/>
    <n v="2490.65"/>
    <s v="Credit Card"/>
    <s v="Repeat Customer"/>
  </r>
  <r>
    <n v="11021"/>
    <s v="CUST396"/>
    <d v="2024-04-07T00:00:00"/>
    <s v="Electronics"/>
    <x v="3"/>
    <n v="10"/>
    <n v="171.73"/>
    <n v="1717.3"/>
    <s v="Wallet"/>
    <s v="Repeat Customer"/>
  </r>
  <r>
    <n v="11022"/>
    <s v="CUST207"/>
    <d v="2024-12-21T00:00:00"/>
    <s v="Home"/>
    <x v="1"/>
    <n v="2"/>
    <n v="327.51"/>
    <n v="655.02"/>
    <s v="Wallet"/>
    <s v="Repeat Customer"/>
  </r>
  <r>
    <n v="11023"/>
    <s v="CUST376"/>
    <d v="2024-11-16T00:00:00"/>
    <s v="Home"/>
    <x v="3"/>
    <n v="4"/>
    <n v="210.09"/>
    <n v="840.36"/>
    <s v="UPI"/>
    <s v="Repeat Customer"/>
  </r>
  <r>
    <n v="11024"/>
    <s v="CUST109"/>
    <d v="2025-10-04T00:00:00"/>
    <s v="Sports"/>
    <x v="3"/>
    <n v="9"/>
    <n v="432.04"/>
    <n v="3888.36"/>
    <s v="UPI"/>
    <s v="Repeat Customer"/>
  </r>
  <r>
    <n v="11025"/>
    <s v="CUST339"/>
    <d v="2024-10-01T00:00:00"/>
    <s v="Beauty"/>
    <x v="0"/>
    <n v="9"/>
    <n v="405.42"/>
    <n v="3648.78"/>
    <s v="UPI"/>
    <s v="Repeat Customer"/>
  </r>
  <r>
    <n v="11026"/>
    <s v="CUST286"/>
    <d v="2025-04-18T00:00:00"/>
    <s v="Home"/>
    <x v="3"/>
    <n v="3"/>
    <n v="123.99"/>
    <n v="371.97"/>
    <s v="Wallet"/>
    <s v="Repeat Customer"/>
  </r>
  <r>
    <n v="11027"/>
    <s v="CUST263"/>
    <d v="2024-03-06T00:00:00"/>
    <s v="Home"/>
    <x v="1"/>
    <n v="4"/>
    <n v="423.75"/>
    <n v="1695"/>
    <s v="UPI"/>
    <s v="Repeat Customer"/>
  </r>
  <r>
    <n v="11028"/>
    <s v="CUST231"/>
    <d v="2025-12-04T00:00:00"/>
    <s v="Fashion"/>
    <x v="0"/>
    <n v="10"/>
    <n v="121.88"/>
    <n v="1218.8"/>
    <s v="UPI"/>
    <s v="Repeat Customer"/>
  </r>
  <r>
    <n v="11029"/>
    <s v="CUST198"/>
    <d v="2024-01-29T00:00:00"/>
    <s v="Home"/>
    <x v="3"/>
    <n v="4"/>
    <n v="399.54"/>
    <n v="1598.16"/>
    <s v="Wallet"/>
    <s v="Repeat Customer"/>
  </r>
  <r>
    <n v="11030"/>
    <s v="CUST386"/>
    <d v="2025-03-22T00:00:00"/>
    <s v="Electronics"/>
    <x v="2"/>
    <n v="7"/>
    <n v="325.23"/>
    <n v="2276.61"/>
    <s v="UPI"/>
    <s v="Repeat Customer"/>
  </r>
  <r>
    <n v="11031"/>
    <s v="CUST239"/>
    <d v="2024-05-19T00:00:00"/>
    <s v="Home"/>
    <x v="2"/>
    <n v="1"/>
    <n v="132.91"/>
    <n v="132.91"/>
    <s v="Credit Card"/>
    <s v="Repeat Customer"/>
  </r>
  <r>
    <n v="11032"/>
    <s v="CUST348"/>
    <d v="2024-01-21T00:00:00"/>
    <s v="Electronics"/>
    <x v="1"/>
    <n v="1"/>
    <n v="430.49"/>
    <n v="430.49"/>
    <s v="Net Banking"/>
    <s v="Repeat Customer"/>
  </r>
  <r>
    <n v="11033"/>
    <s v="CUST132"/>
    <d v="2025-02-20T00:00:00"/>
    <s v="Electronics"/>
    <x v="3"/>
    <n v="6"/>
    <n v="337.48"/>
    <n v="2024.88"/>
    <s v="UPI"/>
    <s v="Repeat Customer"/>
  </r>
  <r>
    <n v="11034"/>
    <s v="CUST220"/>
    <d v="2024-04-24T00:00:00"/>
    <s v="Electronics"/>
    <x v="1"/>
    <n v="10"/>
    <n v="368.57"/>
    <n v="3685.7"/>
    <s v="Wallet"/>
    <s v="Repeat Customer"/>
  </r>
  <r>
    <n v="11035"/>
    <s v="CUST146"/>
    <d v="2024-08-31T00:00:00"/>
    <s v="Home"/>
    <x v="1"/>
    <n v="10"/>
    <n v="65.53"/>
    <n v="655.29999999999995"/>
    <s v="Wallet"/>
    <s v="Repeat Customer"/>
  </r>
  <r>
    <n v="11036"/>
    <s v="CUST220"/>
    <d v="2025-03-09T00:00:00"/>
    <s v="Fashion"/>
    <x v="2"/>
    <n v="4"/>
    <n v="76.42"/>
    <n v="305.68"/>
    <s v="Net Banking"/>
    <s v="Repeat Customer"/>
  </r>
  <r>
    <n v="11037"/>
    <s v="CUST325"/>
    <d v="2025-02-22T00:00:00"/>
    <s v="Electronics"/>
    <x v="3"/>
    <n v="5"/>
    <n v="432.14"/>
    <n v="2160.6999999999998"/>
    <s v="Net Banking"/>
    <s v="Repeat Customer"/>
  </r>
  <r>
    <n v="11038"/>
    <s v="CUST157"/>
    <d v="2024-11-20T00:00:00"/>
    <s v="Fashion"/>
    <x v="1"/>
    <n v="9"/>
    <n v="214.77"/>
    <n v="1932.93"/>
    <s v="UPI"/>
    <s v="Repeat Customer"/>
  </r>
  <r>
    <n v="11039"/>
    <s v="CUST285"/>
    <d v="2025-05-01T00:00:00"/>
    <s v="Electronics"/>
    <x v="0"/>
    <n v="6"/>
    <n v="411.58"/>
    <n v="2469.48"/>
    <s v="Credit Card"/>
    <s v="Repeat Customer"/>
  </r>
  <r>
    <n v="11040"/>
    <s v="CUST222"/>
    <d v="2024-09-16T00:00:00"/>
    <s v="Home"/>
    <x v="0"/>
    <n v="9"/>
    <n v="195.42"/>
    <n v="1758.78"/>
    <s v="UPI"/>
    <s v="Repeat Customer"/>
  </r>
  <r>
    <n v="11041"/>
    <s v="CUST326"/>
    <d v="2025-02-01T00:00:00"/>
    <s v="Beauty"/>
    <x v="1"/>
    <n v="1"/>
    <n v="455.35"/>
    <n v="455.35"/>
    <s v="Net Banking"/>
    <s v="Repeat Customer"/>
  </r>
  <r>
    <n v="11042"/>
    <s v="CUST146"/>
    <d v="2024-08-29T00:00:00"/>
    <s v="Fashion"/>
    <x v="3"/>
    <n v="5"/>
    <n v="109.14"/>
    <n v="545.70000000000005"/>
    <s v="Net Banking"/>
    <s v="Repeat Customer"/>
  </r>
  <r>
    <n v="11043"/>
    <s v="CUST308"/>
    <d v="2024-02-04T00:00:00"/>
    <s v="Beauty"/>
    <x v="3"/>
    <n v="5"/>
    <n v="433.89"/>
    <n v="2169.4499999999998"/>
    <s v="Wallet"/>
    <s v="Repeat Customer"/>
  </r>
  <r>
    <n v="11044"/>
    <s v="CUST270"/>
    <d v="2025-03-08T00:00:00"/>
    <s v="Home"/>
    <x v="0"/>
    <n v="2"/>
    <n v="413.08"/>
    <n v="826.16"/>
    <s v="Net Banking"/>
    <s v="Repeat Customer"/>
  </r>
  <r>
    <n v="11045"/>
    <s v="CUST315"/>
    <d v="2025-09-08T00:00:00"/>
    <s v="Beauty"/>
    <x v="0"/>
    <n v="9"/>
    <n v="370.2"/>
    <n v="3331.8"/>
    <s v="Credit Card"/>
    <s v="Repeat Customer"/>
  </r>
  <r>
    <n v="11046"/>
    <s v="CUST194"/>
    <d v="2025-10-07T00:00:00"/>
    <s v="Fashion"/>
    <x v="0"/>
    <n v="8"/>
    <n v="396.55"/>
    <n v="3172.4"/>
    <s v="Wallet"/>
    <s v="Repeat Customer"/>
  </r>
  <r>
    <n v="11047"/>
    <s v="CUST202"/>
    <d v="2025-10-05T00:00:00"/>
    <s v="Electronics"/>
    <x v="0"/>
    <n v="5"/>
    <n v="160.29"/>
    <n v="801.45"/>
    <s v="UPI"/>
    <s v="Repeat Customer"/>
  </r>
  <r>
    <n v="11048"/>
    <s v="CUST227"/>
    <d v="2025-06-12T00:00:00"/>
    <s v="Beauty"/>
    <x v="1"/>
    <n v="3"/>
    <n v="424.25"/>
    <n v="1272.75"/>
    <s v="Wallet"/>
    <s v="Repeat Customer"/>
  </r>
  <r>
    <n v="11049"/>
    <s v="CUST344"/>
    <d v="2024-05-16T00:00:00"/>
    <s v="Sports"/>
    <x v="1"/>
    <n v="5"/>
    <n v="90.87"/>
    <n v="454.35"/>
    <s v="Net Banking"/>
    <s v="Repeat Customer"/>
  </r>
  <r>
    <n v="11050"/>
    <s v="CUST201"/>
    <d v="2024-03-27T00:00:00"/>
    <s v="Beauty"/>
    <x v="3"/>
    <n v="7"/>
    <n v="186.96"/>
    <n v="1308.72"/>
    <s v="UPI"/>
    <s v="Repeat Customer"/>
  </r>
  <r>
    <n v="11051"/>
    <s v="CUST110"/>
    <d v="2024-01-24T00:00:00"/>
    <s v="Fashion"/>
    <x v="0"/>
    <n v="9"/>
    <n v="325.32"/>
    <n v="2927.88"/>
    <s v="Wallet"/>
    <s v="Repeat Customer"/>
  </r>
  <r>
    <n v="11052"/>
    <s v="CUST201"/>
    <d v="2024-09-25T00:00:00"/>
    <s v="Sports"/>
    <x v="3"/>
    <n v="3"/>
    <n v="29.64"/>
    <n v="88.92"/>
    <s v="Net Banking"/>
    <s v="Repeat Customer"/>
  </r>
  <r>
    <n v="11053"/>
    <s v="CUST176"/>
    <d v="2024-04-01T00:00:00"/>
    <s v="Sports"/>
    <x v="0"/>
    <n v="6"/>
    <n v="89.21"/>
    <n v="535.26"/>
    <s v="Credit Card"/>
    <s v="Repeat Customer"/>
  </r>
  <r>
    <n v="11054"/>
    <s v="CUST369"/>
    <d v="2025-03-21T00:00:00"/>
    <s v="Beauty"/>
    <x v="0"/>
    <n v="8"/>
    <n v="414.49"/>
    <n v="3315.92"/>
    <s v="UPI"/>
    <s v="Repeat Customer"/>
  </r>
  <r>
    <n v="11055"/>
    <s v="CUST204"/>
    <d v="2024-07-14T00:00:00"/>
    <s v="Beauty"/>
    <x v="3"/>
    <n v="5"/>
    <n v="147.54"/>
    <n v="737.7"/>
    <s v="UPI"/>
    <s v="Repeat Customer"/>
  </r>
  <r>
    <n v="11056"/>
    <s v="CUST320"/>
    <d v="2024-07-30T00:00:00"/>
    <s v="Home"/>
    <x v="2"/>
    <n v="10"/>
    <n v="111.71"/>
    <n v="1117.0999999999999"/>
    <s v="Wallet"/>
    <s v="Repeat Customer"/>
  </r>
  <r>
    <n v="11057"/>
    <s v="CUST192"/>
    <d v="2025-02-22T00:00:00"/>
    <s v="Home"/>
    <x v="2"/>
    <n v="3"/>
    <n v="19.239999999999998"/>
    <n v="57.72"/>
    <s v="Wallet"/>
    <s v="Repeat Customer"/>
  </r>
  <r>
    <n v="11058"/>
    <s v="CUST227"/>
    <d v="2025-01-13T00:00:00"/>
    <s v="Beauty"/>
    <x v="0"/>
    <n v="10"/>
    <n v="343.71"/>
    <n v="3437.1"/>
    <s v="Credit Card"/>
    <s v="Repeat Customer"/>
  </r>
  <r>
    <n v="11059"/>
    <s v="CUST340"/>
    <d v="2024-05-16T00:00:00"/>
    <s v="Beauty"/>
    <x v="2"/>
    <n v="6"/>
    <n v="487.33"/>
    <n v="2923.98"/>
    <s v="Wallet"/>
    <s v="Repeat Customer"/>
  </r>
  <r>
    <n v="11060"/>
    <s v="CUST316"/>
    <d v="2025-09-03T00:00:00"/>
    <s v="Sports"/>
    <x v="0"/>
    <n v="5"/>
    <n v="41.16"/>
    <n v="205.8"/>
    <s v="Credit Card"/>
    <s v="Repeat Customer"/>
  </r>
  <r>
    <n v="11061"/>
    <s v="CUST270"/>
    <d v="2024-08-28T00:00:00"/>
    <s v="Sports"/>
    <x v="0"/>
    <n v="8"/>
    <n v="454.57"/>
    <n v="3636.56"/>
    <s v="Credit Card"/>
    <s v="Repeat Customer"/>
  </r>
  <r>
    <n v="11062"/>
    <s v="CUST229"/>
    <d v="2025-05-31T00:00:00"/>
    <s v="Beauty"/>
    <x v="1"/>
    <n v="10"/>
    <n v="193.56"/>
    <n v="1935.6"/>
    <s v="UPI"/>
    <s v="Repeat Customer"/>
  </r>
  <r>
    <n v="11063"/>
    <s v="CUST386"/>
    <d v="2024-02-12T00:00:00"/>
    <s v="Fashion"/>
    <x v="3"/>
    <n v="10"/>
    <n v="93.79"/>
    <n v="937.9"/>
    <s v="Net Banking"/>
    <s v="Repeat Customer"/>
  </r>
  <r>
    <n v="11064"/>
    <s v="CUST339"/>
    <d v="2024-05-15T00:00:00"/>
    <s v="Sports"/>
    <x v="3"/>
    <n v="2"/>
    <n v="162.07"/>
    <n v="324.14"/>
    <s v="UPI"/>
    <s v="Repeat Customer"/>
  </r>
  <r>
    <n v="11065"/>
    <s v="CUST233"/>
    <d v="2024-04-29T00:00:00"/>
    <s v="Fashion"/>
    <x v="3"/>
    <n v="6"/>
    <n v="26.86"/>
    <n v="161.16"/>
    <s v="Net Banking"/>
    <s v="Repeat Customer"/>
  </r>
  <r>
    <n v="11066"/>
    <s v="CUST284"/>
    <d v="2025-03-16T00:00:00"/>
    <s v="Home"/>
    <x v="1"/>
    <n v="5"/>
    <n v="451.88"/>
    <n v="2259.4"/>
    <s v="Net Banking"/>
    <s v="Repeat Customer"/>
  </r>
  <r>
    <n v="11067"/>
    <s v="CUST323"/>
    <d v="2024-06-17T00:00:00"/>
    <s v="Beauty"/>
    <x v="2"/>
    <n v="6"/>
    <n v="369.75"/>
    <n v="2218.5"/>
    <s v="Wallet"/>
    <s v="Repeat Customer"/>
  </r>
  <r>
    <n v="11068"/>
    <s v="CUST127"/>
    <d v="2024-07-12T00:00:00"/>
    <s v="Fashion"/>
    <x v="0"/>
    <n v="3"/>
    <n v="32.01"/>
    <n v="96.03"/>
    <s v="Wallet"/>
    <s v="Repeat Customer"/>
  </r>
  <r>
    <n v="11069"/>
    <s v="CUST233"/>
    <d v="2024-06-16T00:00:00"/>
    <s v="Beauty"/>
    <x v="0"/>
    <n v="8"/>
    <n v="221.03"/>
    <n v="1768.24"/>
    <s v="Wallet"/>
    <s v="Repeat Customer"/>
  </r>
  <r>
    <n v="11070"/>
    <s v="CUST282"/>
    <d v="2025-12-27T00:00:00"/>
    <s v="Beauty"/>
    <x v="0"/>
    <n v="9"/>
    <n v="245.17"/>
    <n v="2206.5300000000002"/>
    <s v="UPI"/>
    <s v="Repeat Customer"/>
  </r>
  <r>
    <n v="11071"/>
    <s v="CUST163"/>
    <d v="2024-12-23T00:00:00"/>
    <s v="Home"/>
    <x v="2"/>
    <n v="2"/>
    <n v="105.85"/>
    <n v="211.7"/>
    <s v="UPI"/>
    <s v="Repeat Customer"/>
  </r>
  <r>
    <n v="11072"/>
    <s v="CUST360"/>
    <d v="2024-10-06T00:00:00"/>
    <s v="Sports"/>
    <x v="2"/>
    <n v="10"/>
    <n v="445.99"/>
    <n v="4459.8999999999996"/>
    <s v="Credit Card"/>
    <s v="Repeat Customer"/>
  </r>
  <r>
    <n v="11073"/>
    <s v="CUST369"/>
    <d v="2025-08-07T00:00:00"/>
    <s v="Electronics"/>
    <x v="2"/>
    <n v="3"/>
    <n v="211.13"/>
    <n v="633.39"/>
    <s v="Wallet"/>
    <s v="Repeat Customer"/>
  </r>
  <r>
    <n v="11074"/>
    <s v="CUST148"/>
    <d v="2024-12-02T00:00:00"/>
    <s v="Electronics"/>
    <x v="3"/>
    <n v="1"/>
    <n v="145.72"/>
    <n v="145.72"/>
    <s v="Net Banking"/>
    <s v="Repeat Customer"/>
  </r>
  <r>
    <n v="11075"/>
    <s v="CUST154"/>
    <d v="2024-11-27T00:00:00"/>
    <s v="Beauty"/>
    <x v="3"/>
    <n v="3"/>
    <n v="19.29"/>
    <n v="57.87"/>
    <s v="Wallet"/>
    <s v="Repeat Customer"/>
  </r>
  <r>
    <n v="11076"/>
    <s v="CUST237"/>
    <d v="2025-08-31T00:00:00"/>
    <s v="Electronics"/>
    <x v="3"/>
    <n v="1"/>
    <n v="168.07"/>
    <n v="168.07"/>
    <s v="Net Banking"/>
    <s v="Repeat Customer"/>
  </r>
  <r>
    <n v="11077"/>
    <s v="CUST391"/>
    <d v="2024-05-12T00:00:00"/>
    <s v="Home"/>
    <x v="1"/>
    <n v="4"/>
    <n v="432.32"/>
    <n v="1729.28"/>
    <s v="Credit Card"/>
    <s v="Repeat Customer"/>
  </r>
  <r>
    <n v="11078"/>
    <s v="CUST136"/>
    <d v="2025-07-14T00:00:00"/>
    <s v="Beauty"/>
    <x v="1"/>
    <n v="10"/>
    <n v="193.79"/>
    <n v="1937.9"/>
    <s v="UPI"/>
    <s v="Repeat Customer"/>
  </r>
  <r>
    <n v="11079"/>
    <s v="CUST222"/>
    <d v="2025-02-12T00:00:00"/>
    <s v="Fashion"/>
    <x v="2"/>
    <n v="2"/>
    <n v="15.15"/>
    <n v="30.3"/>
    <s v="Wallet"/>
    <s v="Repeat Customer"/>
  </r>
  <r>
    <n v="11080"/>
    <s v="CUST306"/>
    <d v="2024-10-18T00:00:00"/>
    <s v="Beauty"/>
    <x v="3"/>
    <n v="3"/>
    <n v="64.7"/>
    <n v="194.1"/>
    <s v="Net Banking"/>
    <s v="Repeat Customer"/>
  </r>
  <r>
    <n v="11081"/>
    <s v="CUST167"/>
    <d v="2025-01-02T00:00:00"/>
    <s v="Sports"/>
    <x v="2"/>
    <n v="2"/>
    <n v="416.87"/>
    <n v="833.74"/>
    <s v="Wallet"/>
    <s v="Repeat Customer"/>
  </r>
  <r>
    <n v="11082"/>
    <s v="CUST328"/>
    <d v="2025-02-01T00:00:00"/>
    <s v="Sports"/>
    <x v="3"/>
    <n v="8"/>
    <n v="137.9"/>
    <n v="1103.2"/>
    <s v="Credit Card"/>
    <s v="Repeat Customer"/>
  </r>
  <r>
    <n v="11083"/>
    <s v="CUST316"/>
    <d v="2025-01-12T00:00:00"/>
    <s v="Beauty"/>
    <x v="0"/>
    <n v="10"/>
    <n v="97.25"/>
    <n v="972.5"/>
    <s v="Credit Card"/>
    <s v="Repeat Customer"/>
  </r>
  <r>
    <n v="11084"/>
    <s v="CUST362"/>
    <d v="2024-12-15T00:00:00"/>
    <s v="Fashion"/>
    <x v="3"/>
    <n v="8"/>
    <n v="339.84"/>
    <n v="2718.72"/>
    <s v="Credit Card"/>
    <s v="Repeat Customer"/>
  </r>
  <r>
    <n v="11085"/>
    <s v="CUST248"/>
    <d v="2025-04-24T00:00:00"/>
    <s v="Beauty"/>
    <x v="1"/>
    <n v="7"/>
    <n v="44.2"/>
    <n v="309.39999999999998"/>
    <s v="UPI"/>
    <s v="Repeat Customer"/>
  </r>
  <r>
    <n v="11086"/>
    <s v="CUST165"/>
    <d v="2025-12-01T00:00:00"/>
    <s v="Sports"/>
    <x v="3"/>
    <n v="5"/>
    <n v="421.56"/>
    <n v="2107.8000000000002"/>
    <s v="Net Banking"/>
    <s v="Repeat Customer"/>
  </r>
  <r>
    <n v="11087"/>
    <s v="CUST391"/>
    <d v="2024-02-18T00:00:00"/>
    <s v="Electronics"/>
    <x v="0"/>
    <n v="9"/>
    <n v="42.88"/>
    <n v="385.92"/>
    <s v="Wallet"/>
    <s v="Repeat Customer"/>
  </r>
  <r>
    <n v="11088"/>
    <s v="CUST311"/>
    <d v="2024-04-06T00:00:00"/>
    <s v="Sports"/>
    <x v="1"/>
    <n v="8"/>
    <n v="332.12"/>
    <n v="2656.96"/>
    <s v="Net Banking"/>
    <s v="Repeat Customer"/>
  </r>
  <r>
    <n v="11089"/>
    <s v="CUST230"/>
    <d v="2025-08-22T00:00:00"/>
    <s v="Electronics"/>
    <x v="0"/>
    <n v="2"/>
    <n v="385.48"/>
    <n v="770.96"/>
    <s v="Wallet"/>
    <s v="Repeat Customer"/>
  </r>
  <r>
    <n v="11090"/>
    <s v="CUST191"/>
    <d v="2024-07-05T00:00:00"/>
    <s v="Beauty"/>
    <x v="1"/>
    <n v="7"/>
    <n v="27.4"/>
    <n v="191.8"/>
    <s v="Net Banking"/>
    <s v="Repeat Customer"/>
  </r>
  <r>
    <n v="11091"/>
    <s v="CUST332"/>
    <d v="2025-11-17T00:00:00"/>
    <s v="Home"/>
    <x v="1"/>
    <n v="8"/>
    <n v="313.79000000000002"/>
    <n v="2510.3200000000002"/>
    <s v="UPI"/>
    <s v="Repeat Customer"/>
  </r>
  <r>
    <n v="11092"/>
    <s v="CUST208"/>
    <d v="2024-07-08T00:00:00"/>
    <s v="Sports"/>
    <x v="1"/>
    <n v="2"/>
    <n v="374.78"/>
    <n v="749.56"/>
    <s v="Credit Card"/>
    <s v="Repeat Customer"/>
  </r>
  <r>
    <n v="11093"/>
    <s v="CUST322"/>
    <d v="2025-07-01T00:00:00"/>
    <s v="Electronics"/>
    <x v="0"/>
    <n v="1"/>
    <n v="7.89"/>
    <n v="7.89"/>
    <s v="UPI"/>
    <s v="Repeat Customer"/>
  </r>
  <r>
    <n v="11094"/>
    <s v="CUST344"/>
    <d v="2025-04-16T00:00:00"/>
    <s v="Sports"/>
    <x v="3"/>
    <n v="7"/>
    <n v="435.05"/>
    <n v="3045.35"/>
    <s v="Net Banking"/>
    <s v="Repeat Customer"/>
  </r>
  <r>
    <n v="11095"/>
    <s v="CUST284"/>
    <d v="2025-12-08T00:00:00"/>
    <s v="Electronics"/>
    <x v="2"/>
    <n v="7"/>
    <n v="403.3"/>
    <n v="2823.1"/>
    <s v="UPI"/>
    <s v="Repeat Customer"/>
  </r>
  <r>
    <n v="11096"/>
    <s v="CUST107"/>
    <d v="2024-07-14T00:00:00"/>
    <s v="Fashion"/>
    <x v="0"/>
    <n v="2"/>
    <n v="408.9"/>
    <n v="817.8"/>
    <s v="UPI"/>
    <s v="Repeat Customer"/>
  </r>
  <r>
    <n v="11097"/>
    <s v="CUST346"/>
    <d v="2025-10-26T00:00:00"/>
    <s v="Beauty"/>
    <x v="2"/>
    <n v="3"/>
    <n v="326.62"/>
    <n v="979.86"/>
    <s v="Credit Card"/>
    <s v="Repeat Customer"/>
  </r>
  <r>
    <n v="11098"/>
    <s v="CUST254"/>
    <d v="2025-04-19T00:00:00"/>
    <s v="Electronics"/>
    <x v="0"/>
    <n v="3"/>
    <n v="239.62"/>
    <n v="718.86"/>
    <s v="UPI"/>
    <s v="Repeat Customer"/>
  </r>
  <r>
    <n v="11099"/>
    <s v="CUST178"/>
    <d v="2025-12-20T00:00:00"/>
    <s v="Beauty"/>
    <x v="0"/>
    <n v="8"/>
    <n v="482.11"/>
    <n v="3856.88"/>
    <s v="Wallet"/>
    <s v="Repeat Customer"/>
  </r>
  <r>
    <n v="11100"/>
    <s v="CUST399"/>
    <d v="2024-09-05T00:00:00"/>
    <s v="Beauty"/>
    <x v="0"/>
    <n v="4"/>
    <n v="150.94"/>
    <n v="603.76"/>
    <s v="Net Banking"/>
    <s v="Repeat Customer"/>
  </r>
  <r>
    <n v="11101"/>
    <s v="CUST104"/>
    <d v="2024-04-15T00:00:00"/>
    <s v="Beauty"/>
    <x v="1"/>
    <n v="7"/>
    <n v="489.85"/>
    <n v="3428.95"/>
    <s v="Credit Card"/>
    <s v="Repeat Customer"/>
  </r>
  <r>
    <n v="11102"/>
    <s v="CUST349"/>
    <d v="2025-02-13T00:00:00"/>
    <s v="Sports"/>
    <x v="3"/>
    <n v="8"/>
    <n v="259.11"/>
    <n v="2072.88"/>
    <s v="UPI"/>
    <s v="Repeat Customer"/>
  </r>
  <r>
    <n v="11103"/>
    <s v="CUST131"/>
    <d v="2025-06-24T00:00:00"/>
    <s v="Home"/>
    <x v="0"/>
    <n v="1"/>
    <n v="213.89"/>
    <n v="213.89"/>
    <s v="Net Banking"/>
    <s v="Repeat Customer"/>
  </r>
  <r>
    <n v="11104"/>
    <s v="CUST313"/>
    <d v="2025-04-29T00:00:00"/>
    <s v="Home"/>
    <x v="3"/>
    <n v="2"/>
    <n v="249.92"/>
    <n v="499.84"/>
    <s v="Wallet"/>
    <s v="Repeat Customer"/>
  </r>
  <r>
    <n v="11105"/>
    <s v="CUST110"/>
    <d v="2024-06-14T00:00:00"/>
    <s v="Beauty"/>
    <x v="1"/>
    <n v="5"/>
    <n v="364.47"/>
    <n v="1822.35"/>
    <s v="Wallet"/>
    <s v="Repeat Customer"/>
  </r>
  <r>
    <n v="11106"/>
    <s v="CUST218"/>
    <d v="2025-06-03T00:00:00"/>
    <s v="Home"/>
    <x v="3"/>
    <n v="4"/>
    <n v="295.89"/>
    <n v="1183.56"/>
    <s v="UPI"/>
    <s v="Repeat Customer"/>
  </r>
  <r>
    <n v="11107"/>
    <s v="CUST250"/>
    <d v="2025-12-29T00:00:00"/>
    <s v="Home"/>
    <x v="3"/>
    <n v="7"/>
    <n v="480.1"/>
    <n v="3360.7"/>
    <s v="UPI"/>
    <s v="Repeat Customer"/>
  </r>
  <r>
    <n v="11108"/>
    <s v="CUST206"/>
    <d v="2024-10-16T00:00:00"/>
    <s v="Fashion"/>
    <x v="2"/>
    <n v="2"/>
    <n v="335.19"/>
    <n v="670.38"/>
    <s v="UPI"/>
    <s v="Repeat Customer"/>
  </r>
  <r>
    <n v="11109"/>
    <s v="CUST180"/>
    <d v="2025-09-12T00:00:00"/>
    <s v="Beauty"/>
    <x v="3"/>
    <n v="8"/>
    <n v="54.95"/>
    <n v="439.6"/>
    <s v="Net Banking"/>
    <s v="Repeat Customer"/>
  </r>
  <r>
    <n v="11110"/>
    <s v="CUST220"/>
    <d v="2024-08-02T00:00:00"/>
    <s v="Electronics"/>
    <x v="1"/>
    <n v="9"/>
    <n v="28.29"/>
    <n v="254.61"/>
    <s v="Net Banking"/>
    <s v="Repeat Customer"/>
  </r>
  <r>
    <n v="11111"/>
    <s v="CUST282"/>
    <d v="2025-11-24T00:00:00"/>
    <s v="Sports"/>
    <x v="0"/>
    <n v="3"/>
    <n v="91.48"/>
    <n v="274.44"/>
    <s v="Credit Card"/>
    <s v="Repeat Customer"/>
  </r>
  <r>
    <n v="11112"/>
    <s v="CUST272"/>
    <d v="2025-03-16T00:00:00"/>
    <s v="Electronics"/>
    <x v="2"/>
    <n v="2"/>
    <n v="310.69"/>
    <n v="621.38"/>
    <s v="Wallet"/>
    <s v="Repeat Customer"/>
  </r>
  <r>
    <n v="11113"/>
    <s v="CUST232"/>
    <d v="2024-12-14T00:00:00"/>
    <s v="Sports"/>
    <x v="1"/>
    <n v="6"/>
    <n v="385.84"/>
    <n v="2315.04"/>
    <s v="UPI"/>
    <s v="Repeat Customer"/>
  </r>
  <r>
    <n v="11114"/>
    <s v="CUST363"/>
    <d v="2025-09-10T00:00:00"/>
    <s v="Beauty"/>
    <x v="3"/>
    <n v="2"/>
    <n v="354.67"/>
    <n v="709.34"/>
    <s v="Credit Card"/>
    <s v="Repeat Customer"/>
  </r>
  <r>
    <n v="11115"/>
    <s v="CUST154"/>
    <d v="2025-09-17T00:00:00"/>
    <s v="Electronics"/>
    <x v="0"/>
    <n v="10"/>
    <n v="392.17"/>
    <n v="3921.7"/>
    <s v="Credit Card"/>
    <s v="Repeat Customer"/>
  </r>
  <r>
    <n v="11116"/>
    <s v="CUST185"/>
    <d v="2025-10-07T00:00:00"/>
    <s v="Home"/>
    <x v="2"/>
    <n v="2"/>
    <n v="436.08"/>
    <n v="872.16"/>
    <s v="Net Banking"/>
    <s v="Repeat Customer"/>
  </r>
  <r>
    <n v="11117"/>
    <s v="CUST326"/>
    <d v="2025-06-02T00:00:00"/>
    <s v="Electronics"/>
    <x v="2"/>
    <n v="8"/>
    <n v="367.61"/>
    <n v="2940.88"/>
    <s v="Net Banking"/>
    <s v="Repeat Customer"/>
  </r>
  <r>
    <n v="11118"/>
    <s v="CUST271"/>
    <d v="2024-05-21T00:00:00"/>
    <s v="Beauty"/>
    <x v="3"/>
    <n v="2"/>
    <n v="425.05"/>
    <n v="850.1"/>
    <s v="Credit Card"/>
    <s v="Repeat Customer"/>
  </r>
  <r>
    <n v="11119"/>
    <s v="CUST225"/>
    <d v="2025-04-30T00:00:00"/>
    <s v="Fashion"/>
    <x v="0"/>
    <n v="6"/>
    <n v="146.94999999999999"/>
    <n v="881.7"/>
    <s v="Net Banking"/>
    <s v="Repeat Customer"/>
  </r>
  <r>
    <n v="11120"/>
    <s v="CUST290"/>
    <d v="2025-02-28T00:00:00"/>
    <s v="Fashion"/>
    <x v="2"/>
    <n v="6"/>
    <n v="316.57"/>
    <n v="1899.42"/>
    <s v="Wallet"/>
    <s v="Repeat Customer"/>
  </r>
  <r>
    <n v="11121"/>
    <s v="CUST216"/>
    <d v="2024-05-21T00:00:00"/>
    <s v="Beauty"/>
    <x v="3"/>
    <n v="7"/>
    <n v="209.64"/>
    <n v="1467.48"/>
    <s v="Net Banking"/>
    <s v="Repeat Customer"/>
  </r>
  <r>
    <n v="11122"/>
    <s v="CUST115"/>
    <d v="2025-03-29T00:00:00"/>
    <s v="Sports"/>
    <x v="0"/>
    <n v="3"/>
    <n v="386.23"/>
    <n v="1158.69"/>
    <s v="Credit Card"/>
    <s v="Repeat Customer"/>
  </r>
  <r>
    <n v="11123"/>
    <s v="CUST273"/>
    <d v="2024-11-18T00:00:00"/>
    <s v="Fashion"/>
    <x v="3"/>
    <n v="7"/>
    <n v="491.06"/>
    <n v="3437.42"/>
    <s v="Credit Card"/>
    <s v="Repeat Customer"/>
  </r>
  <r>
    <n v="11124"/>
    <s v="CUST301"/>
    <d v="2024-02-07T00:00:00"/>
    <s v="Electronics"/>
    <x v="1"/>
    <n v="3"/>
    <n v="451.74"/>
    <n v="1355.22"/>
    <s v="Wallet"/>
    <s v="New Customer"/>
  </r>
  <r>
    <n v="11125"/>
    <s v="CUST305"/>
    <d v="2025-11-28T00:00:00"/>
    <s v="Home"/>
    <x v="1"/>
    <n v="9"/>
    <n v="437.41"/>
    <n v="3936.69"/>
    <s v="Credit Card"/>
    <s v="Repeat Customer"/>
  </r>
  <r>
    <n v="11126"/>
    <s v="CUST243"/>
    <d v="2025-06-24T00:00:00"/>
    <s v="Beauty"/>
    <x v="3"/>
    <n v="10"/>
    <n v="460.62"/>
    <n v="4606.2"/>
    <s v="UPI"/>
    <s v="Repeat Customer"/>
  </r>
  <r>
    <n v="11127"/>
    <s v="CUST378"/>
    <d v="2025-10-01T00:00:00"/>
    <s v="Home"/>
    <x v="3"/>
    <n v="10"/>
    <n v="327.76"/>
    <n v="3277.6"/>
    <s v="UPI"/>
    <s v="Repeat Customer"/>
  </r>
  <r>
    <n v="11128"/>
    <s v="CUST254"/>
    <d v="2024-03-27T00:00:00"/>
    <s v="Beauty"/>
    <x v="2"/>
    <n v="1"/>
    <n v="271.02999999999997"/>
    <n v="271.02999999999997"/>
    <s v="Net Banking"/>
    <s v="Repeat Customer"/>
  </r>
  <r>
    <n v="11129"/>
    <s v="CUST209"/>
    <d v="2024-04-05T00:00:00"/>
    <s v="Sports"/>
    <x v="1"/>
    <n v="9"/>
    <n v="278.13"/>
    <n v="2503.17"/>
    <s v="UPI"/>
    <s v="Repeat Customer"/>
  </r>
  <r>
    <n v="11130"/>
    <s v="CUST111"/>
    <d v="2024-01-29T00:00:00"/>
    <s v="Fashion"/>
    <x v="1"/>
    <n v="9"/>
    <n v="298.29000000000002"/>
    <n v="2684.61"/>
    <s v="Wallet"/>
    <s v="Repeat Customer"/>
  </r>
  <r>
    <n v="11131"/>
    <s v="CUST358"/>
    <d v="2024-04-23T00:00:00"/>
    <s v="Home"/>
    <x v="1"/>
    <n v="1"/>
    <n v="421.58"/>
    <n v="421.58"/>
    <s v="Credit Card"/>
    <s v="Repeat Customer"/>
  </r>
  <r>
    <n v="11132"/>
    <s v="CUST124"/>
    <d v="2025-10-28T00:00:00"/>
    <s v="Sports"/>
    <x v="0"/>
    <n v="2"/>
    <n v="227.12"/>
    <n v="454.24"/>
    <s v="Wallet"/>
    <s v="Repeat Customer"/>
  </r>
  <r>
    <n v="11133"/>
    <s v="CUST273"/>
    <d v="2024-08-29T00:00:00"/>
    <s v="Sports"/>
    <x v="2"/>
    <n v="10"/>
    <n v="284.97000000000003"/>
    <n v="2849.7"/>
    <s v="Net Banking"/>
    <s v="Repeat Customer"/>
  </r>
  <r>
    <n v="11134"/>
    <s v="CUST253"/>
    <d v="2024-10-18T00:00:00"/>
    <s v="Beauty"/>
    <x v="2"/>
    <n v="10"/>
    <n v="337.85"/>
    <n v="3378.5"/>
    <s v="Credit Card"/>
    <s v="Repeat Customer"/>
  </r>
  <r>
    <n v="11135"/>
    <s v="CUST267"/>
    <d v="2025-06-12T00:00:00"/>
    <s v="Home"/>
    <x v="3"/>
    <n v="10"/>
    <n v="100.31"/>
    <n v="1003.1"/>
    <s v="Credit Card"/>
    <s v="Repeat Customer"/>
  </r>
  <r>
    <n v="11136"/>
    <s v="CUST175"/>
    <d v="2025-12-29T00:00:00"/>
    <s v="Electronics"/>
    <x v="0"/>
    <n v="7"/>
    <n v="415.08"/>
    <n v="2905.56"/>
    <s v="Credit Card"/>
    <s v="Repeat Customer"/>
  </r>
  <r>
    <n v="11137"/>
    <s v="CUST317"/>
    <d v="2024-05-13T00:00:00"/>
    <s v="Electronics"/>
    <x v="1"/>
    <n v="8"/>
    <n v="111.32"/>
    <n v="890.56"/>
    <s v="Wallet"/>
    <s v="Repeat Customer"/>
  </r>
  <r>
    <n v="11138"/>
    <s v="CUST386"/>
    <d v="2025-06-15T00:00:00"/>
    <s v="Sports"/>
    <x v="3"/>
    <n v="7"/>
    <n v="436.65"/>
    <n v="3056.55"/>
    <s v="Wallet"/>
    <s v="Repeat Customer"/>
  </r>
  <r>
    <n v="11139"/>
    <s v="CUST325"/>
    <d v="2025-12-06T00:00:00"/>
    <s v="Beauty"/>
    <x v="2"/>
    <n v="8"/>
    <n v="367.2"/>
    <n v="2937.6"/>
    <s v="UPI"/>
    <s v="Repeat Customer"/>
  </r>
  <r>
    <n v="11140"/>
    <s v="CUST358"/>
    <d v="2024-05-10T00:00:00"/>
    <s v="Fashion"/>
    <x v="0"/>
    <n v="8"/>
    <n v="357.02"/>
    <n v="2856.16"/>
    <s v="UPI"/>
    <s v="Repeat Customer"/>
  </r>
  <r>
    <n v="11141"/>
    <s v="CUST333"/>
    <d v="2025-04-29T00:00:00"/>
    <s v="Sports"/>
    <x v="1"/>
    <n v="1"/>
    <n v="374.52"/>
    <n v="374.52"/>
    <s v="Credit Card"/>
    <s v="Repeat Customer"/>
  </r>
  <r>
    <n v="11142"/>
    <s v="CUST309"/>
    <d v="2024-04-22T00:00:00"/>
    <s v="Home"/>
    <x v="0"/>
    <n v="2"/>
    <n v="187.95"/>
    <n v="375.9"/>
    <s v="UPI"/>
    <s v="Repeat Customer"/>
  </r>
  <r>
    <n v="11143"/>
    <s v="CUST160"/>
    <d v="2025-01-15T00:00:00"/>
    <s v="Home"/>
    <x v="1"/>
    <n v="5"/>
    <n v="495.55"/>
    <n v="2477.75"/>
    <s v="Wallet"/>
    <s v="Repeat Customer"/>
  </r>
  <r>
    <n v="11144"/>
    <s v="CUST114"/>
    <d v="2024-05-26T00:00:00"/>
    <s v="Beauty"/>
    <x v="0"/>
    <n v="3"/>
    <n v="392.98"/>
    <n v="1178.94"/>
    <s v="Net Banking"/>
    <s v="Repeat Customer"/>
  </r>
  <r>
    <n v="11145"/>
    <s v="CUST245"/>
    <d v="2024-08-08T00:00:00"/>
    <s v="Beauty"/>
    <x v="0"/>
    <n v="3"/>
    <n v="410.47"/>
    <n v="1231.4100000000001"/>
    <s v="Credit Card"/>
    <s v="Repeat Customer"/>
  </r>
  <r>
    <n v="11146"/>
    <s v="CUST380"/>
    <d v="2024-12-23T00:00:00"/>
    <s v="Beauty"/>
    <x v="3"/>
    <n v="2"/>
    <n v="435.86"/>
    <n v="871.72"/>
    <s v="Net Banking"/>
    <s v="New Customer"/>
  </r>
  <r>
    <n v="11147"/>
    <s v="CUST389"/>
    <d v="2025-04-08T00:00:00"/>
    <s v="Beauty"/>
    <x v="2"/>
    <n v="6"/>
    <n v="391.77"/>
    <n v="2350.62"/>
    <s v="UPI"/>
    <s v="Repeat Customer"/>
  </r>
  <r>
    <n v="11148"/>
    <s v="CUST358"/>
    <d v="2025-10-13T00:00:00"/>
    <s v="Beauty"/>
    <x v="2"/>
    <n v="8"/>
    <n v="382.03"/>
    <n v="3056.24"/>
    <s v="Net Banking"/>
    <s v="Repeat Customer"/>
  </r>
  <r>
    <n v="11149"/>
    <s v="CUST145"/>
    <d v="2025-10-01T00:00:00"/>
    <s v="Fashion"/>
    <x v="3"/>
    <n v="10"/>
    <n v="207.77"/>
    <n v="2077.6999999999998"/>
    <s v="Net Banking"/>
    <s v="Repeat Customer"/>
  </r>
  <r>
    <n v="11150"/>
    <s v="CUST376"/>
    <d v="2024-02-16T00:00:00"/>
    <s v="Electronics"/>
    <x v="2"/>
    <n v="8"/>
    <n v="369.28"/>
    <n v="2954.24"/>
    <s v="Credit Card"/>
    <s v="Repeat Customer"/>
  </r>
  <r>
    <n v="11151"/>
    <s v="CUST392"/>
    <d v="2025-10-07T00:00:00"/>
    <s v="Electronics"/>
    <x v="0"/>
    <n v="5"/>
    <n v="282.72000000000003"/>
    <n v="1413.6"/>
    <s v="UPI"/>
    <s v="Repeat Customer"/>
  </r>
  <r>
    <n v="11152"/>
    <s v="CUST377"/>
    <d v="2025-08-13T00:00:00"/>
    <s v="Sports"/>
    <x v="2"/>
    <n v="1"/>
    <n v="478.86"/>
    <n v="478.86"/>
    <s v="Wallet"/>
    <s v="Repeat Customer"/>
  </r>
  <r>
    <n v="11153"/>
    <s v="CUST357"/>
    <d v="2024-01-20T00:00:00"/>
    <s v="Sports"/>
    <x v="2"/>
    <n v="2"/>
    <n v="330.84"/>
    <n v="661.68"/>
    <s v="Credit Card"/>
    <s v="Repeat Customer"/>
  </r>
  <r>
    <n v="11154"/>
    <s v="CUST240"/>
    <d v="2024-07-29T00:00:00"/>
    <s v="Sports"/>
    <x v="3"/>
    <n v="4"/>
    <n v="415.7"/>
    <n v="1662.8"/>
    <s v="Credit Card"/>
    <s v="Repeat Customer"/>
  </r>
  <r>
    <n v="11155"/>
    <s v="CUST373"/>
    <d v="2025-09-13T00:00:00"/>
    <s v="Electronics"/>
    <x v="3"/>
    <n v="6"/>
    <n v="203.89"/>
    <n v="1223.3399999999999"/>
    <s v="Credit Card"/>
    <s v="Repeat Customer"/>
  </r>
  <r>
    <n v="11156"/>
    <s v="CUST274"/>
    <d v="2025-03-23T00:00:00"/>
    <s v="Sports"/>
    <x v="1"/>
    <n v="3"/>
    <n v="210.39"/>
    <n v="631.16999999999996"/>
    <s v="Wallet"/>
    <s v="Repeat Customer"/>
  </r>
  <r>
    <n v="11157"/>
    <s v="CUST231"/>
    <d v="2024-04-03T00:00:00"/>
    <s v="Sports"/>
    <x v="2"/>
    <n v="2"/>
    <n v="489.99"/>
    <n v="979.98"/>
    <s v="Net Banking"/>
    <s v="Repeat Customer"/>
  </r>
  <r>
    <n v="11158"/>
    <s v="CUST173"/>
    <d v="2024-07-06T00:00:00"/>
    <s v="Fashion"/>
    <x v="1"/>
    <n v="5"/>
    <n v="385.31"/>
    <n v="1926.55"/>
    <s v="Wallet"/>
    <s v="Repeat Customer"/>
  </r>
  <r>
    <n v="11159"/>
    <s v="CUST186"/>
    <d v="2024-03-01T00:00:00"/>
    <s v="Fashion"/>
    <x v="0"/>
    <n v="10"/>
    <n v="480.76"/>
    <n v="4807.6000000000004"/>
    <s v="Credit Card"/>
    <s v="Repeat Customer"/>
  </r>
  <r>
    <n v="11160"/>
    <s v="CUST252"/>
    <d v="2025-02-03T00:00:00"/>
    <s v="Beauty"/>
    <x v="1"/>
    <n v="2"/>
    <n v="163.41999999999999"/>
    <n v="326.83999999999997"/>
    <s v="Net Banking"/>
    <s v="Repeat Customer"/>
  </r>
  <r>
    <n v="11161"/>
    <s v="CUST292"/>
    <d v="2024-05-03T00:00:00"/>
    <s v="Sports"/>
    <x v="2"/>
    <n v="1"/>
    <n v="105.27"/>
    <n v="105.27"/>
    <s v="Wallet"/>
    <s v="Repeat Customer"/>
  </r>
  <r>
    <n v="11162"/>
    <s v="CUST360"/>
    <d v="2025-05-31T00:00:00"/>
    <s v="Home"/>
    <x v="0"/>
    <n v="7"/>
    <n v="474.93"/>
    <n v="3324.51"/>
    <s v="Net Banking"/>
    <s v="Repeat Customer"/>
  </r>
  <r>
    <n v="11163"/>
    <s v="CUST337"/>
    <d v="2025-07-20T00:00:00"/>
    <s v="Electronics"/>
    <x v="3"/>
    <n v="7"/>
    <n v="37.4"/>
    <n v="261.8"/>
    <s v="UPI"/>
    <s v="Repeat Customer"/>
  </r>
  <r>
    <n v="11164"/>
    <s v="CUST109"/>
    <d v="2024-10-02T00:00:00"/>
    <s v="Electronics"/>
    <x v="2"/>
    <n v="9"/>
    <n v="481.92"/>
    <n v="4337.28"/>
    <s v="UPI"/>
    <s v="Repeat Customer"/>
  </r>
  <r>
    <n v="11165"/>
    <s v="CUST255"/>
    <d v="2025-08-04T00:00:00"/>
    <s v="Sports"/>
    <x v="2"/>
    <n v="7"/>
    <n v="225.76"/>
    <n v="1580.32"/>
    <s v="UPI"/>
    <s v="Repeat Customer"/>
  </r>
  <r>
    <n v="11166"/>
    <s v="CUST291"/>
    <d v="2025-07-07T00:00:00"/>
    <s v="Sports"/>
    <x v="3"/>
    <n v="3"/>
    <n v="392.1"/>
    <n v="1176.3"/>
    <s v="Wallet"/>
    <s v="Repeat Customer"/>
  </r>
  <r>
    <n v="11167"/>
    <s v="CUST121"/>
    <d v="2024-01-02T00:00:00"/>
    <s v="Sports"/>
    <x v="1"/>
    <n v="8"/>
    <n v="480.75"/>
    <n v="3846"/>
    <s v="UPI"/>
    <s v="Repeat Customer"/>
  </r>
  <r>
    <n v="11168"/>
    <s v="CUST100"/>
    <d v="2024-03-02T00:00:00"/>
    <s v="Home"/>
    <x v="3"/>
    <n v="8"/>
    <n v="140.28"/>
    <n v="1122.24"/>
    <s v="Net Banking"/>
    <s v="Repeat Customer"/>
  </r>
  <r>
    <n v="11169"/>
    <s v="CUST208"/>
    <d v="2025-08-22T00:00:00"/>
    <s v="Fashion"/>
    <x v="0"/>
    <n v="9"/>
    <n v="144.25"/>
    <n v="1298.25"/>
    <s v="Net Banking"/>
    <s v="Repeat Customer"/>
  </r>
  <r>
    <n v="11170"/>
    <s v="CUST145"/>
    <d v="2025-02-08T00:00:00"/>
    <s v="Sports"/>
    <x v="1"/>
    <n v="2"/>
    <n v="416.1"/>
    <n v="832.2"/>
    <s v="Wallet"/>
    <s v="Repeat Customer"/>
  </r>
  <r>
    <n v="11171"/>
    <s v="CUST207"/>
    <d v="2025-09-17T00:00:00"/>
    <s v="Home"/>
    <x v="1"/>
    <n v="9"/>
    <n v="478.92"/>
    <n v="4310.28"/>
    <s v="Net Banking"/>
    <s v="Repeat Customer"/>
  </r>
  <r>
    <n v="11172"/>
    <s v="CUST331"/>
    <d v="2024-10-06T00:00:00"/>
    <s v="Home"/>
    <x v="1"/>
    <n v="4"/>
    <n v="332.83"/>
    <n v="1331.32"/>
    <s v="UPI"/>
    <s v="Repeat Customer"/>
  </r>
  <r>
    <n v="11173"/>
    <s v="CUST335"/>
    <d v="2025-09-05T00:00:00"/>
    <s v="Fashion"/>
    <x v="0"/>
    <n v="6"/>
    <n v="12.86"/>
    <n v="77.16"/>
    <s v="Wallet"/>
    <s v="Repeat Customer"/>
  </r>
  <r>
    <n v="11174"/>
    <s v="CUST102"/>
    <d v="2024-01-10T00:00:00"/>
    <s v="Beauty"/>
    <x v="3"/>
    <n v="3"/>
    <n v="209.52"/>
    <n v="628.55999999999995"/>
    <s v="Credit Card"/>
    <s v="Repeat Customer"/>
  </r>
  <r>
    <n v="11175"/>
    <s v="CUST139"/>
    <d v="2025-07-05T00:00:00"/>
    <s v="Beauty"/>
    <x v="0"/>
    <n v="1"/>
    <n v="446.82"/>
    <n v="446.82"/>
    <s v="Net Banking"/>
    <s v="Repeat Customer"/>
  </r>
  <r>
    <n v="11176"/>
    <s v="CUST292"/>
    <d v="2025-09-07T00:00:00"/>
    <s v="Electronics"/>
    <x v="0"/>
    <n v="6"/>
    <n v="196.44"/>
    <n v="1178.6400000000001"/>
    <s v="Wallet"/>
    <s v="Repeat Customer"/>
  </r>
  <r>
    <n v="11177"/>
    <s v="CUST289"/>
    <d v="2024-07-16T00:00:00"/>
    <s v="Electronics"/>
    <x v="1"/>
    <n v="8"/>
    <n v="9.6300000000000008"/>
    <n v="77.040000000000006"/>
    <s v="Net Banking"/>
    <s v="Repeat Customer"/>
  </r>
  <r>
    <n v="11178"/>
    <s v="CUST198"/>
    <d v="2024-04-02T00:00:00"/>
    <s v="Fashion"/>
    <x v="2"/>
    <n v="10"/>
    <n v="314.49"/>
    <n v="3144.9"/>
    <s v="Wallet"/>
    <s v="Repeat Customer"/>
  </r>
  <r>
    <n v="11179"/>
    <s v="CUST285"/>
    <d v="2024-02-07T00:00:00"/>
    <s v="Sports"/>
    <x v="2"/>
    <n v="5"/>
    <n v="248.95"/>
    <n v="1244.75"/>
    <s v="Credit Card"/>
    <s v="Repeat Customer"/>
  </r>
  <r>
    <n v="11180"/>
    <s v="CUST200"/>
    <d v="2025-10-15T00:00:00"/>
    <s v="Home"/>
    <x v="3"/>
    <n v="7"/>
    <n v="59.92"/>
    <n v="419.44"/>
    <s v="UPI"/>
    <s v="Repeat Customer"/>
  </r>
  <r>
    <n v="11181"/>
    <s v="CUST382"/>
    <d v="2024-07-17T00:00:00"/>
    <s v="Sports"/>
    <x v="2"/>
    <n v="10"/>
    <n v="337.73"/>
    <n v="3377.3"/>
    <s v="Credit Card"/>
    <s v="Repeat Customer"/>
  </r>
  <r>
    <n v="11182"/>
    <s v="CUST165"/>
    <d v="2024-03-07T00:00:00"/>
    <s v="Sports"/>
    <x v="2"/>
    <n v="3"/>
    <n v="133.51"/>
    <n v="400.53"/>
    <s v="Net Banking"/>
    <s v="Repeat Customer"/>
  </r>
  <r>
    <n v="11183"/>
    <s v="CUST198"/>
    <d v="2025-11-25T00:00:00"/>
    <s v="Sports"/>
    <x v="1"/>
    <n v="1"/>
    <n v="496.02"/>
    <n v="496.02"/>
    <s v="Wallet"/>
    <s v="Repeat Customer"/>
  </r>
  <r>
    <n v="11184"/>
    <s v="CUST101"/>
    <d v="2025-03-13T00:00:00"/>
    <s v="Home"/>
    <x v="3"/>
    <n v="1"/>
    <n v="427.66"/>
    <n v="427.66"/>
    <s v="Wallet"/>
    <s v="Repeat Customer"/>
  </r>
  <r>
    <n v="11185"/>
    <s v="CUST240"/>
    <d v="2024-05-04T00:00:00"/>
    <s v="Home"/>
    <x v="0"/>
    <n v="9"/>
    <n v="235.96"/>
    <n v="2123.64"/>
    <s v="UPI"/>
    <s v="Repeat Customer"/>
  </r>
  <r>
    <n v="11186"/>
    <s v="CUST124"/>
    <d v="2024-10-11T00:00:00"/>
    <s v="Home"/>
    <x v="0"/>
    <n v="7"/>
    <n v="268.54000000000002"/>
    <n v="1879.78"/>
    <s v="Wallet"/>
    <s v="Repeat Customer"/>
  </r>
  <r>
    <n v="11187"/>
    <s v="CUST199"/>
    <d v="2024-12-08T00:00:00"/>
    <s v="Electronics"/>
    <x v="2"/>
    <n v="2"/>
    <n v="440.65"/>
    <n v="881.3"/>
    <s v="Wallet"/>
    <s v="Repeat Customer"/>
  </r>
  <r>
    <n v="11188"/>
    <s v="CUST138"/>
    <d v="2024-09-12T00:00:00"/>
    <s v="Home"/>
    <x v="0"/>
    <n v="4"/>
    <n v="86.42"/>
    <n v="345.68"/>
    <s v="Credit Card"/>
    <s v="New Customer"/>
  </r>
  <r>
    <n v="11189"/>
    <s v="CUST114"/>
    <d v="2025-05-06T00:00:00"/>
    <s v="Sports"/>
    <x v="1"/>
    <n v="7"/>
    <n v="404.99"/>
    <n v="2834.93"/>
    <s v="Net Banking"/>
    <s v="Repeat Customer"/>
  </r>
  <r>
    <n v="11190"/>
    <s v="CUST226"/>
    <d v="2024-04-20T00:00:00"/>
    <s v="Home"/>
    <x v="0"/>
    <n v="8"/>
    <n v="122.99"/>
    <n v="983.92"/>
    <s v="Net Banking"/>
    <s v="Repeat Customer"/>
  </r>
  <r>
    <n v="11191"/>
    <s v="CUST366"/>
    <d v="2024-08-30T00:00:00"/>
    <s v="Sports"/>
    <x v="3"/>
    <n v="2"/>
    <n v="389"/>
    <n v="778"/>
    <s v="Credit Card"/>
    <s v="Repeat Customer"/>
  </r>
  <r>
    <n v="11192"/>
    <s v="CUST328"/>
    <d v="2025-08-15T00:00:00"/>
    <s v="Electronics"/>
    <x v="0"/>
    <n v="2"/>
    <n v="47.34"/>
    <n v="94.68"/>
    <s v="Wallet"/>
    <s v="Repeat Customer"/>
  </r>
  <r>
    <n v="11193"/>
    <s v="CUST260"/>
    <d v="2025-12-11T00:00:00"/>
    <s v="Electronics"/>
    <x v="3"/>
    <n v="2"/>
    <n v="392.41"/>
    <n v="784.82"/>
    <s v="Credit Card"/>
    <s v="Repeat Customer"/>
  </r>
  <r>
    <n v="11194"/>
    <s v="CUST254"/>
    <d v="2025-09-17T00:00:00"/>
    <s v="Electronics"/>
    <x v="0"/>
    <n v="7"/>
    <n v="37.57"/>
    <n v="262.99"/>
    <s v="Net Banking"/>
    <s v="Repeat Customer"/>
  </r>
  <r>
    <n v="11195"/>
    <s v="CUST295"/>
    <d v="2025-02-15T00:00:00"/>
    <s v="Beauty"/>
    <x v="2"/>
    <n v="2"/>
    <n v="310.56"/>
    <n v="621.12"/>
    <s v="Credit Card"/>
    <s v="Repeat Customer"/>
  </r>
  <r>
    <n v="11196"/>
    <s v="CUST332"/>
    <d v="2025-01-28T00:00:00"/>
    <s v="Sports"/>
    <x v="0"/>
    <n v="8"/>
    <n v="398.61"/>
    <n v="3188.88"/>
    <s v="Net Banking"/>
    <s v="Repeat Customer"/>
  </r>
  <r>
    <n v="11197"/>
    <s v="CUST113"/>
    <d v="2025-04-09T00:00:00"/>
    <s v="Fashion"/>
    <x v="0"/>
    <n v="9"/>
    <n v="167.46"/>
    <n v="1507.14"/>
    <s v="Credit Card"/>
    <s v="Repeat Customer"/>
  </r>
  <r>
    <n v="11198"/>
    <s v="CUST106"/>
    <d v="2025-09-01T00:00:00"/>
    <s v="Fashion"/>
    <x v="2"/>
    <n v="2"/>
    <n v="298.48"/>
    <n v="596.96"/>
    <s v="Net Banking"/>
    <s v="Repeat Customer"/>
  </r>
  <r>
    <n v="11199"/>
    <s v="CUST281"/>
    <d v="2025-03-07T00:00:00"/>
    <s v="Beauty"/>
    <x v="2"/>
    <n v="8"/>
    <n v="363.69"/>
    <n v="2909.52"/>
    <s v="UPI"/>
    <s v="Repeat Customer"/>
  </r>
  <r>
    <n v="11200"/>
    <s v="CUST170"/>
    <d v="2024-02-15T00:00:00"/>
    <s v="Sports"/>
    <x v="3"/>
    <n v="1"/>
    <n v="68.2"/>
    <n v="68.2"/>
    <s v="Net Banking"/>
    <s v="Repeat Customer"/>
  </r>
  <r>
    <n v="11201"/>
    <s v="CUST259"/>
    <d v="2025-08-20T00:00:00"/>
    <s v="Fashion"/>
    <x v="3"/>
    <n v="9"/>
    <n v="388.87"/>
    <n v="3499.83"/>
    <s v="Net Banking"/>
    <s v="Repeat Customer"/>
  </r>
  <r>
    <n v="11202"/>
    <s v="CUST275"/>
    <d v="2024-10-25T00:00:00"/>
    <s v="Sports"/>
    <x v="2"/>
    <n v="6"/>
    <n v="485.28"/>
    <n v="2911.68"/>
    <s v="Credit Card"/>
    <s v="Repeat Customer"/>
  </r>
  <r>
    <n v="11203"/>
    <s v="CUST221"/>
    <d v="2025-06-03T00:00:00"/>
    <s v="Beauty"/>
    <x v="1"/>
    <n v="9"/>
    <n v="430.06"/>
    <n v="3870.54"/>
    <s v="UPI"/>
    <s v="Repeat Customer"/>
  </r>
  <r>
    <n v="11204"/>
    <s v="CUST202"/>
    <d v="2025-10-17T00:00:00"/>
    <s v="Home"/>
    <x v="2"/>
    <n v="4"/>
    <n v="393.71"/>
    <n v="1574.84"/>
    <s v="Wallet"/>
    <s v="Repeat Customer"/>
  </r>
  <r>
    <n v="11205"/>
    <s v="CUST339"/>
    <d v="2025-09-06T00:00:00"/>
    <s v="Sports"/>
    <x v="1"/>
    <n v="6"/>
    <n v="426.74"/>
    <n v="2560.44"/>
    <s v="Net Banking"/>
    <s v="Repeat Customer"/>
  </r>
  <r>
    <n v="11206"/>
    <s v="CUST314"/>
    <d v="2024-12-02T00:00:00"/>
    <s v="Electronics"/>
    <x v="3"/>
    <n v="3"/>
    <n v="56.9"/>
    <n v="170.7"/>
    <s v="UPI"/>
    <s v="Repeat Customer"/>
  </r>
  <r>
    <n v="11207"/>
    <s v="CUST101"/>
    <d v="2025-10-16T00:00:00"/>
    <s v="Beauty"/>
    <x v="2"/>
    <n v="4"/>
    <n v="348.14"/>
    <n v="1392.56"/>
    <s v="UPI"/>
    <s v="Repeat Customer"/>
  </r>
  <r>
    <n v="11208"/>
    <s v="CUST346"/>
    <d v="2024-12-05T00:00:00"/>
    <s v="Fashion"/>
    <x v="0"/>
    <n v="7"/>
    <n v="106.63"/>
    <n v="746.41"/>
    <s v="Net Banking"/>
    <s v="Repeat Customer"/>
  </r>
  <r>
    <n v="11209"/>
    <s v="CUST105"/>
    <d v="2024-03-16T00:00:00"/>
    <s v="Electronics"/>
    <x v="2"/>
    <n v="6"/>
    <n v="19.86"/>
    <n v="119.16"/>
    <s v="Net Banking"/>
    <s v="Repeat Customer"/>
  </r>
  <r>
    <n v="11210"/>
    <s v="CUST325"/>
    <d v="2024-07-18T00:00:00"/>
    <s v="Home"/>
    <x v="0"/>
    <n v="10"/>
    <n v="456.79"/>
    <n v="4567.8999999999996"/>
    <s v="Credit Card"/>
    <s v="Repeat Customer"/>
  </r>
  <r>
    <n v="11211"/>
    <s v="CUST201"/>
    <d v="2024-07-21T00:00:00"/>
    <s v="Home"/>
    <x v="2"/>
    <n v="5"/>
    <n v="91.2"/>
    <n v="456"/>
    <s v="Net Banking"/>
    <s v="Repeat Customer"/>
  </r>
  <r>
    <n v="11212"/>
    <s v="CUST383"/>
    <d v="2024-09-08T00:00:00"/>
    <s v="Fashion"/>
    <x v="1"/>
    <n v="3"/>
    <n v="102.01"/>
    <n v="306.02999999999997"/>
    <s v="Credit Card"/>
    <s v="Repeat Customer"/>
  </r>
  <r>
    <n v="11213"/>
    <s v="CUST110"/>
    <d v="2025-11-24T00:00:00"/>
    <s v="Electronics"/>
    <x v="1"/>
    <n v="3"/>
    <n v="192.57"/>
    <n v="577.71"/>
    <s v="UPI"/>
    <s v="Repeat Customer"/>
  </r>
  <r>
    <n v="11214"/>
    <s v="CUST256"/>
    <d v="2025-04-12T00:00:00"/>
    <s v="Home"/>
    <x v="2"/>
    <n v="4"/>
    <n v="187.97"/>
    <n v="751.88"/>
    <s v="Wallet"/>
    <s v="Repeat Customer"/>
  </r>
  <r>
    <n v="11215"/>
    <s v="CUST133"/>
    <d v="2024-05-01T00:00:00"/>
    <s v="Fashion"/>
    <x v="2"/>
    <n v="3"/>
    <n v="441.95"/>
    <n v="1325.85"/>
    <s v="UPI"/>
    <s v="Repeat Customer"/>
  </r>
  <r>
    <n v="11216"/>
    <s v="CUST372"/>
    <d v="2025-01-22T00:00:00"/>
    <s v="Beauty"/>
    <x v="2"/>
    <n v="6"/>
    <n v="162.38999999999999"/>
    <n v="974.34"/>
    <s v="Credit Card"/>
    <s v="Repeat Customer"/>
  </r>
  <r>
    <n v="11217"/>
    <s v="CUST196"/>
    <d v="2025-07-02T00:00:00"/>
    <s v="Home"/>
    <x v="2"/>
    <n v="5"/>
    <n v="395.85"/>
    <n v="1979.25"/>
    <s v="Credit Card"/>
    <s v="Repeat Customer"/>
  </r>
  <r>
    <n v="11218"/>
    <s v="CUST243"/>
    <d v="2024-05-09T00:00:00"/>
    <s v="Beauty"/>
    <x v="2"/>
    <n v="9"/>
    <n v="484.35"/>
    <n v="4359.1499999999996"/>
    <s v="Credit Card"/>
    <s v="Repeat Customer"/>
  </r>
  <r>
    <n v="11219"/>
    <s v="CUST340"/>
    <d v="2025-11-10T00:00:00"/>
    <s v="Sports"/>
    <x v="3"/>
    <n v="10"/>
    <n v="37.11"/>
    <n v="371.1"/>
    <s v="Net Banking"/>
    <s v="Repeat Customer"/>
  </r>
  <r>
    <n v="11220"/>
    <s v="CUST355"/>
    <d v="2025-06-15T00:00:00"/>
    <s v="Home"/>
    <x v="3"/>
    <n v="8"/>
    <n v="93.6"/>
    <n v="748.8"/>
    <s v="Wallet"/>
    <s v="Repeat Customer"/>
  </r>
  <r>
    <n v="11221"/>
    <s v="CUST342"/>
    <d v="2024-10-01T00:00:00"/>
    <s v="Sports"/>
    <x v="0"/>
    <n v="10"/>
    <n v="203.47"/>
    <n v="2034.7"/>
    <s v="UPI"/>
    <s v="Repeat Customer"/>
  </r>
  <r>
    <n v="11222"/>
    <s v="CUST212"/>
    <d v="2024-07-26T00:00:00"/>
    <s v="Beauty"/>
    <x v="2"/>
    <n v="8"/>
    <n v="432.27"/>
    <n v="3458.16"/>
    <s v="Net Banking"/>
    <s v="Repeat Customer"/>
  </r>
  <r>
    <n v="11223"/>
    <s v="CUST317"/>
    <d v="2025-01-21T00:00:00"/>
    <s v="Home"/>
    <x v="1"/>
    <n v="10"/>
    <n v="82.82"/>
    <n v="828.2"/>
    <s v="Credit Card"/>
    <s v="Repeat Customer"/>
  </r>
  <r>
    <n v="11224"/>
    <s v="CUST168"/>
    <d v="2024-03-27T00:00:00"/>
    <s v="Home"/>
    <x v="2"/>
    <n v="5"/>
    <n v="225.03"/>
    <n v="1125.1500000000001"/>
    <s v="Credit Card"/>
    <s v="Repeat Customer"/>
  </r>
  <r>
    <n v="11225"/>
    <s v="CUST338"/>
    <d v="2025-06-08T00:00:00"/>
    <s v="Beauty"/>
    <x v="3"/>
    <n v="10"/>
    <n v="171.51"/>
    <n v="1715.1"/>
    <s v="Wallet"/>
    <s v="Repeat Customer"/>
  </r>
  <r>
    <n v="11226"/>
    <s v="CUST309"/>
    <d v="2025-01-11T00:00:00"/>
    <s v="Beauty"/>
    <x v="0"/>
    <n v="8"/>
    <n v="161.93"/>
    <n v="1295.44"/>
    <s v="UPI"/>
    <s v="Repeat Customer"/>
  </r>
  <r>
    <n v="11227"/>
    <s v="CUST326"/>
    <d v="2024-08-27T00:00:00"/>
    <s v="Home"/>
    <x v="0"/>
    <n v="5"/>
    <n v="324.45"/>
    <n v="1622.25"/>
    <s v="Net Banking"/>
    <s v="Repeat Customer"/>
  </r>
  <r>
    <n v="11228"/>
    <s v="CUST356"/>
    <d v="2025-06-09T00:00:00"/>
    <s v="Home"/>
    <x v="2"/>
    <n v="9"/>
    <n v="323.61"/>
    <n v="2912.49"/>
    <s v="Credit Card"/>
    <s v="Repeat Customer"/>
  </r>
  <r>
    <n v="11229"/>
    <s v="CUST160"/>
    <d v="2024-03-14T00:00:00"/>
    <s v="Fashion"/>
    <x v="1"/>
    <n v="6"/>
    <n v="23.95"/>
    <n v="143.69999999999999"/>
    <s v="UPI"/>
    <s v="Repeat Customer"/>
  </r>
  <r>
    <n v="11230"/>
    <s v="CUST268"/>
    <d v="2024-09-13T00:00:00"/>
    <s v="Home"/>
    <x v="2"/>
    <n v="5"/>
    <n v="373.88"/>
    <n v="1869.4"/>
    <s v="UPI"/>
    <s v="Repeat Customer"/>
  </r>
  <r>
    <n v="11231"/>
    <s v="CUST378"/>
    <d v="2024-09-24T00:00:00"/>
    <s v="Home"/>
    <x v="1"/>
    <n v="1"/>
    <n v="386.19"/>
    <n v="386.19"/>
    <s v="Wallet"/>
    <s v="Repeat Customer"/>
  </r>
  <r>
    <n v="11232"/>
    <s v="CUST307"/>
    <d v="2025-08-16T00:00:00"/>
    <s v="Sports"/>
    <x v="2"/>
    <n v="1"/>
    <n v="238.64"/>
    <n v="238.64"/>
    <s v="Wallet"/>
    <s v="Repeat Customer"/>
  </r>
  <r>
    <n v="11233"/>
    <s v="CUST216"/>
    <d v="2024-08-20T00:00:00"/>
    <s v="Sports"/>
    <x v="3"/>
    <n v="4"/>
    <n v="239.85"/>
    <n v="959.4"/>
    <s v="Wallet"/>
    <s v="Repeat Customer"/>
  </r>
  <r>
    <n v="11234"/>
    <s v="CUST274"/>
    <d v="2024-03-28T00:00:00"/>
    <s v="Beauty"/>
    <x v="3"/>
    <n v="6"/>
    <n v="423.67"/>
    <n v="2542.02"/>
    <s v="UPI"/>
    <s v="Repeat Customer"/>
  </r>
  <r>
    <n v="11235"/>
    <s v="CUST324"/>
    <d v="2025-04-05T00:00:00"/>
    <s v="Fashion"/>
    <x v="2"/>
    <n v="9"/>
    <n v="19.899999999999999"/>
    <n v="179.1"/>
    <s v="Net Banking"/>
    <s v="Repeat Customer"/>
  </r>
  <r>
    <n v="11236"/>
    <s v="CUST104"/>
    <d v="2025-05-26T00:00:00"/>
    <s v="Beauty"/>
    <x v="3"/>
    <n v="6"/>
    <n v="173.21"/>
    <n v="1039.26"/>
    <s v="Wallet"/>
    <s v="Repeat Customer"/>
  </r>
  <r>
    <n v="11237"/>
    <s v="CUST375"/>
    <d v="2024-11-02T00:00:00"/>
    <s v="Sports"/>
    <x v="0"/>
    <n v="6"/>
    <n v="295.54000000000002"/>
    <n v="1773.24"/>
    <s v="UPI"/>
    <s v="Repeat Customer"/>
  </r>
  <r>
    <n v="11238"/>
    <s v="CUST178"/>
    <d v="2024-12-04T00:00:00"/>
    <s v="Sports"/>
    <x v="3"/>
    <n v="10"/>
    <n v="316.77"/>
    <n v="3167.7"/>
    <s v="Wallet"/>
    <s v="Repeat Customer"/>
  </r>
  <r>
    <n v="11239"/>
    <s v="CUST204"/>
    <d v="2025-02-04T00:00:00"/>
    <s v="Fashion"/>
    <x v="3"/>
    <n v="2"/>
    <n v="269.57"/>
    <n v="539.14"/>
    <s v="Credit Card"/>
    <s v="Repeat Customer"/>
  </r>
  <r>
    <n v="11240"/>
    <s v="CUST268"/>
    <d v="2025-08-06T00:00:00"/>
    <s v="Home"/>
    <x v="0"/>
    <n v="8"/>
    <n v="321.31"/>
    <n v="2570.48"/>
    <s v="UPI"/>
    <s v="Repeat Customer"/>
  </r>
  <r>
    <n v="11241"/>
    <s v="CUST153"/>
    <d v="2025-11-22T00:00:00"/>
    <s v="Sports"/>
    <x v="3"/>
    <n v="9"/>
    <n v="92.93"/>
    <n v="836.37"/>
    <s v="Credit Card"/>
    <s v="Repeat Customer"/>
  </r>
  <r>
    <n v="11242"/>
    <s v="CUST195"/>
    <d v="2024-07-22T00:00:00"/>
    <s v="Beauty"/>
    <x v="1"/>
    <n v="2"/>
    <n v="456.12"/>
    <n v="912.24"/>
    <s v="UPI"/>
    <s v="Repeat Customer"/>
  </r>
  <r>
    <n v="11243"/>
    <s v="CUST219"/>
    <d v="2024-10-25T00:00:00"/>
    <s v="Electronics"/>
    <x v="1"/>
    <n v="9"/>
    <n v="39.64"/>
    <n v="356.76"/>
    <s v="Credit Card"/>
    <s v="Repeat Customer"/>
  </r>
  <r>
    <n v="11244"/>
    <s v="CUST187"/>
    <d v="2024-11-30T00:00:00"/>
    <s v="Electronics"/>
    <x v="2"/>
    <n v="7"/>
    <n v="198.6"/>
    <n v="1390.2"/>
    <s v="Wallet"/>
    <s v="Repeat Customer"/>
  </r>
  <r>
    <n v="11245"/>
    <s v="CUST344"/>
    <d v="2024-03-11T00:00:00"/>
    <s v="Fashion"/>
    <x v="2"/>
    <n v="7"/>
    <n v="477.77"/>
    <n v="3344.39"/>
    <s v="UPI"/>
    <s v="Repeat Customer"/>
  </r>
  <r>
    <n v="11246"/>
    <s v="CUST258"/>
    <d v="2025-03-18T00:00:00"/>
    <s v="Sports"/>
    <x v="1"/>
    <n v="8"/>
    <n v="83.6"/>
    <n v="668.8"/>
    <s v="UPI"/>
    <s v="Repeat Customer"/>
  </r>
  <r>
    <n v="11247"/>
    <s v="CUST357"/>
    <d v="2025-12-02T00:00:00"/>
    <s v="Electronics"/>
    <x v="2"/>
    <n v="8"/>
    <n v="141.34"/>
    <n v="1130.72"/>
    <s v="Wallet"/>
    <s v="Repeat Customer"/>
  </r>
  <r>
    <n v="11248"/>
    <s v="CUST132"/>
    <d v="2025-02-12T00:00:00"/>
    <s v="Sports"/>
    <x v="1"/>
    <n v="10"/>
    <n v="404.75"/>
    <n v="4047.5"/>
    <s v="Wallet"/>
    <s v="Repeat Customer"/>
  </r>
  <r>
    <n v="11249"/>
    <s v="CUST335"/>
    <d v="2025-04-18T00:00:00"/>
    <s v="Electronics"/>
    <x v="1"/>
    <n v="10"/>
    <n v="24.35"/>
    <n v="243.5"/>
    <s v="Wallet"/>
    <s v="Repeat Customer"/>
  </r>
  <r>
    <n v="11250"/>
    <s v="CUST277"/>
    <d v="2025-12-18T00:00:00"/>
    <s v="Fashion"/>
    <x v="3"/>
    <n v="5"/>
    <n v="198.59"/>
    <n v="992.95"/>
    <s v="UPI"/>
    <s v="Repeat Customer"/>
  </r>
  <r>
    <n v="11251"/>
    <s v="CUST191"/>
    <d v="2025-09-24T00:00:00"/>
    <s v="Fashion"/>
    <x v="0"/>
    <n v="7"/>
    <n v="231.62"/>
    <n v="1621.34"/>
    <s v="Wallet"/>
    <s v="Repeat Customer"/>
  </r>
  <r>
    <n v="11252"/>
    <s v="CUST122"/>
    <d v="2024-09-02T00:00:00"/>
    <s v="Sports"/>
    <x v="1"/>
    <n v="3"/>
    <n v="140.52000000000001"/>
    <n v="421.56"/>
    <s v="Credit Card"/>
    <s v="Repeat Customer"/>
  </r>
  <r>
    <n v="11253"/>
    <s v="CUST211"/>
    <d v="2025-05-20T00:00:00"/>
    <s v="Sports"/>
    <x v="0"/>
    <n v="7"/>
    <n v="496.23"/>
    <n v="3473.61"/>
    <s v="Net Banking"/>
    <s v="Repeat Customer"/>
  </r>
  <r>
    <n v="11254"/>
    <s v="CUST139"/>
    <d v="2024-04-17T00:00:00"/>
    <s v="Home"/>
    <x v="3"/>
    <n v="9"/>
    <n v="384.44"/>
    <n v="3459.96"/>
    <s v="Wallet"/>
    <s v="Repeat Customer"/>
  </r>
  <r>
    <n v="11255"/>
    <s v="CUST184"/>
    <d v="2024-09-15T00:00:00"/>
    <s v="Beauty"/>
    <x v="0"/>
    <n v="4"/>
    <n v="255.5"/>
    <n v="1022"/>
    <s v="Credit Card"/>
    <s v="Repeat Customer"/>
  </r>
  <r>
    <n v="11256"/>
    <s v="CUST336"/>
    <d v="2025-01-25T00:00:00"/>
    <s v="Fashion"/>
    <x v="3"/>
    <n v="6"/>
    <n v="374.25"/>
    <n v="2245.5"/>
    <s v="Credit Card"/>
    <s v="Repeat Customer"/>
  </r>
  <r>
    <n v="11257"/>
    <s v="CUST105"/>
    <d v="2024-09-13T00:00:00"/>
    <s v="Fashion"/>
    <x v="1"/>
    <n v="2"/>
    <n v="356"/>
    <n v="712"/>
    <s v="Wallet"/>
    <s v="Repeat Customer"/>
  </r>
  <r>
    <n v="11258"/>
    <s v="CUST348"/>
    <d v="2025-04-17T00:00:00"/>
    <s v="Fashion"/>
    <x v="3"/>
    <n v="2"/>
    <n v="45.86"/>
    <n v="91.72"/>
    <s v="UPI"/>
    <s v="Repeat Customer"/>
  </r>
  <r>
    <n v="11259"/>
    <s v="CUST341"/>
    <d v="2024-10-12T00:00:00"/>
    <s v="Electronics"/>
    <x v="0"/>
    <n v="3"/>
    <n v="89.44"/>
    <n v="268.32"/>
    <s v="UPI"/>
    <s v="Repeat Customer"/>
  </r>
  <r>
    <n v="11260"/>
    <s v="CUST250"/>
    <d v="2024-05-07T00:00:00"/>
    <s v="Fashion"/>
    <x v="0"/>
    <n v="9"/>
    <n v="372.02"/>
    <n v="3348.18"/>
    <s v="Credit Card"/>
    <s v="Repeat Customer"/>
  </r>
  <r>
    <n v="11261"/>
    <s v="CUST239"/>
    <d v="2024-06-06T00:00:00"/>
    <s v="Fashion"/>
    <x v="0"/>
    <n v="8"/>
    <n v="182.25"/>
    <n v="1458"/>
    <s v="UPI"/>
    <s v="Repeat Customer"/>
  </r>
  <r>
    <n v="11262"/>
    <s v="CUST326"/>
    <d v="2025-12-14T00:00:00"/>
    <s v="Sports"/>
    <x v="0"/>
    <n v="1"/>
    <n v="419.07"/>
    <n v="419.07"/>
    <s v="Wallet"/>
    <s v="Repeat Customer"/>
  </r>
  <r>
    <n v="11263"/>
    <s v="CUST257"/>
    <d v="2025-03-30T00:00:00"/>
    <s v="Electronics"/>
    <x v="3"/>
    <n v="1"/>
    <n v="301.11"/>
    <n v="301.11"/>
    <s v="UPI"/>
    <s v="Repeat Customer"/>
  </r>
  <r>
    <n v="11264"/>
    <s v="CUST227"/>
    <d v="2025-01-18T00:00:00"/>
    <s v="Electronics"/>
    <x v="3"/>
    <n v="4"/>
    <n v="103.99"/>
    <n v="415.96"/>
    <s v="Credit Card"/>
    <s v="Repeat Customer"/>
  </r>
  <r>
    <n v="11265"/>
    <s v="CUST107"/>
    <d v="2024-12-11T00:00:00"/>
    <s v="Electronics"/>
    <x v="2"/>
    <n v="4"/>
    <n v="341.58"/>
    <n v="1366.32"/>
    <s v="Credit Card"/>
    <s v="Repeat Customer"/>
  </r>
  <r>
    <n v="11266"/>
    <s v="CUST185"/>
    <d v="2024-06-20T00:00:00"/>
    <s v="Electronics"/>
    <x v="1"/>
    <n v="1"/>
    <n v="210.76"/>
    <n v="210.76"/>
    <s v="Net Banking"/>
    <s v="Repeat Customer"/>
  </r>
  <r>
    <n v="11267"/>
    <s v="CUST387"/>
    <d v="2025-10-03T00:00:00"/>
    <s v="Sports"/>
    <x v="3"/>
    <n v="4"/>
    <n v="314.20999999999998"/>
    <n v="1256.8399999999999"/>
    <s v="Wallet"/>
    <s v="Repeat Customer"/>
  </r>
  <r>
    <n v="11268"/>
    <s v="CUST161"/>
    <d v="2024-08-25T00:00:00"/>
    <s v="Home"/>
    <x v="2"/>
    <n v="4"/>
    <n v="57.41"/>
    <n v="229.64"/>
    <s v="Credit Card"/>
    <s v="Repeat Customer"/>
  </r>
  <r>
    <n v="11269"/>
    <s v="CUST305"/>
    <d v="2025-10-31T00:00:00"/>
    <s v="Fashion"/>
    <x v="3"/>
    <n v="6"/>
    <n v="10.93"/>
    <n v="65.58"/>
    <s v="UPI"/>
    <s v="Repeat Customer"/>
  </r>
  <r>
    <n v="11270"/>
    <s v="CUST133"/>
    <d v="2025-11-04T00:00:00"/>
    <s v="Home"/>
    <x v="0"/>
    <n v="5"/>
    <n v="326.72000000000003"/>
    <n v="1633.6"/>
    <s v="Credit Card"/>
    <s v="Repeat Customer"/>
  </r>
  <r>
    <n v="11271"/>
    <s v="CUST211"/>
    <d v="2025-02-24T00:00:00"/>
    <s v="Beauty"/>
    <x v="0"/>
    <n v="5"/>
    <n v="384.93"/>
    <n v="1924.65"/>
    <s v="UPI"/>
    <s v="Repeat Customer"/>
  </r>
  <r>
    <n v="11272"/>
    <s v="CUST228"/>
    <d v="2024-04-07T00:00:00"/>
    <s v="Beauty"/>
    <x v="2"/>
    <n v="10"/>
    <n v="165.56"/>
    <n v="1655.6"/>
    <s v="Net Banking"/>
    <s v="Repeat Customer"/>
  </r>
  <r>
    <n v="11273"/>
    <s v="CUST189"/>
    <d v="2025-10-12T00:00:00"/>
    <s v="Beauty"/>
    <x v="0"/>
    <n v="6"/>
    <n v="489.12"/>
    <n v="2934.72"/>
    <s v="Net Banking"/>
    <s v="Repeat Customer"/>
  </r>
  <r>
    <n v="11274"/>
    <s v="CUST109"/>
    <d v="2025-09-15T00:00:00"/>
    <s v="Sports"/>
    <x v="2"/>
    <n v="10"/>
    <n v="227.21"/>
    <n v="2272.1"/>
    <s v="Credit Card"/>
    <s v="Repeat Customer"/>
  </r>
  <r>
    <n v="11275"/>
    <s v="CUST219"/>
    <d v="2024-01-22T00:00:00"/>
    <s v="Electronics"/>
    <x v="1"/>
    <n v="10"/>
    <n v="380.68"/>
    <n v="3806.8"/>
    <s v="UPI"/>
    <s v="Repeat Customer"/>
  </r>
  <r>
    <n v="11276"/>
    <s v="CUST319"/>
    <d v="2024-09-06T00:00:00"/>
    <s v="Fashion"/>
    <x v="1"/>
    <n v="10"/>
    <n v="44.3"/>
    <n v="443"/>
    <s v="Wallet"/>
    <s v="Repeat Customer"/>
  </r>
  <r>
    <n v="11277"/>
    <s v="CUST251"/>
    <d v="2024-07-25T00:00:00"/>
    <s v="Electronics"/>
    <x v="2"/>
    <n v="3"/>
    <n v="191"/>
    <n v="573"/>
    <s v="Wallet"/>
    <s v="Repeat Customer"/>
  </r>
  <r>
    <n v="11278"/>
    <s v="CUST268"/>
    <d v="2024-05-17T00:00:00"/>
    <s v="Electronics"/>
    <x v="3"/>
    <n v="5"/>
    <n v="162.18"/>
    <n v="810.9"/>
    <s v="Net Banking"/>
    <s v="Repeat Customer"/>
  </r>
  <r>
    <n v="11279"/>
    <s v="CUST112"/>
    <d v="2024-08-22T00:00:00"/>
    <s v="Fashion"/>
    <x v="0"/>
    <n v="6"/>
    <n v="174.65"/>
    <n v="1047.9000000000001"/>
    <s v="UPI"/>
    <s v="Repeat Customer"/>
  </r>
  <r>
    <n v="11280"/>
    <s v="CUST213"/>
    <d v="2025-09-14T00:00:00"/>
    <s v="Fashion"/>
    <x v="3"/>
    <n v="7"/>
    <n v="263.13"/>
    <n v="1841.91"/>
    <s v="Credit Card"/>
    <s v="Repeat Customer"/>
  </r>
  <r>
    <n v="11281"/>
    <s v="CUST133"/>
    <d v="2025-05-18T00:00:00"/>
    <s v="Electronics"/>
    <x v="2"/>
    <n v="2"/>
    <n v="477.06"/>
    <n v="954.12"/>
    <s v="UPI"/>
    <s v="Repeat Customer"/>
  </r>
  <r>
    <n v="11282"/>
    <s v="CUST164"/>
    <d v="2024-04-03T00:00:00"/>
    <s v="Fashion"/>
    <x v="2"/>
    <n v="3"/>
    <n v="298.35000000000002"/>
    <n v="895.05"/>
    <s v="Credit Card"/>
    <s v="Repeat Customer"/>
  </r>
  <r>
    <n v="11283"/>
    <s v="CUST318"/>
    <d v="2025-04-23T00:00:00"/>
    <s v="Fashion"/>
    <x v="2"/>
    <n v="5"/>
    <n v="86.26"/>
    <n v="431.3"/>
    <s v="Wallet"/>
    <s v="Repeat Customer"/>
  </r>
  <r>
    <n v="11284"/>
    <s v="CUST190"/>
    <d v="2025-09-12T00:00:00"/>
    <s v="Sports"/>
    <x v="3"/>
    <n v="4"/>
    <n v="155.03"/>
    <n v="620.12"/>
    <s v="UPI"/>
    <s v="Repeat Customer"/>
  </r>
  <r>
    <n v="11285"/>
    <s v="CUST239"/>
    <d v="2025-05-07T00:00:00"/>
    <s v="Home"/>
    <x v="3"/>
    <n v="2"/>
    <n v="475.75"/>
    <n v="951.5"/>
    <s v="Wallet"/>
    <s v="Repeat Customer"/>
  </r>
  <r>
    <n v="11286"/>
    <s v="CUST185"/>
    <d v="2025-04-27T00:00:00"/>
    <s v="Sports"/>
    <x v="3"/>
    <n v="8"/>
    <n v="214.24"/>
    <n v="1713.92"/>
    <s v="UPI"/>
    <s v="Repeat Customer"/>
  </r>
  <r>
    <n v="11287"/>
    <s v="CUST346"/>
    <d v="2024-01-21T00:00:00"/>
    <s v="Electronics"/>
    <x v="1"/>
    <n v="7"/>
    <n v="216.56"/>
    <n v="1515.92"/>
    <s v="UPI"/>
    <s v="Repeat Customer"/>
  </r>
  <r>
    <n v="11288"/>
    <s v="CUST383"/>
    <d v="2024-06-28T00:00:00"/>
    <s v="Home"/>
    <x v="3"/>
    <n v="5"/>
    <n v="193.32"/>
    <n v="966.6"/>
    <s v="Net Banking"/>
    <s v="Repeat Customer"/>
  </r>
  <r>
    <n v="11289"/>
    <s v="CUST292"/>
    <d v="2025-07-29T00:00:00"/>
    <s v="Home"/>
    <x v="2"/>
    <n v="10"/>
    <n v="243.02"/>
    <n v="2430.1999999999998"/>
    <s v="Wallet"/>
    <s v="Repeat Customer"/>
  </r>
  <r>
    <n v="11290"/>
    <s v="CUST200"/>
    <d v="2024-06-07T00:00:00"/>
    <s v="Sports"/>
    <x v="1"/>
    <n v="4"/>
    <n v="7.07"/>
    <n v="28.28"/>
    <s v="Wallet"/>
    <s v="Repeat Customer"/>
  </r>
  <r>
    <n v="11291"/>
    <s v="CUST307"/>
    <d v="2025-03-01T00:00:00"/>
    <s v="Home"/>
    <x v="3"/>
    <n v="7"/>
    <n v="485.39"/>
    <n v="3397.73"/>
    <s v="Wallet"/>
    <s v="Repeat Customer"/>
  </r>
  <r>
    <n v="11292"/>
    <s v="CUST257"/>
    <d v="2025-10-18T00:00:00"/>
    <s v="Electronics"/>
    <x v="0"/>
    <n v="10"/>
    <n v="40.26"/>
    <n v="402.6"/>
    <s v="Wallet"/>
    <s v="Repeat Customer"/>
  </r>
  <r>
    <n v="11293"/>
    <s v="CUST389"/>
    <d v="2024-06-15T00:00:00"/>
    <s v="Home"/>
    <x v="1"/>
    <n v="4"/>
    <n v="382.66"/>
    <n v="1530.64"/>
    <s v="Wallet"/>
    <s v="Repeat Customer"/>
  </r>
  <r>
    <n v="11294"/>
    <s v="CUST288"/>
    <d v="2025-12-14T00:00:00"/>
    <s v="Beauty"/>
    <x v="2"/>
    <n v="1"/>
    <n v="327.2"/>
    <n v="327.2"/>
    <s v="UPI"/>
    <s v="Repeat Customer"/>
  </r>
  <r>
    <n v="11295"/>
    <s v="CUST344"/>
    <d v="2024-02-05T00:00:00"/>
    <s v="Electronics"/>
    <x v="2"/>
    <n v="6"/>
    <n v="317.32"/>
    <n v="1903.92"/>
    <s v="Net Banking"/>
    <s v="Repeat Customer"/>
  </r>
  <r>
    <n v="11296"/>
    <s v="CUST333"/>
    <d v="2025-11-28T00:00:00"/>
    <s v="Sports"/>
    <x v="2"/>
    <n v="3"/>
    <n v="130.87"/>
    <n v="392.61"/>
    <s v="Credit Card"/>
    <s v="Repeat Customer"/>
  </r>
  <r>
    <n v="11297"/>
    <s v="CUST159"/>
    <d v="2024-04-04T00:00:00"/>
    <s v="Sports"/>
    <x v="0"/>
    <n v="7"/>
    <n v="201.85"/>
    <n v="1412.95"/>
    <s v="UPI"/>
    <s v="Repeat Customer"/>
  </r>
  <r>
    <n v="11298"/>
    <s v="CUST316"/>
    <d v="2024-06-18T00:00:00"/>
    <s v="Home"/>
    <x v="3"/>
    <n v="7"/>
    <n v="130.16999999999999"/>
    <n v="911.19"/>
    <s v="Net Banking"/>
    <s v="Repeat Customer"/>
  </r>
  <r>
    <n v="11299"/>
    <s v="CUST310"/>
    <d v="2024-04-01T00:00:00"/>
    <s v="Home"/>
    <x v="2"/>
    <n v="2"/>
    <n v="319.91000000000003"/>
    <n v="639.82000000000005"/>
    <s v="Net Banking"/>
    <s v="Repeat Customer"/>
  </r>
  <r>
    <n v="11300"/>
    <s v="CUST207"/>
    <d v="2025-02-11T00:00:00"/>
    <s v="Fashion"/>
    <x v="3"/>
    <n v="5"/>
    <n v="8.18"/>
    <n v="40.9"/>
    <s v="Credit Card"/>
    <s v="Repeat Customer"/>
  </r>
  <r>
    <n v="11301"/>
    <s v="CUST149"/>
    <d v="2024-03-12T00:00:00"/>
    <s v="Home"/>
    <x v="3"/>
    <n v="7"/>
    <n v="264.86"/>
    <n v="1854.02"/>
    <s v="UPI"/>
    <s v="Repeat Customer"/>
  </r>
  <r>
    <n v="11302"/>
    <s v="CUST190"/>
    <d v="2025-01-18T00:00:00"/>
    <s v="Fashion"/>
    <x v="3"/>
    <n v="3"/>
    <n v="353.5"/>
    <n v="1060.5"/>
    <s v="UPI"/>
    <s v="Repeat Customer"/>
  </r>
  <r>
    <n v="11303"/>
    <s v="CUST357"/>
    <d v="2024-04-22T00:00:00"/>
    <s v="Fashion"/>
    <x v="2"/>
    <n v="8"/>
    <n v="285.70999999999998"/>
    <n v="2285.6799999999998"/>
    <s v="UPI"/>
    <s v="Repeat Customer"/>
  </r>
  <r>
    <n v="11304"/>
    <s v="CUST130"/>
    <d v="2024-07-06T00:00:00"/>
    <s v="Beauty"/>
    <x v="3"/>
    <n v="4"/>
    <n v="133.38"/>
    <n v="533.52"/>
    <s v="Credit Card"/>
    <s v="Repeat Customer"/>
  </r>
  <r>
    <n v="11305"/>
    <s v="CUST185"/>
    <d v="2024-03-22T00:00:00"/>
    <s v="Electronics"/>
    <x v="1"/>
    <n v="5"/>
    <n v="47.42"/>
    <n v="237.1"/>
    <s v="Credit Card"/>
    <s v="Repeat Customer"/>
  </r>
  <r>
    <n v="11306"/>
    <s v="CUST275"/>
    <d v="2024-01-31T00:00:00"/>
    <s v="Beauty"/>
    <x v="0"/>
    <n v="10"/>
    <n v="121.22"/>
    <n v="1212.2"/>
    <s v="Credit Card"/>
    <s v="Repeat Customer"/>
  </r>
  <r>
    <n v="11307"/>
    <s v="CUST131"/>
    <d v="2024-09-29T00:00:00"/>
    <s v="Electronics"/>
    <x v="0"/>
    <n v="1"/>
    <n v="334.33"/>
    <n v="334.33"/>
    <s v="UPI"/>
    <s v="Repeat Customer"/>
  </r>
  <r>
    <n v="11308"/>
    <s v="CUST367"/>
    <d v="2024-01-08T00:00:00"/>
    <s v="Home"/>
    <x v="3"/>
    <n v="7"/>
    <n v="303.48"/>
    <n v="2124.36"/>
    <s v="Wallet"/>
    <s v="Repeat Customer"/>
  </r>
  <r>
    <n v="11309"/>
    <s v="CUST272"/>
    <d v="2025-09-10T00:00:00"/>
    <s v="Home"/>
    <x v="1"/>
    <n v="7"/>
    <n v="171.59"/>
    <n v="1201.1300000000001"/>
    <s v="UPI"/>
    <s v="Repeat Customer"/>
  </r>
  <r>
    <n v="11310"/>
    <s v="CUST284"/>
    <d v="2025-11-12T00:00:00"/>
    <s v="Electronics"/>
    <x v="1"/>
    <n v="7"/>
    <n v="192.33"/>
    <n v="1346.31"/>
    <s v="Net Banking"/>
    <s v="Repeat Customer"/>
  </r>
  <r>
    <n v="11311"/>
    <s v="CUST151"/>
    <d v="2024-01-04T00:00:00"/>
    <s v="Beauty"/>
    <x v="2"/>
    <n v="8"/>
    <n v="435.92"/>
    <n v="3487.36"/>
    <s v="Credit Card"/>
    <s v="Repeat Customer"/>
  </r>
  <r>
    <n v="11312"/>
    <s v="CUST162"/>
    <d v="2025-06-27T00:00:00"/>
    <s v="Fashion"/>
    <x v="1"/>
    <n v="5"/>
    <n v="475.78"/>
    <n v="2378.9"/>
    <s v="Wallet"/>
    <s v="Repeat Customer"/>
  </r>
  <r>
    <n v="11313"/>
    <s v="CUST343"/>
    <d v="2025-06-11T00:00:00"/>
    <s v="Electronics"/>
    <x v="1"/>
    <n v="7"/>
    <n v="331.81"/>
    <n v="2322.67"/>
    <s v="Credit Card"/>
    <s v="Repeat Customer"/>
  </r>
  <r>
    <n v="11314"/>
    <s v="CUST284"/>
    <d v="2024-02-16T00:00:00"/>
    <s v="Fashion"/>
    <x v="3"/>
    <n v="6"/>
    <n v="340.58"/>
    <n v="2043.48"/>
    <s v="Wallet"/>
    <s v="Repeat Customer"/>
  </r>
  <r>
    <n v="11315"/>
    <s v="CUST141"/>
    <d v="2024-12-22T00:00:00"/>
    <s v="Beauty"/>
    <x v="0"/>
    <n v="7"/>
    <n v="469.85"/>
    <n v="3288.95"/>
    <s v="Wallet"/>
    <s v="Repeat Customer"/>
  </r>
  <r>
    <n v="11316"/>
    <s v="CUST250"/>
    <d v="2025-09-13T00:00:00"/>
    <s v="Sports"/>
    <x v="0"/>
    <n v="4"/>
    <n v="357.41"/>
    <n v="1429.64"/>
    <s v="UPI"/>
    <s v="Repeat Customer"/>
  </r>
  <r>
    <n v="11317"/>
    <s v="CUST354"/>
    <d v="2024-03-30T00:00:00"/>
    <s v="Sports"/>
    <x v="3"/>
    <n v="5"/>
    <n v="417.02"/>
    <n v="2085.1"/>
    <s v="UPI"/>
    <s v="Repeat Customer"/>
  </r>
  <r>
    <n v="11318"/>
    <s v="CUST328"/>
    <d v="2024-04-28T00:00:00"/>
    <s v="Fashion"/>
    <x v="2"/>
    <n v="8"/>
    <n v="333.01"/>
    <n v="2664.08"/>
    <s v="UPI"/>
    <s v="Repeat Customer"/>
  </r>
  <r>
    <n v="11319"/>
    <s v="CUST187"/>
    <d v="2025-11-06T00:00:00"/>
    <s v="Electronics"/>
    <x v="2"/>
    <n v="2"/>
    <n v="57.21"/>
    <n v="114.42"/>
    <s v="Net Banking"/>
    <s v="Repeat Customer"/>
  </r>
  <r>
    <n v="11320"/>
    <s v="CUST296"/>
    <d v="2024-10-14T00:00:00"/>
    <s v="Beauty"/>
    <x v="0"/>
    <n v="4"/>
    <n v="360.99"/>
    <n v="1443.96"/>
    <s v="UPI"/>
    <s v="Repeat Customer"/>
  </r>
  <r>
    <n v="11321"/>
    <s v="CUST373"/>
    <d v="2025-10-10T00:00:00"/>
    <s v="Home"/>
    <x v="2"/>
    <n v="8"/>
    <n v="49.77"/>
    <n v="398.16"/>
    <s v="Credit Card"/>
    <s v="Repeat Customer"/>
  </r>
  <r>
    <n v="11322"/>
    <s v="CUST275"/>
    <d v="2025-01-21T00:00:00"/>
    <s v="Sports"/>
    <x v="3"/>
    <n v="7"/>
    <n v="328.69"/>
    <n v="2300.83"/>
    <s v="UPI"/>
    <s v="Repeat Customer"/>
  </r>
  <r>
    <n v="11323"/>
    <s v="CUST214"/>
    <d v="2024-09-22T00:00:00"/>
    <s v="Electronics"/>
    <x v="0"/>
    <n v="2"/>
    <n v="149.03"/>
    <n v="298.06"/>
    <s v="Net Banking"/>
    <s v="Repeat Customer"/>
  </r>
  <r>
    <n v="11324"/>
    <s v="CUST196"/>
    <d v="2024-04-28T00:00:00"/>
    <s v="Home"/>
    <x v="3"/>
    <n v="10"/>
    <n v="187.03"/>
    <n v="1870.3"/>
    <s v="Credit Card"/>
    <s v="Repeat Customer"/>
  </r>
  <r>
    <n v="11325"/>
    <s v="CUST259"/>
    <d v="2024-03-04T00:00:00"/>
    <s v="Beauty"/>
    <x v="3"/>
    <n v="10"/>
    <n v="270.12"/>
    <n v="2701.2"/>
    <s v="Net Banking"/>
    <s v="Repeat Customer"/>
  </r>
  <r>
    <n v="11326"/>
    <s v="CUST286"/>
    <d v="2025-11-26T00:00:00"/>
    <s v="Sports"/>
    <x v="2"/>
    <n v="3"/>
    <n v="262.27999999999997"/>
    <n v="786.84"/>
    <s v="Credit Card"/>
    <s v="Repeat Customer"/>
  </r>
  <r>
    <n v="11327"/>
    <s v="CUST302"/>
    <d v="2024-01-10T00:00:00"/>
    <s v="Home"/>
    <x v="2"/>
    <n v="9"/>
    <n v="426.92"/>
    <n v="3842.28"/>
    <s v="Net Banking"/>
    <s v="Repeat Customer"/>
  </r>
  <r>
    <n v="11328"/>
    <s v="CUST212"/>
    <d v="2025-05-26T00:00:00"/>
    <s v="Home"/>
    <x v="2"/>
    <n v="8"/>
    <n v="77.98"/>
    <n v="623.84"/>
    <s v="Credit Card"/>
    <s v="Repeat Customer"/>
  </r>
  <r>
    <n v="11329"/>
    <s v="CUST263"/>
    <d v="2024-11-12T00:00:00"/>
    <s v="Electronics"/>
    <x v="1"/>
    <n v="9"/>
    <n v="495.22"/>
    <n v="4456.9799999999996"/>
    <s v="Wallet"/>
    <s v="Repeat Customer"/>
  </r>
  <r>
    <n v="11330"/>
    <s v="CUST210"/>
    <d v="2025-05-21T00:00:00"/>
    <s v="Beauty"/>
    <x v="0"/>
    <n v="5"/>
    <n v="353.55"/>
    <n v="1767.75"/>
    <s v="Net Banking"/>
    <s v="Repeat Customer"/>
  </r>
  <r>
    <n v="11331"/>
    <s v="CUST178"/>
    <d v="2024-08-03T00:00:00"/>
    <s v="Electronics"/>
    <x v="2"/>
    <n v="4"/>
    <n v="351.7"/>
    <n v="1406.8"/>
    <s v="Wallet"/>
    <s v="Repeat Customer"/>
  </r>
  <r>
    <n v="11332"/>
    <s v="CUST300"/>
    <d v="2024-11-02T00:00:00"/>
    <s v="Sports"/>
    <x v="3"/>
    <n v="3"/>
    <n v="495.58"/>
    <n v="1486.74"/>
    <s v="Net Banking"/>
    <s v="Repeat Customer"/>
  </r>
  <r>
    <n v="11333"/>
    <s v="CUST316"/>
    <d v="2025-11-25T00:00:00"/>
    <s v="Beauty"/>
    <x v="3"/>
    <n v="8"/>
    <n v="495.21"/>
    <n v="3961.68"/>
    <s v="Credit Card"/>
    <s v="Repeat Customer"/>
  </r>
  <r>
    <n v="11334"/>
    <s v="CUST370"/>
    <d v="2024-10-16T00:00:00"/>
    <s v="Fashion"/>
    <x v="3"/>
    <n v="5"/>
    <n v="349.71"/>
    <n v="1748.55"/>
    <s v="Credit Card"/>
    <s v="Repeat Customer"/>
  </r>
  <r>
    <n v="11335"/>
    <s v="CUST167"/>
    <d v="2024-11-27T00:00:00"/>
    <s v="Electronics"/>
    <x v="1"/>
    <n v="10"/>
    <n v="433.6"/>
    <n v="4336"/>
    <s v="Wallet"/>
    <s v="Repeat Customer"/>
  </r>
  <r>
    <n v="11336"/>
    <s v="CUST183"/>
    <d v="2025-08-14T00:00:00"/>
    <s v="Beauty"/>
    <x v="1"/>
    <n v="3"/>
    <n v="223.73"/>
    <n v="671.19"/>
    <s v="UPI"/>
    <s v="Repeat Customer"/>
  </r>
  <r>
    <n v="11337"/>
    <s v="CUST207"/>
    <d v="2024-08-11T00:00:00"/>
    <s v="Electronics"/>
    <x v="1"/>
    <n v="4"/>
    <n v="368.98"/>
    <n v="1475.92"/>
    <s v="Credit Card"/>
    <s v="Repeat Customer"/>
  </r>
  <r>
    <n v="11338"/>
    <s v="CUST175"/>
    <d v="2025-01-20T00:00:00"/>
    <s v="Fashion"/>
    <x v="0"/>
    <n v="7"/>
    <n v="341.33"/>
    <n v="2389.31"/>
    <s v="Credit Card"/>
    <s v="Repeat Customer"/>
  </r>
  <r>
    <n v="11339"/>
    <s v="CUST282"/>
    <d v="2025-04-30T00:00:00"/>
    <s v="Electronics"/>
    <x v="1"/>
    <n v="3"/>
    <n v="472.81"/>
    <n v="1418.43"/>
    <s v="Wallet"/>
    <s v="Repeat Customer"/>
  </r>
  <r>
    <n v="11340"/>
    <s v="CUST176"/>
    <d v="2025-10-04T00:00:00"/>
    <s v="Electronics"/>
    <x v="2"/>
    <n v="7"/>
    <n v="126.28"/>
    <n v="883.96"/>
    <s v="Wallet"/>
    <s v="Repeat Customer"/>
  </r>
  <r>
    <n v="11341"/>
    <s v="CUST350"/>
    <d v="2024-11-05T00:00:00"/>
    <s v="Beauty"/>
    <x v="0"/>
    <n v="10"/>
    <n v="477.5"/>
    <n v="4775"/>
    <s v="Wallet"/>
    <s v="Repeat Customer"/>
  </r>
  <r>
    <n v="11342"/>
    <s v="CUST295"/>
    <d v="2024-10-08T00:00:00"/>
    <s v="Electronics"/>
    <x v="0"/>
    <n v="8"/>
    <n v="186.82"/>
    <n v="1494.56"/>
    <s v="Credit Card"/>
    <s v="Repeat Customer"/>
  </r>
  <r>
    <n v="11343"/>
    <s v="CUST162"/>
    <d v="2025-05-15T00:00:00"/>
    <s v="Sports"/>
    <x v="3"/>
    <n v="9"/>
    <n v="116.34"/>
    <n v="1047.06"/>
    <s v="Net Banking"/>
    <s v="Repeat Customer"/>
  </r>
  <r>
    <n v="11344"/>
    <s v="CUST148"/>
    <d v="2025-08-30T00:00:00"/>
    <s v="Beauty"/>
    <x v="1"/>
    <n v="3"/>
    <n v="195.06"/>
    <n v="585.17999999999995"/>
    <s v="UPI"/>
    <s v="Repeat Customer"/>
  </r>
  <r>
    <n v="11345"/>
    <s v="CUST150"/>
    <d v="2024-11-29T00:00:00"/>
    <s v="Sports"/>
    <x v="2"/>
    <n v="2"/>
    <n v="358.32"/>
    <n v="716.64"/>
    <s v="Wallet"/>
    <s v="Repeat Customer"/>
  </r>
  <r>
    <n v="11346"/>
    <s v="CUST110"/>
    <d v="2025-02-07T00:00:00"/>
    <s v="Sports"/>
    <x v="3"/>
    <n v="9"/>
    <n v="409.64"/>
    <n v="3686.76"/>
    <s v="Credit Card"/>
    <s v="Repeat Customer"/>
  </r>
  <r>
    <n v="11347"/>
    <s v="CUST365"/>
    <d v="2025-08-21T00:00:00"/>
    <s v="Electronics"/>
    <x v="2"/>
    <n v="9"/>
    <n v="358.31"/>
    <n v="3224.79"/>
    <s v="Credit Card"/>
    <s v="Repeat Customer"/>
  </r>
  <r>
    <n v="11348"/>
    <s v="CUST192"/>
    <d v="2025-09-05T00:00:00"/>
    <s v="Beauty"/>
    <x v="1"/>
    <n v="3"/>
    <n v="7.64"/>
    <n v="22.92"/>
    <s v="Credit Card"/>
    <s v="Repeat Customer"/>
  </r>
  <r>
    <n v="11349"/>
    <s v="CUST120"/>
    <d v="2024-05-11T00:00:00"/>
    <s v="Fashion"/>
    <x v="0"/>
    <n v="10"/>
    <n v="107.08"/>
    <n v="1070.8"/>
    <s v="Net Banking"/>
    <s v="Repeat Customer"/>
  </r>
  <r>
    <n v="11350"/>
    <s v="CUST117"/>
    <d v="2024-03-27T00:00:00"/>
    <s v="Home"/>
    <x v="2"/>
    <n v="2"/>
    <n v="255.54"/>
    <n v="511.08"/>
    <s v="Wallet"/>
    <s v="Repeat Customer"/>
  </r>
  <r>
    <n v="11351"/>
    <s v="CUST100"/>
    <d v="2024-09-11T00:00:00"/>
    <s v="Sports"/>
    <x v="1"/>
    <n v="5"/>
    <n v="27.85"/>
    <n v="139.25"/>
    <s v="Wallet"/>
    <s v="Repeat Customer"/>
  </r>
  <r>
    <n v="11352"/>
    <s v="CUST171"/>
    <d v="2025-08-13T00:00:00"/>
    <s v="Sports"/>
    <x v="1"/>
    <n v="8"/>
    <n v="349.08"/>
    <n v="2792.64"/>
    <s v="UPI"/>
    <s v="Repeat Customer"/>
  </r>
  <r>
    <n v="11353"/>
    <s v="CUST150"/>
    <d v="2025-11-09T00:00:00"/>
    <s v="Fashion"/>
    <x v="2"/>
    <n v="1"/>
    <n v="122.36"/>
    <n v="122.36"/>
    <s v="Net Banking"/>
    <s v="Repeat Customer"/>
  </r>
  <r>
    <n v="11354"/>
    <s v="CUST210"/>
    <d v="2024-05-17T00:00:00"/>
    <s v="Sports"/>
    <x v="1"/>
    <n v="10"/>
    <n v="278.27"/>
    <n v="2782.7"/>
    <s v="Net Banking"/>
    <s v="Repeat Customer"/>
  </r>
  <r>
    <n v="11355"/>
    <s v="CUST165"/>
    <d v="2025-09-29T00:00:00"/>
    <s v="Home"/>
    <x v="1"/>
    <n v="7"/>
    <n v="41.81"/>
    <n v="292.67"/>
    <s v="Wallet"/>
    <s v="Repeat Customer"/>
  </r>
  <r>
    <n v="11356"/>
    <s v="CUST183"/>
    <d v="2025-02-13T00:00:00"/>
    <s v="Home"/>
    <x v="3"/>
    <n v="8"/>
    <n v="46.21"/>
    <n v="369.68"/>
    <s v="UPI"/>
    <s v="Repeat Customer"/>
  </r>
  <r>
    <n v="11357"/>
    <s v="CUST374"/>
    <d v="2024-07-27T00:00:00"/>
    <s v="Home"/>
    <x v="2"/>
    <n v="2"/>
    <n v="316.64"/>
    <n v="633.28"/>
    <s v="Net Banking"/>
    <s v="Repeat Customer"/>
  </r>
  <r>
    <n v="11358"/>
    <s v="CUST388"/>
    <d v="2025-11-04T00:00:00"/>
    <s v="Beauty"/>
    <x v="2"/>
    <n v="9"/>
    <n v="304.45"/>
    <n v="2740.05"/>
    <s v="Net Banking"/>
    <s v="Repeat Customer"/>
  </r>
  <r>
    <n v="11359"/>
    <s v="CUST322"/>
    <d v="2025-01-23T00:00:00"/>
    <s v="Fashion"/>
    <x v="0"/>
    <n v="1"/>
    <n v="482.19"/>
    <n v="482.19"/>
    <s v="Net Banking"/>
    <s v="Repeat Customer"/>
  </r>
  <r>
    <n v="11360"/>
    <s v="CUST163"/>
    <d v="2025-06-28T00:00:00"/>
    <s v="Beauty"/>
    <x v="0"/>
    <n v="2"/>
    <n v="343.57"/>
    <n v="687.14"/>
    <s v="Net Banking"/>
    <s v="Repeat Customer"/>
  </r>
  <r>
    <n v="11361"/>
    <s v="CUST145"/>
    <d v="2025-01-06T00:00:00"/>
    <s v="Fashion"/>
    <x v="2"/>
    <n v="6"/>
    <n v="390.15"/>
    <n v="2340.9"/>
    <s v="Net Banking"/>
    <s v="Repeat Customer"/>
  </r>
  <r>
    <n v="11362"/>
    <s v="CUST105"/>
    <d v="2024-04-10T00:00:00"/>
    <s v="Fashion"/>
    <x v="3"/>
    <n v="7"/>
    <n v="489.85"/>
    <n v="3428.95"/>
    <s v="Credit Card"/>
    <s v="Repeat Customer"/>
  </r>
  <r>
    <n v="11363"/>
    <s v="CUST163"/>
    <d v="2024-06-28T00:00:00"/>
    <s v="Home"/>
    <x v="3"/>
    <n v="9"/>
    <n v="365.52"/>
    <n v="3289.68"/>
    <s v="Credit Card"/>
    <s v="Repeat Customer"/>
  </r>
  <r>
    <n v="11364"/>
    <s v="CUST370"/>
    <d v="2024-12-23T00:00:00"/>
    <s v="Sports"/>
    <x v="1"/>
    <n v="10"/>
    <n v="433.37"/>
    <n v="4333.7"/>
    <s v="Credit Card"/>
    <s v="Repeat Customer"/>
  </r>
  <r>
    <n v="11365"/>
    <s v="CUST124"/>
    <d v="2024-06-23T00:00:00"/>
    <s v="Beauty"/>
    <x v="2"/>
    <n v="6"/>
    <n v="473.52"/>
    <n v="2841.12"/>
    <s v="Net Banking"/>
    <s v="Repeat Customer"/>
  </r>
  <r>
    <n v="11366"/>
    <s v="CUST372"/>
    <d v="2025-07-18T00:00:00"/>
    <s v="Beauty"/>
    <x v="3"/>
    <n v="10"/>
    <n v="441.6"/>
    <n v="4416"/>
    <s v="UPI"/>
    <s v="Repeat Customer"/>
  </r>
  <r>
    <n v="11367"/>
    <s v="CUST232"/>
    <d v="2024-01-10T00:00:00"/>
    <s v="Fashion"/>
    <x v="2"/>
    <n v="9"/>
    <n v="358.05"/>
    <n v="3222.45"/>
    <s v="Wallet"/>
    <s v="Repeat Customer"/>
  </r>
  <r>
    <n v="11368"/>
    <s v="CUST390"/>
    <d v="2024-09-30T00:00:00"/>
    <s v="Home"/>
    <x v="2"/>
    <n v="1"/>
    <n v="459.63"/>
    <n v="459.63"/>
    <s v="Wallet"/>
    <s v="Repeat Customer"/>
  </r>
  <r>
    <n v="11369"/>
    <s v="CUST334"/>
    <d v="2024-07-06T00:00:00"/>
    <s v="Beauty"/>
    <x v="1"/>
    <n v="8"/>
    <n v="493.19"/>
    <n v="3945.52"/>
    <s v="Net Banking"/>
    <s v="Repeat Customer"/>
  </r>
  <r>
    <n v="11370"/>
    <s v="CUST319"/>
    <d v="2025-06-17T00:00:00"/>
    <s v="Electronics"/>
    <x v="1"/>
    <n v="4"/>
    <n v="156.07"/>
    <n v="624.28"/>
    <s v="Wallet"/>
    <s v="Repeat Customer"/>
  </r>
  <r>
    <n v="11371"/>
    <s v="CUST260"/>
    <d v="2024-04-02T00:00:00"/>
    <s v="Fashion"/>
    <x v="0"/>
    <n v="2"/>
    <n v="42.96"/>
    <n v="85.92"/>
    <s v="UPI"/>
    <s v="Repeat Customer"/>
  </r>
  <r>
    <n v="11372"/>
    <s v="CUST394"/>
    <d v="2024-02-28T00:00:00"/>
    <s v="Sports"/>
    <x v="3"/>
    <n v="2"/>
    <n v="372.99"/>
    <n v="745.98"/>
    <s v="Credit Card"/>
    <s v="Repeat Customer"/>
  </r>
  <r>
    <n v="11373"/>
    <s v="CUST317"/>
    <d v="2025-11-24T00:00:00"/>
    <s v="Fashion"/>
    <x v="3"/>
    <n v="9"/>
    <n v="466.56"/>
    <n v="4199.04"/>
    <s v="Wallet"/>
    <s v="Repeat Customer"/>
  </r>
  <r>
    <n v="11374"/>
    <s v="CUST363"/>
    <d v="2025-12-02T00:00:00"/>
    <s v="Beauty"/>
    <x v="0"/>
    <n v="9"/>
    <n v="350.45"/>
    <n v="3154.05"/>
    <s v="UPI"/>
    <s v="Repeat Customer"/>
  </r>
  <r>
    <n v="11375"/>
    <s v="CUST103"/>
    <d v="2025-03-11T00:00:00"/>
    <s v="Fashion"/>
    <x v="0"/>
    <n v="9"/>
    <n v="376.09"/>
    <n v="3384.81"/>
    <s v="Wallet"/>
    <s v="Repeat Customer"/>
  </r>
  <r>
    <n v="11376"/>
    <s v="CUST186"/>
    <d v="2025-11-21T00:00:00"/>
    <s v="Fashion"/>
    <x v="0"/>
    <n v="9"/>
    <n v="452.38"/>
    <n v="4071.42"/>
    <s v="Net Banking"/>
    <s v="Repeat Customer"/>
  </r>
  <r>
    <n v="11377"/>
    <s v="CUST168"/>
    <d v="2025-06-10T00:00:00"/>
    <s v="Beauty"/>
    <x v="3"/>
    <n v="6"/>
    <n v="476.48"/>
    <n v="2858.88"/>
    <s v="Wallet"/>
    <s v="Repeat Customer"/>
  </r>
  <r>
    <n v="11378"/>
    <s v="CUST187"/>
    <d v="2025-01-17T00:00:00"/>
    <s v="Fashion"/>
    <x v="0"/>
    <n v="2"/>
    <n v="172.29"/>
    <n v="344.58"/>
    <s v="Net Banking"/>
    <s v="Repeat Customer"/>
  </r>
  <r>
    <n v="11379"/>
    <s v="CUST253"/>
    <d v="2025-05-09T00:00:00"/>
    <s v="Electronics"/>
    <x v="3"/>
    <n v="5"/>
    <n v="136.05000000000001"/>
    <n v="680.25"/>
    <s v="UPI"/>
    <s v="Repeat Customer"/>
  </r>
  <r>
    <n v="11380"/>
    <s v="CUST256"/>
    <d v="2025-10-20T00:00:00"/>
    <s v="Electronics"/>
    <x v="3"/>
    <n v="9"/>
    <n v="413.74"/>
    <n v="3723.66"/>
    <s v="Wallet"/>
    <s v="Repeat Customer"/>
  </r>
  <r>
    <n v="11381"/>
    <s v="CUST129"/>
    <d v="2024-12-30T00:00:00"/>
    <s v="Home"/>
    <x v="1"/>
    <n v="1"/>
    <n v="309.69"/>
    <n v="309.69"/>
    <s v="Net Banking"/>
    <s v="Repeat Customer"/>
  </r>
  <r>
    <n v="11382"/>
    <s v="CUST154"/>
    <d v="2024-01-06T00:00:00"/>
    <s v="Fashion"/>
    <x v="3"/>
    <n v="6"/>
    <n v="445.65"/>
    <n v="2673.9"/>
    <s v="Net Banking"/>
    <s v="Repeat Customer"/>
  </r>
  <r>
    <n v="11383"/>
    <s v="CUST104"/>
    <d v="2024-04-13T00:00:00"/>
    <s v="Electronics"/>
    <x v="2"/>
    <n v="7"/>
    <n v="248.56"/>
    <n v="1739.92"/>
    <s v="Wallet"/>
    <s v="Repeat Customer"/>
  </r>
  <r>
    <n v="11384"/>
    <s v="CUST163"/>
    <d v="2025-05-14T00:00:00"/>
    <s v="Home"/>
    <x v="2"/>
    <n v="1"/>
    <n v="82.04"/>
    <n v="82.04"/>
    <s v="Wallet"/>
    <s v="Repeat Customer"/>
  </r>
  <r>
    <n v="11385"/>
    <s v="CUST302"/>
    <d v="2025-01-18T00:00:00"/>
    <s v="Fashion"/>
    <x v="1"/>
    <n v="5"/>
    <n v="185.43"/>
    <n v="927.15"/>
    <s v="Credit Card"/>
    <s v="Repeat Customer"/>
  </r>
  <r>
    <n v="11386"/>
    <s v="CUST324"/>
    <d v="2025-11-03T00:00:00"/>
    <s v="Home"/>
    <x v="3"/>
    <n v="8"/>
    <n v="85.11"/>
    <n v="680.88"/>
    <s v="Credit Card"/>
    <s v="Repeat Customer"/>
  </r>
  <r>
    <n v="11387"/>
    <s v="CUST283"/>
    <d v="2025-12-27T00:00:00"/>
    <s v="Home"/>
    <x v="0"/>
    <n v="4"/>
    <n v="59.78"/>
    <n v="239.12"/>
    <s v="UPI"/>
    <s v="Repeat Customer"/>
  </r>
  <r>
    <n v="11388"/>
    <s v="CUST302"/>
    <d v="2025-03-07T00:00:00"/>
    <s v="Fashion"/>
    <x v="2"/>
    <n v="6"/>
    <n v="450.99"/>
    <n v="2705.94"/>
    <s v="Wallet"/>
    <s v="Repeat Customer"/>
  </r>
  <r>
    <n v="11389"/>
    <s v="CUST236"/>
    <d v="2024-05-01T00:00:00"/>
    <s v="Beauty"/>
    <x v="2"/>
    <n v="7"/>
    <n v="247.09"/>
    <n v="1729.63"/>
    <s v="Net Banking"/>
    <s v="Repeat Customer"/>
  </r>
  <r>
    <n v="11390"/>
    <s v="CUST304"/>
    <d v="2025-05-28T00:00:00"/>
    <s v="Electronics"/>
    <x v="0"/>
    <n v="7"/>
    <n v="70.05"/>
    <n v="490.35"/>
    <s v="UPI"/>
    <s v="New Customer"/>
  </r>
  <r>
    <n v="11391"/>
    <s v="CUST179"/>
    <d v="2024-12-18T00:00:00"/>
    <s v="Fashion"/>
    <x v="0"/>
    <n v="9"/>
    <n v="11.76"/>
    <n v="105.84"/>
    <s v="Net Banking"/>
    <s v="Repeat Customer"/>
  </r>
  <r>
    <n v="11392"/>
    <s v="CUST319"/>
    <d v="2025-09-03T00:00:00"/>
    <s v="Home"/>
    <x v="1"/>
    <n v="1"/>
    <n v="219.99"/>
    <n v="219.99"/>
    <s v="Wallet"/>
    <s v="Repeat Customer"/>
  </r>
  <r>
    <n v="11393"/>
    <s v="CUST142"/>
    <d v="2025-03-15T00:00:00"/>
    <s v="Sports"/>
    <x v="2"/>
    <n v="4"/>
    <n v="310.72000000000003"/>
    <n v="1242.8800000000001"/>
    <s v="UPI"/>
    <s v="Repeat Customer"/>
  </r>
  <r>
    <n v="11394"/>
    <s v="CUST243"/>
    <d v="2024-04-27T00:00:00"/>
    <s v="Fashion"/>
    <x v="3"/>
    <n v="5"/>
    <n v="497.16"/>
    <n v="2485.8000000000002"/>
    <s v="UPI"/>
    <s v="Repeat Customer"/>
  </r>
  <r>
    <n v="11395"/>
    <s v="CUST342"/>
    <d v="2025-12-24T00:00:00"/>
    <s v="Sports"/>
    <x v="2"/>
    <n v="2"/>
    <n v="352.07"/>
    <n v="704.14"/>
    <s v="UPI"/>
    <s v="Repeat Customer"/>
  </r>
  <r>
    <n v="11396"/>
    <s v="CUST176"/>
    <d v="2024-08-22T00:00:00"/>
    <s v="Electronics"/>
    <x v="1"/>
    <n v="2"/>
    <n v="70.489999999999995"/>
    <n v="140.97999999999999"/>
    <s v="UPI"/>
    <s v="Repeat Customer"/>
  </r>
  <r>
    <n v="11397"/>
    <s v="CUST174"/>
    <d v="2025-03-12T00:00:00"/>
    <s v="Electronics"/>
    <x v="0"/>
    <n v="1"/>
    <n v="310.14999999999998"/>
    <n v="310.14999999999998"/>
    <s v="Wallet"/>
    <s v="Repeat Customer"/>
  </r>
  <r>
    <n v="11398"/>
    <s v="CUST308"/>
    <d v="2025-06-21T00:00:00"/>
    <s v="Fashion"/>
    <x v="2"/>
    <n v="5"/>
    <n v="351.58"/>
    <n v="1757.9"/>
    <s v="Net Banking"/>
    <s v="Repeat Customer"/>
  </r>
  <r>
    <n v="11399"/>
    <s v="CUST318"/>
    <d v="2025-05-05T00:00:00"/>
    <s v="Electronics"/>
    <x v="1"/>
    <n v="1"/>
    <n v="257.38"/>
    <n v="257.38"/>
    <s v="Credit Card"/>
    <s v="Repeat Customer"/>
  </r>
  <r>
    <n v="11400"/>
    <s v="CUST237"/>
    <d v="2025-01-07T00:00:00"/>
    <s v="Beauty"/>
    <x v="2"/>
    <n v="5"/>
    <n v="471.78"/>
    <n v="2358.9"/>
    <s v="Net Banking"/>
    <s v="Repeat Customer"/>
  </r>
  <r>
    <n v="11401"/>
    <s v="CUST124"/>
    <d v="2024-07-05T00:00:00"/>
    <s v="Home"/>
    <x v="2"/>
    <n v="1"/>
    <n v="5.27"/>
    <n v="5.27"/>
    <s v="Net Banking"/>
    <s v="Repeat Customer"/>
  </r>
  <r>
    <n v="11402"/>
    <s v="CUST341"/>
    <d v="2024-10-13T00:00:00"/>
    <s v="Fashion"/>
    <x v="1"/>
    <n v="10"/>
    <n v="54.88"/>
    <n v="548.79999999999995"/>
    <s v="Wallet"/>
    <s v="Repeat Customer"/>
  </r>
  <r>
    <n v="11403"/>
    <s v="CUST286"/>
    <d v="2024-12-08T00:00:00"/>
    <s v="Electronics"/>
    <x v="2"/>
    <n v="5"/>
    <n v="60.21"/>
    <n v="301.05"/>
    <s v="Net Banking"/>
    <s v="Repeat Customer"/>
  </r>
  <r>
    <n v="11404"/>
    <s v="CUST284"/>
    <d v="2025-01-05T00:00:00"/>
    <s v="Home"/>
    <x v="2"/>
    <n v="10"/>
    <n v="266.79000000000002"/>
    <n v="2667.9"/>
    <s v="Net Banking"/>
    <s v="Repeat Customer"/>
  </r>
  <r>
    <n v="11405"/>
    <s v="CUST207"/>
    <d v="2025-08-21T00:00:00"/>
    <s v="Electronics"/>
    <x v="2"/>
    <n v="7"/>
    <n v="48.18"/>
    <n v="337.26"/>
    <s v="Credit Card"/>
    <s v="Repeat Customer"/>
  </r>
  <r>
    <n v="11406"/>
    <s v="CUST121"/>
    <d v="2025-08-23T00:00:00"/>
    <s v="Beauty"/>
    <x v="0"/>
    <n v="4"/>
    <n v="100.5"/>
    <n v="402"/>
    <s v="Credit Card"/>
    <s v="Repeat Customer"/>
  </r>
  <r>
    <n v="11407"/>
    <s v="CUST379"/>
    <d v="2025-09-25T00:00:00"/>
    <s v="Beauty"/>
    <x v="2"/>
    <n v="6"/>
    <n v="154.22999999999999"/>
    <n v="925.38"/>
    <s v="UPI"/>
    <s v="Repeat Customer"/>
  </r>
  <r>
    <n v="11408"/>
    <s v="CUST122"/>
    <d v="2024-05-10T00:00:00"/>
    <s v="Home"/>
    <x v="1"/>
    <n v="4"/>
    <n v="212.02"/>
    <n v="848.08"/>
    <s v="Net Banking"/>
    <s v="Repeat Customer"/>
  </r>
  <r>
    <n v="11409"/>
    <s v="CUST329"/>
    <d v="2025-10-06T00:00:00"/>
    <s v="Electronics"/>
    <x v="3"/>
    <n v="2"/>
    <n v="455.87"/>
    <n v="911.74"/>
    <s v="Wallet"/>
    <s v="Repeat Customer"/>
  </r>
  <r>
    <n v="11410"/>
    <s v="CUST368"/>
    <d v="2025-05-30T00:00:00"/>
    <s v="Home"/>
    <x v="2"/>
    <n v="1"/>
    <n v="87.63"/>
    <n v="87.63"/>
    <s v="Net Banking"/>
    <s v="Repeat Customer"/>
  </r>
  <r>
    <n v="11411"/>
    <s v="CUST123"/>
    <d v="2025-08-02T00:00:00"/>
    <s v="Fashion"/>
    <x v="3"/>
    <n v="1"/>
    <n v="398.22"/>
    <n v="398.22"/>
    <s v="Wallet"/>
    <s v="Repeat Customer"/>
  </r>
  <r>
    <n v="11412"/>
    <s v="CUST372"/>
    <d v="2025-06-09T00:00:00"/>
    <s v="Sports"/>
    <x v="3"/>
    <n v="2"/>
    <n v="86.93"/>
    <n v="173.86"/>
    <s v="Wallet"/>
    <s v="Repeat Customer"/>
  </r>
  <r>
    <n v="11413"/>
    <s v="CUST305"/>
    <d v="2025-09-13T00:00:00"/>
    <s v="Electronics"/>
    <x v="2"/>
    <n v="5"/>
    <n v="107.43"/>
    <n v="537.15"/>
    <s v="UPI"/>
    <s v="Repeat Customer"/>
  </r>
  <r>
    <n v="11414"/>
    <s v="CUST104"/>
    <d v="2025-06-09T00:00:00"/>
    <s v="Sports"/>
    <x v="1"/>
    <n v="8"/>
    <n v="254.39"/>
    <n v="2035.12"/>
    <s v="Net Banking"/>
    <s v="Repeat Customer"/>
  </r>
  <r>
    <n v="11415"/>
    <s v="CUST212"/>
    <d v="2024-10-30T00:00:00"/>
    <s v="Fashion"/>
    <x v="2"/>
    <n v="5"/>
    <n v="278.31"/>
    <n v="1391.55"/>
    <s v="Credit Card"/>
    <s v="Repeat Customer"/>
  </r>
  <r>
    <n v="11416"/>
    <s v="CUST373"/>
    <d v="2024-08-31T00:00:00"/>
    <s v="Fashion"/>
    <x v="1"/>
    <n v="5"/>
    <n v="24.35"/>
    <n v="121.75"/>
    <s v="UPI"/>
    <s v="Repeat Customer"/>
  </r>
  <r>
    <n v="11417"/>
    <s v="CUST238"/>
    <d v="2024-02-22T00:00:00"/>
    <s v="Fashion"/>
    <x v="0"/>
    <n v="4"/>
    <n v="494.82"/>
    <n v="1979.28"/>
    <s v="Credit Card"/>
    <s v="Repeat Customer"/>
  </r>
  <r>
    <n v="11418"/>
    <s v="CUST277"/>
    <d v="2025-10-09T00:00:00"/>
    <s v="Home"/>
    <x v="0"/>
    <n v="10"/>
    <n v="486.25"/>
    <n v="4862.5"/>
    <s v="Net Banking"/>
    <s v="Repeat Customer"/>
  </r>
  <r>
    <n v="11419"/>
    <s v="CUST168"/>
    <d v="2025-02-22T00:00:00"/>
    <s v="Electronics"/>
    <x v="0"/>
    <n v="10"/>
    <n v="150.97"/>
    <n v="1509.7"/>
    <s v="Net Banking"/>
    <s v="Repeat Customer"/>
  </r>
  <r>
    <n v="11420"/>
    <s v="CUST212"/>
    <d v="2024-10-13T00:00:00"/>
    <s v="Electronics"/>
    <x v="0"/>
    <n v="3"/>
    <n v="131.71"/>
    <n v="395.13"/>
    <s v="Wallet"/>
    <s v="Repeat Customer"/>
  </r>
  <r>
    <n v="11421"/>
    <s v="CUST231"/>
    <d v="2025-10-03T00:00:00"/>
    <s v="Beauty"/>
    <x v="2"/>
    <n v="10"/>
    <n v="277.68"/>
    <n v="2776.8"/>
    <s v="Net Banking"/>
    <s v="Repeat Customer"/>
  </r>
  <r>
    <n v="11422"/>
    <s v="CUST237"/>
    <d v="2024-07-27T00:00:00"/>
    <s v="Beauty"/>
    <x v="2"/>
    <n v="10"/>
    <n v="316.75"/>
    <n v="3167.5"/>
    <s v="Wallet"/>
    <s v="Repeat Customer"/>
  </r>
  <r>
    <n v="11423"/>
    <s v="CUST218"/>
    <d v="2025-03-20T00:00:00"/>
    <s v="Beauty"/>
    <x v="0"/>
    <n v="6"/>
    <n v="78.430000000000007"/>
    <n v="470.58"/>
    <s v="Wallet"/>
    <s v="Repeat Customer"/>
  </r>
  <r>
    <n v="11424"/>
    <s v="CUST192"/>
    <d v="2025-04-15T00:00:00"/>
    <s v="Fashion"/>
    <x v="2"/>
    <n v="3"/>
    <n v="408.72"/>
    <n v="1226.1600000000001"/>
    <s v="Wallet"/>
    <s v="Repeat Customer"/>
  </r>
  <r>
    <n v="11425"/>
    <s v="CUST192"/>
    <d v="2025-10-25T00:00:00"/>
    <s v="Fashion"/>
    <x v="2"/>
    <n v="5"/>
    <n v="15.42"/>
    <n v="77.099999999999994"/>
    <s v="Wallet"/>
    <s v="Repeat Customer"/>
  </r>
  <r>
    <n v="11426"/>
    <s v="CUST196"/>
    <d v="2024-03-12T00:00:00"/>
    <s v="Fashion"/>
    <x v="3"/>
    <n v="3"/>
    <n v="40.659999999999997"/>
    <n v="121.98"/>
    <s v="Wallet"/>
    <s v="Repeat Customer"/>
  </r>
  <r>
    <n v="11427"/>
    <s v="CUST151"/>
    <d v="2025-06-23T00:00:00"/>
    <s v="Electronics"/>
    <x v="0"/>
    <n v="3"/>
    <n v="364.75"/>
    <n v="1094.25"/>
    <s v="Wallet"/>
    <s v="Repeat Customer"/>
  </r>
  <r>
    <n v="11428"/>
    <s v="CUST296"/>
    <d v="2024-01-22T00:00:00"/>
    <s v="Electronics"/>
    <x v="2"/>
    <n v="2"/>
    <n v="414.15"/>
    <n v="828.3"/>
    <s v="UPI"/>
    <s v="Repeat Customer"/>
  </r>
  <r>
    <n v="11429"/>
    <s v="CUST142"/>
    <d v="2024-10-01T00:00:00"/>
    <s v="Sports"/>
    <x v="0"/>
    <n v="3"/>
    <n v="469.61"/>
    <n v="1408.83"/>
    <s v="Credit Card"/>
    <s v="Repeat Customer"/>
  </r>
  <r>
    <n v="11430"/>
    <s v="CUST154"/>
    <d v="2025-07-09T00:00:00"/>
    <s v="Electronics"/>
    <x v="2"/>
    <n v="6"/>
    <n v="427.1"/>
    <n v="2562.6"/>
    <s v="UPI"/>
    <s v="Repeat Customer"/>
  </r>
  <r>
    <n v="11431"/>
    <s v="CUST345"/>
    <d v="2025-07-30T00:00:00"/>
    <s v="Home"/>
    <x v="1"/>
    <n v="8"/>
    <n v="408.66"/>
    <n v="3269.28"/>
    <s v="Wallet"/>
    <s v="Repeat Customer"/>
  </r>
  <r>
    <n v="11432"/>
    <s v="CUST179"/>
    <d v="2024-09-06T00:00:00"/>
    <s v="Home"/>
    <x v="0"/>
    <n v="1"/>
    <n v="274.05"/>
    <n v="274.05"/>
    <s v="Credit Card"/>
    <s v="Repeat Customer"/>
  </r>
  <r>
    <n v="11433"/>
    <s v="CUST122"/>
    <d v="2024-04-15T00:00:00"/>
    <s v="Sports"/>
    <x v="3"/>
    <n v="9"/>
    <n v="151.88999999999999"/>
    <n v="1367.01"/>
    <s v="UPI"/>
    <s v="Repeat Customer"/>
  </r>
  <r>
    <n v="11434"/>
    <s v="CUST100"/>
    <d v="2024-08-17T00:00:00"/>
    <s v="Beauty"/>
    <x v="2"/>
    <n v="1"/>
    <n v="117.2"/>
    <n v="117.2"/>
    <s v="Net Banking"/>
    <s v="Repeat Customer"/>
  </r>
  <r>
    <n v="11435"/>
    <s v="CUST246"/>
    <d v="2024-08-19T00:00:00"/>
    <s v="Electronics"/>
    <x v="3"/>
    <n v="7"/>
    <n v="344.95"/>
    <n v="2414.65"/>
    <s v="UPI"/>
    <s v="Repeat Customer"/>
  </r>
  <r>
    <n v="11436"/>
    <s v="CUST156"/>
    <d v="2024-08-17T00:00:00"/>
    <s v="Home"/>
    <x v="1"/>
    <n v="2"/>
    <n v="478.45"/>
    <n v="956.9"/>
    <s v="Credit Card"/>
    <s v="Repeat Customer"/>
  </r>
  <r>
    <n v="11437"/>
    <s v="CUST270"/>
    <d v="2024-05-01T00:00:00"/>
    <s v="Electronics"/>
    <x v="0"/>
    <n v="6"/>
    <n v="462.04"/>
    <n v="2772.24"/>
    <s v="UPI"/>
    <s v="Repeat Customer"/>
  </r>
  <r>
    <n v="11438"/>
    <s v="CUST191"/>
    <d v="2025-03-14T00:00:00"/>
    <s v="Fashion"/>
    <x v="3"/>
    <n v="9"/>
    <n v="170.75"/>
    <n v="1536.75"/>
    <s v="UPI"/>
    <s v="Repeat Customer"/>
  </r>
  <r>
    <n v="11439"/>
    <s v="CUST254"/>
    <d v="2025-10-01T00:00:00"/>
    <s v="Electronics"/>
    <x v="1"/>
    <n v="5"/>
    <n v="177.45"/>
    <n v="887.25"/>
    <s v="Wallet"/>
    <s v="Repeat Customer"/>
  </r>
  <r>
    <n v="11440"/>
    <s v="CUST288"/>
    <d v="2024-09-28T00:00:00"/>
    <s v="Fashion"/>
    <x v="2"/>
    <n v="2"/>
    <n v="395.48"/>
    <n v="790.96"/>
    <s v="Net Banking"/>
    <s v="Repeat Customer"/>
  </r>
  <r>
    <n v="11441"/>
    <s v="CUST175"/>
    <d v="2025-02-03T00:00:00"/>
    <s v="Beauty"/>
    <x v="0"/>
    <n v="8"/>
    <n v="362.07"/>
    <n v="2896.56"/>
    <s v="Credit Card"/>
    <s v="Repeat Customer"/>
  </r>
  <r>
    <n v="11442"/>
    <s v="CUST395"/>
    <d v="2025-03-13T00:00:00"/>
    <s v="Home"/>
    <x v="2"/>
    <n v="5"/>
    <n v="76.61"/>
    <n v="383.05"/>
    <s v="UPI"/>
    <s v="Repeat Customer"/>
  </r>
  <r>
    <n v="11443"/>
    <s v="CUST297"/>
    <d v="2024-12-27T00:00:00"/>
    <s v="Beauty"/>
    <x v="3"/>
    <n v="6"/>
    <n v="249.63"/>
    <n v="1497.78"/>
    <s v="Net Banking"/>
    <s v="Repeat Customer"/>
  </r>
  <r>
    <n v="11444"/>
    <s v="CUST170"/>
    <d v="2025-10-31T00:00:00"/>
    <s v="Sports"/>
    <x v="3"/>
    <n v="4"/>
    <n v="194.68"/>
    <n v="778.72"/>
    <s v="Wallet"/>
    <s v="Repeat Customer"/>
  </r>
  <r>
    <n v="11445"/>
    <s v="CUST372"/>
    <d v="2025-07-03T00:00:00"/>
    <s v="Sports"/>
    <x v="3"/>
    <n v="4"/>
    <n v="195.39"/>
    <n v="781.56"/>
    <s v="UPI"/>
    <s v="Repeat Customer"/>
  </r>
  <r>
    <n v="11446"/>
    <s v="CUST144"/>
    <d v="2024-08-28T00:00:00"/>
    <s v="Electronics"/>
    <x v="1"/>
    <n v="6"/>
    <n v="6.42"/>
    <n v="38.520000000000003"/>
    <s v="Wallet"/>
    <s v="Repeat Customer"/>
  </r>
  <r>
    <n v="11447"/>
    <s v="CUST168"/>
    <d v="2024-04-22T00:00:00"/>
    <s v="Home"/>
    <x v="2"/>
    <n v="1"/>
    <n v="456.12"/>
    <n v="456.12"/>
    <s v="Net Banking"/>
    <s v="Repeat Customer"/>
  </r>
  <r>
    <n v="11448"/>
    <s v="CUST335"/>
    <d v="2024-05-27T00:00:00"/>
    <s v="Beauty"/>
    <x v="2"/>
    <n v="9"/>
    <n v="486.05"/>
    <n v="4374.45"/>
    <s v="UPI"/>
    <s v="Repeat Customer"/>
  </r>
  <r>
    <n v="11449"/>
    <s v="CUST214"/>
    <d v="2024-02-27T00:00:00"/>
    <s v="Fashion"/>
    <x v="3"/>
    <n v="3"/>
    <n v="63.03"/>
    <n v="189.09"/>
    <s v="Credit Card"/>
    <s v="Repeat Customer"/>
  </r>
  <r>
    <n v="11450"/>
    <s v="CUST317"/>
    <d v="2025-01-15T00:00:00"/>
    <s v="Sports"/>
    <x v="0"/>
    <n v="1"/>
    <n v="352.19"/>
    <n v="352.19"/>
    <s v="Wallet"/>
    <s v="Repeat Customer"/>
  </r>
  <r>
    <n v="11451"/>
    <s v="CUST180"/>
    <d v="2024-01-31T00:00:00"/>
    <s v="Electronics"/>
    <x v="2"/>
    <n v="3"/>
    <n v="185.8"/>
    <n v="557.4"/>
    <s v="Credit Card"/>
    <s v="Repeat Customer"/>
  </r>
  <r>
    <n v="11452"/>
    <s v="CUST106"/>
    <d v="2025-08-05T00:00:00"/>
    <s v="Fashion"/>
    <x v="3"/>
    <n v="7"/>
    <n v="79.11"/>
    <n v="553.77"/>
    <s v="UPI"/>
    <s v="Repeat Customer"/>
  </r>
  <r>
    <n v="11453"/>
    <s v="CUST370"/>
    <d v="2025-12-16T00:00:00"/>
    <s v="Home"/>
    <x v="3"/>
    <n v="5"/>
    <n v="237.74"/>
    <n v="1188.7"/>
    <s v="Credit Card"/>
    <s v="Repeat Customer"/>
  </r>
  <r>
    <n v="11454"/>
    <s v="CUST246"/>
    <d v="2024-04-23T00:00:00"/>
    <s v="Electronics"/>
    <x v="2"/>
    <n v="3"/>
    <n v="34.700000000000003"/>
    <n v="104.1"/>
    <s v="UPI"/>
    <s v="Repeat Customer"/>
  </r>
  <r>
    <n v="11455"/>
    <s v="CUST105"/>
    <d v="2025-02-09T00:00:00"/>
    <s v="Beauty"/>
    <x v="1"/>
    <n v="7"/>
    <n v="341.55"/>
    <n v="2390.85"/>
    <s v="Net Banking"/>
    <s v="Repeat Customer"/>
  </r>
  <r>
    <n v="11456"/>
    <s v="CUST216"/>
    <d v="2025-03-09T00:00:00"/>
    <s v="Electronics"/>
    <x v="3"/>
    <n v="3"/>
    <n v="139.55000000000001"/>
    <n v="418.65"/>
    <s v="UPI"/>
    <s v="Repeat Customer"/>
  </r>
  <r>
    <n v="11457"/>
    <s v="CUST208"/>
    <d v="2025-02-14T00:00:00"/>
    <s v="Beauty"/>
    <x v="2"/>
    <n v="10"/>
    <n v="32.72"/>
    <n v="327.2"/>
    <s v="Credit Card"/>
    <s v="Repeat Customer"/>
  </r>
  <r>
    <n v="11458"/>
    <s v="CUST339"/>
    <d v="2025-05-03T00:00:00"/>
    <s v="Beauty"/>
    <x v="3"/>
    <n v="6"/>
    <n v="328.09"/>
    <n v="1968.54"/>
    <s v="UPI"/>
    <s v="Repeat Customer"/>
  </r>
  <r>
    <n v="11459"/>
    <s v="CUST127"/>
    <d v="2025-01-15T00:00:00"/>
    <s v="Electronics"/>
    <x v="0"/>
    <n v="7"/>
    <n v="101.39"/>
    <n v="709.73"/>
    <s v="Credit Card"/>
    <s v="Repeat Customer"/>
  </r>
  <r>
    <n v="11460"/>
    <s v="CUST285"/>
    <d v="2025-09-09T00:00:00"/>
    <s v="Home"/>
    <x v="2"/>
    <n v="6"/>
    <n v="18.88"/>
    <n v="113.28"/>
    <s v="Credit Card"/>
    <s v="Repeat Customer"/>
  </r>
  <r>
    <n v="11461"/>
    <s v="CUST133"/>
    <d v="2024-08-04T00:00:00"/>
    <s v="Home"/>
    <x v="2"/>
    <n v="10"/>
    <n v="10.43"/>
    <n v="104.3"/>
    <s v="UPI"/>
    <s v="Repeat Customer"/>
  </r>
  <r>
    <n v="11462"/>
    <s v="CUST116"/>
    <d v="2024-09-03T00:00:00"/>
    <s v="Sports"/>
    <x v="0"/>
    <n v="5"/>
    <n v="47.09"/>
    <n v="235.45"/>
    <s v="Wallet"/>
    <s v="Repeat Customer"/>
  </r>
  <r>
    <n v="11463"/>
    <s v="CUST123"/>
    <d v="2024-02-19T00:00:00"/>
    <s v="Home"/>
    <x v="0"/>
    <n v="6"/>
    <n v="51.14"/>
    <n v="306.83999999999997"/>
    <s v="Net Banking"/>
    <s v="Repeat Customer"/>
  </r>
  <r>
    <n v="11464"/>
    <s v="CUST244"/>
    <d v="2025-02-11T00:00:00"/>
    <s v="Beauty"/>
    <x v="1"/>
    <n v="9"/>
    <n v="101.47"/>
    <n v="913.23"/>
    <s v="UPI"/>
    <s v="Repeat Customer"/>
  </r>
  <r>
    <n v="11465"/>
    <s v="CUST149"/>
    <d v="2024-12-05T00:00:00"/>
    <s v="Sports"/>
    <x v="0"/>
    <n v="7"/>
    <n v="448.77"/>
    <n v="3141.39"/>
    <s v="UPI"/>
    <s v="Repeat Customer"/>
  </r>
  <r>
    <n v="11466"/>
    <s v="CUST112"/>
    <d v="2025-08-24T00:00:00"/>
    <s v="Electronics"/>
    <x v="1"/>
    <n v="7"/>
    <n v="241.09"/>
    <n v="1687.63"/>
    <s v="UPI"/>
    <s v="Repeat Customer"/>
  </r>
  <r>
    <n v="11467"/>
    <s v="CUST177"/>
    <d v="2025-11-29T00:00:00"/>
    <s v="Electronics"/>
    <x v="2"/>
    <n v="8"/>
    <n v="43.98"/>
    <n v="351.84"/>
    <s v="UPI"/>
    <s v="Repeat Customer"/>
  </r>
  <r>
    <n v="11468"/>
    <s v="CUST172"/>
    <d v="2024-06-13T00:00:00"/>
    <s v="Sports"/>
    <x v="1"/>
    <n v="9"/>
    <n v="260.57"/>
    <n v="2345.13"/>
    <s v="Wallet"/>
    <s v="Repeat Customer"/>
  </r>
  <r>
    <n v="11469"/>
    <s v="CUST167"/>
    <d v="2024-12-13T00:00:00"/>
    <s v="Beauty"/>
    <x v="0"/>
    <n v="5"/>
    <n v="183.36"/>
    <n v="916.8"/>
    <s v="Wallet"/>
    <s v="Repeat Customer"/>
  </r>
  <r>
    <n v="11470"/>
    <s v="CUST222"/>
    <d v="2024-08-01T00:00:00"/>
    <s v="Fashion"/>
    <x v="3"/>
    <n v="10"/>
    <n v="305.39999999999998"/>
    <n v="3054"/>
    <s v="Credit Card"/>
    <s v="Repeat Customer"/>
  </r>
  <r>
    <n v="11471"/>
    <s v="CUST107"/>
    <d v="2024-05-26T00:00:00"/>
    <s v="Electronics"/>
    <x v="3"/>
    <n v="5"/>
    <n v="275.83"/>
    <n v="1379.15"/>
    <s v="Credit Card"/>
    <s v="Repeat Customer"/>
  </r>
  <r>
    <n v="11472"/>
    <s v="CUST332"/>
    <d v="2024-11-17T00:00:00"/>
    <s v="Fashion"/>
    <x v="0"/>
    <n v="3"/>
    <n v="467.36"/>
    <n v="1402.08"/>
    <s v="Net Banking"/>
    <s v="Repeat Customer"/>
  </r>
  <r>
    <n v="11473"/>
    <s v="CUST395"/>
    <d v="2025-01-07T00:00:00"/>
    <s v="Fashion"/>
    <x v="3"/>
    <n v="6"/>
    <n v="49.17"/>
    <n v="295.02"/>
    <s v="Net Banking"/>
    <s v="Repeat Customer"/>
  </r>
  <r>
    <n v="11474"/>
    <s v="CUST342"/>
    <d v="2024-09-19T00:00:00"/>
    <s v="Fashion"/>
    <x v="0"/>
    <n v="8"/>
    <n v="326.89"/>
    <n v="2615.12"/>
    <s v="Wallet"/>
    <s v="Repeat Customer"/>
  </r>
  <r>
    <n v="11475"/>
    <s v="CUST120"/>
    <d v="2025-01-07T00:00:00"/>
    <s v="Sports"/>
    <x v="2"/>
    <n v="5"/>
    <n v="203.46"/>
    <n v="1017.3"/>
    <s v="Wallet"/>
    <s v="Repeat Customer"/>
  </r>
  <r>
    <n v="11476"/>
    <s v="CUST287"/>
    <d v="2025-06-08T00:00:00"/>
    <s v="Home"/>
    <x v="0"/>
    <n v="10"/>
    <n v="476.26"/>
    <n v="4762.6000000000004"/>
    <s v="Wallet"/>
    <s v="Repeat Customer"/>
  </r>
  <r>
    <n v="11477"/>
    <s v="CUST359"/>
    <d v="2025-04-05T00:00:00"/>
    <s v="Electronics"/>
    <x v="0"/>
    <n v="5"/>
    <n v="439.32"/>
    <n v="2196.6"/>
    <s v="UPI"/>
    <s v="Repeat Customer"/>
  </r>
  <r>
    <n v="11478"/>
    <s v="CUST387"/>
    <d v="2024-01-09T00:00:00"/>
    <s v="Home"/>
    <x v="3"/>
    <n v="3"/>
    <n v="427.26"/>
    <n v="1281.78"/>
    <s v="UPI"/>
    <s v="Repeat Customer"/>
  </r>
  <r>
    <n v="11479"/>
    <s v="CUST391"/>
    <d v="2025-02-12T00:00:00"/>
    <s v="Beauty"/>
    <x v="0"/>
    <n v="2"/>
    <n v="115.41"/>
    <n v="230.82"/>
    <s v="Net Banking"/>
    <s v="Repeat Customer"/>
  </r>
  <r>
    <n v="11480"/>
    <s v="CUST338"/>
    <d v="2025-04-24T00:00:00"/>
    <s v="Beauty"/>
    <x v="0"/>
    <n v="9"/>
    <n v="450.56"/>
    <n v="4055.04"/>
    <s v="Credit Card"/>
    <s v="Repeat Customer"/>
  </r>
  <r>
    <n v="11481"/>
    <s v="CUST192"/>
    <d v="2024-04-20T00:00:00"/>
    <s v="Fashion"/>
    <x v="3"/>
    <n v="7"/>
    <n v="385.27"/>
    <n v="2696.89"/>
    <s v="Net Banking"/>
    <s v="Repeat Customer"/>
  </r>
  <r>
    <n v="11482"/>
    <s v="CUST133"/>
    <d v="2024-11-20T00:00:00"/>
    <s v="Beauty"/>
    <x v="2"/>
    <n v="6"/>
    <n v="498.24"/>
    <n v="2989.44"/>
    <s v="Wallet"/>
    <s v="Repeat Customer"/>
  </r>
  <r>
    <n v="11483"/>
    <s v="CUST158"/>
    <d v="2024-10-12T00:00:00"/>
    <s v="Fashion"/>
    <x v="3"/>
    <n v="8"/>
    <n v="23.95"/>
    <n v="191.6"/>
    <s v="UPI"/>
    <s v="Repeat Customer"/>
  </r>
  <r>
    <n v="11484"/>
    <s v="CUST209"/>
    <d v="2024-11-23T00:00:00"/>
    <s v="Sports"/>
    <x v="3"/>
    <n v="10"/>
    <n v="20.51"/>
    <n v="205.1"/>
    <s v="Credit Card"/>
    <s v="Repeat Customer"/>
  </r>
  <r>
    <n v="11485"/>
    <s v="CUST285"/>
    <d v="2025-03-16T00:00:00"/>
    <s v="Fashion"/>
    <x v="0"/>
    <n v="8"/>
    <n v="110.64"/>
    <n v="885.12"/>
    <s v="Wallet"/>
    <s v="Repeat Customer"/>
  </r>
  <r>
    <n v="11486"/>
    <s v="CUST238"/>
    <d v="2024-09-15T00:00:00"/>
    <s v="Electronics"/>
    <x v="1"/>
    <n v="3"/>
    <n v="46.38"/>
    <n v="139.13999999999999"/>
    <s v="Wallet"/>
    <s v="Repeat Customer"/>
  </r>
  <r>
    <n v="11487"/>
    <s v="CUST141"/>
    <d v="2024-11-01T00:00:00"/>
    <s v="Sports"/>
    <x v="2"/>
    <n v="8"/>
    <n v="436.29"/>
    <n v="3490.32"/>
    <s v="Net Banking"/>
    <s v="Repeat Customer"/>
  </r>
  <r>
    <n v="11488"/>
    <s v="CUST194"/>
    <d v="2024-02-25T00:00:00"/>
    <s v="Beauty"/>
    <x v="1"/>
    <n v="2"/>
    <n v="448"/>
    <n v="896"/>
    <s v="Net Banking"/>
    <s v="Repeat Customer"/>
  </r>
  <r>
    <n v="11489"/>
    <s v="CUST184"/>
    <d v="2024-07-22T00:00:00"/>
    <s v="Beauty"/>
    <x v="3"/>
    <n v="6"/>
    <n v="471.26"/>
    <n v="2827.56"/>
    <s v="UPI"/>
    <s v="Repeat Customer"/>
  </r>
  <r>
    <n v="11490"/>
    <s v="CUST323"/>
    <d v="2024-12-29T00:00:00"/>
    <s v="Electronics"/>
    <x v="2"/>
    <n v="10"/>
    <n v="197.62"/>
    <n v="1976.2"/>
    <s v="Credit Card"/>
    <s v="Repeat Customer"/>
  </r>
  <r>
    <n v="11491"/>
    <s v="CUST396"/>
    <d v="2025-09-23T00:00:00"/>
    <s v="Home"/>
    <x v="0"/>
    <n v="3"/>
    <n v="165.25"/>
    <n v="495.75"/>
    <s v="UPI"/>
    <s v="Repeat Customer"/>
  </r>
  <r>
    <n v="11492"/>
    <s v="CUST334"/>
    <d v="2024-05-31T00:00:00"/>
    <s v="Electronics"/>
    <x v="3"/>
    <n v="8"/>
    <n v="432.83"/>
    <n v="3462.64"/>
    <s v="Net Banking"/>
    <s v="Repeat Customer"/>
  </r>
  <r>
    <n v="11493"/>
    <s v="CUST366"/>
    <d v="2024-01-04T00:00:00"/>
    <s v="Fashion"/>
    <x v="3"/>
    <n v="8"/>
    <n v="471.95"/>
    <n v="3775.6"/>
    <s v="Credit Card"/>
    <s v="Repeat Customer"/>
  </r>
  <r>
    <n v="11494"/>
    <s v="CUST118"/>
    <d v="2024-08-11T00:00:00"/>
    <s v="Sports"/>
    <x v="2"/>
    <n v="4"/>
    <n v="212.99"/>
    <n v="851.96"/>
    <s v="Wallet"/>
    <s v="Repeat Customer"/>
  </r>
  <r>
    <n v="11495"/>
    <s v="CUST210"/>
    <d v="2024-12-22T00:00:00"/>
    <s v="Sports"/>
    <x v="0"/>
    <n v="4"/>
    <n v="476.43"/>
    <n v="1905.72"/>
    <s v="Net Banking"/>
    <s v="Repeat Customer"/>
  </r>
  <r>
    <n v="11496"/>
    <s v="CUST286"/>
    <d v="2024-01-17T00:00:00"/>
    <s v="Sports"/>
    <x v="0"/>
    <n v="5"/>
    <n v="448.84"/>
    <n v="2244.1999999999998"/>
    <s v="Wallet"/>
    <s v="Repeat Customer"/>
  </r>
  <r>
    <n v="11497"/>
    <s v="CUST333"/>
    <d v="2025-02-27T00:00:00"/>
    <s v="Sports"/>
    <x v="3"/>
    <n v="7"/>
    <n v="179.11"/>
    <n v="1253.77"/>
    <s v="Net Banking"/>
    <s v="Repeat Customer"/>
  </r>
  <r>
    <n v="11498"/>
    <s v="CUST158"/>
    <d v="2024-06-29T00:00:00"/>
    <s v="Fashion"/>
    <x v="2"/>
    <n v="8"/>
    <n v="217.05"/>
    <n v="1736.4"/>
    <s v="Wallet"/>
    <s v="Repeat Customer"/>
  </r>
  <r>
    <n v="11499"/>
    <s v="CUST295"/>
    <d v="2024-10-18T00:00:00"/>
    <s v="Sports"/>
    <x v="0"/>
    <n v="7"/>
    <n v="318.88"/>
    <n v="2232.16"/>
    <s v="Credit Card"/>
    <s v="Repeat Customer"/>
  </r>
  <r>
    <n v="11500"/>
    <s v="CUST153"/>
    <d v="2024-04-01T00:00:00"/>
    <s v="Beauty"/>
    <x v="0"/>
    <n v="1"/>
    <n v="310.05"/>
    <n v="310.05"/>
    <s v="Wallet"/>
    <s v="Repeat Custom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s v="CUST157"/>
    <d v="2024-01-26T00:00:00"/>
    <s v="Fashion"/>
    <x v="0"/>
    <n v="5"/>
    <x v="0"/>
    <n v="631.1"/>
    <s v="Credit Card"/>
    <s v="Repeat Customer"/>
  </r>
  <r>
    <n v="10002"/>
    <s v="CUST316"/>
    <d v="2024-02-02T00:00:00"/>
    <s v="Fashion"/>
    <x v="0"/>
    <n v="1"/>
    <x v="1"/>
    <n v="51.38"/>
    <s v="UPI"/>
    <s v="Repeat Customer"/>
  </r>
  <r>
    <n v="10003"/>
    <s v="CUST379"/>
    <d v="2025-03-05T00:00:00"/>
    <s v="Home"/>
    <x v="0"/>
    <n v="4"/>
    <x v="2"/>
    <n v="909.44"/>
    <s v="UPI"/>
    <s v="Repeat Customer"/>
  </r>
  <r>
    <n v="10004"/>
    <s v="CUST316"/>
    <d v="2024-12-14T00:00:00"/>
    <s v="Home"/>
    <x v="0"/>
    <n v="5"/>
    <x v="3"/>
    <n v="409.8"/>
    <s v="Credit Card"/>
    <s v="Repeat Customer"/>
  </r>
  <r>
    <n v="10005"/>
    <s v="CUST294"/>
    <d v="2024-04-09T00:00:00"/>
    <s v="Sports"/>
    <x v="1"/>
    <n v="6"/>
    <x v="4"/>
    <n v="2547.06"/>
    <s v="Credit Card"/>
    <s v="Repeat Customer"/>
  </r>
  <r>
    <n v="10006"/>
    <s v="CUST335"/>
    <d v="2025-07-03T00:00:00"/>
    <s v="Beauty"/>
    <x v="0"/>
    <n v="2"/>
    <x v="5"/>
    <n v="973.38"/>
    <s v="Net Banking"/>
    <s v="Repeat Customer"/>
  </r>
  <r>
    <n v="10007"/>
    <s v="CUST285"/>
    <d v="2025-08-14T00:00:00"/>
    <s v="Electronics"/>
    <x v="2"/>
    <n v="4"/>
    <x v="6"/>
    <n v="1415.04"/>
    <s v="Net Banking"/>
    <s v="Repeat Customer"/>
  </r>
  <r>
    <n v="10008"/>
    <s v="CUST140"/>
    <d v="2024-08-26T00:00:00"/>
    <s v="Beauty"/>
    <x v="1"/>
    <n v="2"/>
    <x v="7"/>
    <n v="386.32"/>
    <s v="UPI"/>
    <s v="Repeat Customer"/>
  </r>
  <r>
    <n v="10009"/>
    <s v="CUST289"/>
    <d v="2024-12-29T00:00:00"/>
    <s v="Electronics"/>
    <x v="2"/>
    <n v="4"/>
    <x v="8"/>
    <n v="1346.96"/>
    <s v="UPI"/>
    <s v="Repeat Customer"/>
  </r>
  <r>
    <n v="10010"/>
    <s v="CUST183"/>
    <d v="2025-04-18T00:00:00"/>
    <s v="Sports"/>
    <x v="2"/>
    <n v="7"/>
    <x v="9"/>
    <n v="970.34"/>
    <s v="Net Banking"/>
    <s v="Repeat Customer"/>
  </r>
  <r>
    <n v="10011"/>
    <s v="CUST128"/>
    <d v="2024-08-22T00:00:00"/>
    <s v="Beauty"/>
    <x v="1"/>
    <n v="1"/>
    <x v="10"/>
    <n v="403.5"/>
    <s v="Credit Card"/>
    <s v="Repeat Customer"/>
  </r>
  <r>
    <n v="10012"/>
    <s v="CUST208"/>
    <d v="2025-08-03T00:00:00"/>
    <s v="Beauty"/>
    <x v="3"/>
    <n v="6"/>
    <x v="11"/>
    <n v="661.5"/>
    <s v="Wallet"/>
    <s v="Repeat Customer"/>
  </r>
  <r>
    <n v="10013"/>
    <s v="CUST173"/>
    <d v="2024-09-28T00:00:00"/>
    <s v="Sports"/>
    <x v="1"/>
    <n v="3"/>
    <x v="12"/>
    <n v="381.24"/>
    <s v="Wallet"/>
    <s v="Repeat Customer"/>
  </r>
  <r>
    <n v="10014"/>
    <s v="CUST398"/>
    <d v="2025-02-12T00:00:00"/>
    <s v="Fashion"/>
    <x v="3"/>
    <n v="6"/>
    <x v="13"/>
    <n v="681.36"/>
    <s v="Credit Card"/>
    <s v="Repeat Customer"/>
  </r>
  <r>
    <n v="10015"/>
    <s v="CUST124"/>
    <d v="2024-04-22T00:00:00"/>
    <s v="Beauty"/>
    <x v="0"/>
    <n v="3"/>
    <x v="14"/>
    <n v="946.77"/>
    <s v="Wallet"/>
    <s v="Repeat Customer"/>
  </r>
  <r>
    <n v="10016"/>
    <s v="CUST295"/>
    <d v="2025-09-02T00:00:00"/>
    <s v="Sports"/>
    <x v="0"/>
    <n v="8"/>
    <x v="15"/>
    <n v="2135.2800000000002"/>
    <s v="Credit Card"/>
    <s v="Repeat Customer"/>
  </r>
  <r>
    <n v="10017"/>
    <s v="CUST374"/>
    <d v="2024-09-30T00:00:00"/>
    <s v="Beauty"/>
    <x v="2"/>
    <n v="6"/>
    <x v="16"/>
    <n v="361.32"/>
    <s v="Wallet"/>
    <s v="Repeat Customer"/>
  </r>
  <r>
    <n v="10018"/>
    <s v="CUST101"/>
    <d v="2024-09-26T00:00:00"/>
    <s v="Sports"/>
    <x v="0"/>
    <n v="9"/>
    <x v="17"/>
    <n v="3439.53"/>
    <s v="Net Banking"/>
    <s v="Repeat Customer"/>
  </r>
  <r>
    <n v="10019"/>
    <s v="CUST359"/>
    <d v="2025-09-15T00:00:00"/>
    <s v="Fashion"/>
    <x v="0"/>
    <n v="4"/>
    <x v="18"/>
    <n v="322.64"/>
    <s v="Net Banking"/>
    <s v="Repeat Customer"/>
  </r>
  <r>
    <n v="10020"/>
    <s v="CUST350"/>
    <d v="2024-01-20T00:00:00"/>
    <s v="Home"/>
    <x v="2"/>
    <n v="2"/>
    <x v="19"/>
    <n v="929.8"/>
    <s v="Credit Card"/>
    <s v="Repeat Customer"/>
  </r>
  <r>
    <n v="10021"/>
    <s v="CUST223"/>
    <d v="2025-08-03T00:00:00"/>
    <s v="Beauty"/>
    <x v="0"/>
    <n v="2"/>
    <x v="20"/>
    <n v="94.8"/>
    <s v="UPI"/>
    <s v="Repeat Customer"/>
  </r>
  <r>
    <n v="10022"/>
    <s v="CUST165"/>
    <d v="2025-11-06T00:00:00"/>
    <s v="Fashion"/>
    <x v="1"/>
    <n v="8"/>
    <x v="21"/>
    <n v="3789.52"/>
    <s v="Wallet"/>
    <s v="Repeat Customer"/>
  </r>
  <r>
    <n v="10023"/>
    <s v="CUST208"/>
    <d v="2025-07-06T00:00:00"/>
    <s v="Beauty"/>
    <x v="1"/>
    <n v="4"/>
    <x v="22"/>
    <n v="1431.64"/>
    <s v="Wallet"/>
    <s v="Repeat Customer"/>
  </r>
  <r>
    <n v="10024"/>
    <s v="CUST364"/>
    <d v="2025-04-07T00:00:00"/>
    <s v="Electronics"/>
    <x v="1"/>
    <n v="2"/>
    <x v="23"/>
    <n v="255.42"/>
    <s v="Credit Card"/>
    <s v="Repeat Customer"/>
  </r>
  <r>
    <n v="10025"/>
    <s v="CUST383"/>
    <d v="2024-08-23T00:00:00"/>
    <s v="Electronics"/>
    <x v="0"/>
    <n v="10"/>
    <x v="24"/>
    <n v="1140.0999999999999"/>
    <s v="UPI"/>
    <s v="Repeat Customer"/>
  </r>
  <r>
    <n v="10026"/>
    <s v="CUST134"/>
    <d v="2024-02-02T00:00:00"/>
    <s v="Fashion"/>
    <x v="1"/>
    <n v="6"/>
    <x v="25"/>
    <n v="240.42"/>
    <s v="Wallet"/>
    <s v="Repeat Customer"/>
  </r>
  <r>
    <n v="10027"/>
    <s v="CUST209"/>
    <d v="2025-07-06T00:00:00"/>
    <s v="Sports"/>
    <x v="3"/>
    <n v="3"/>
    <x v="26"/>
    <n v="1089.18"/>
    <s v="UPI"/>
    <s v="Repeat Customer"/>
  </r>
  <r>
    <n v="10028"/>
    <s v="CUST342"/>
    <d v="2025-02-20T00:00:00"/>
    <s v="Beauty"/>
    <x v="1"/>
    <n v="4"/>
    <x v="27"/>
    <n v="206.76"/>
    <s v="Wallet"/>
    <s v="Repeat Customer"/>
  </r>
  <r>
    <n v="10029"/>
    <s v="CUST310"/>
    <d v="2025-04-23T00:00:00"/>
    <s v="Electronics"/>
    <x v="0"/>
    <n v="1"/>
    <x v="28"/>
    <n v="338.32"/>
    <s v="Wallet"/>
    <s v="Repeat Customer"/>
  </r>
  <r>
    <n v="10030"/>
    <s v="CUST273"/>
    <d v="2024-04-21T00:00:00"/>
    <s v="Sports"/>
    <x v="3"/>
    <n v="4"/>
    <x v="29"/>
    <n v="399.36"/>
    <s v="UPI"/>
    <s v="Repeat Customer"/>
  </r>
  <r>
    <n v="10031"/>
    <s v="CUST316"/>
    <d v="2024-07-06T00:00:00"/>
    <s v="Electronics"/>
    <x v="3"/>
    <n v="5"/>
    <x v="30"/>
    <n v="1170"/>
    <s v="Credit Card"/>
    <s v="Repeat Customer"/>
  </r>
  <r>
    <n v="10032"/>
    <s v="CUST125"/>
    <d v="2025-10-29T00:00:00"/>
    <s v="Electronics"/>
    <x v="2"/>
    <n v="9"/>
    <x v="31"/>
    <n v="3769.47"/>
    <s v="UPI"/>
    <s v="Repeat Customer"/>
  </r>
  <r>
    <n v="10033"/>
    <s v="CUST308"/>
    <d v="2025-05-12T00:00:00"/>
    <s v="Beauty"/>
    <x v="0"/>
    <n v="8"/>
    <x v="32"/>
    <n v="886.4"/>
    <s v="UPI"/>
    <s v="Repeat Customer"/>
  </r>
  <r>
    <n v="10034"/>
    <s v="CUST294"/>
    <d v="2024-01-03T00:00:00"/>
    <s v="Beauty"/>
    <x v="1"/>
    <n v="7"/>
    <x v="33"/>
    <n v="953.96"/>
    <s v="Wallet"/>
    <s v="Repeat Customer"/>
  </r>
  <r>
    <n v="10035"/>
    <s v="CUST384"/>
    <d v="2025-11-08T00:00:00"/>
    <s v="Home"/>
    <x v="2"/>
    <n v="8"/>
    <x v="34"/>
    <n v="652.96"/>
    <s v="Credit Card"/>
    <s v="Repeat Customer"/>
  </r>
  <r>
    <n v="10036"/>
    <s v="CUST396"/>
    <d v="2025-07-09T00:00:00"/>
    <s v="Electronics"/>
    <x v="0"/>
    <n v="1"/>
    <x v="35"/>
    <n v="375.25"/>
    <s v="Wallet"/>
    <s v="Repeat Customer"/>
  </r>
  <r>
    <n v="10037"/>
    <s v="CUST357"/>
    <d v="2025-06-27T00:00:00"/>
    <s v="Sports"/>
    <x v="0"/>
    <n v="3"/>
    <x v="36"/>
    <n v="99.48"/>
    <s v="UPI"/>
    <s v="Repeat Customer"/>
  </r>
  <r>
    <n v="10038"/>
    <s v="CUST135"/>
    <d v="2025-09-01T00:00:00"/>
    <s v="Fashion"/>
    <x v="3"/>
    <n v="2"/>
    <x v="37"/>
    <n v="678.46"/>
    <s v="Credit Card"/>
    <s v="Repeat Customer"/>
  </r>
  <r>
    <n v="10039"/>
    <s v="CUST391"/>
    <d v="2024-09-09T00:00:00"/>
    <s v="Sports"/>
    <x v="0"/>
    <n v="10"/>
    <x v="38"/>
    <n v="2992.9"/>
    <s v="Wallet"/>
    <s v="Repeat Customer"/>
  </r>
  <r>
    <n v="10040"/>
    <s v="CUST398"/>
    <d v="2025-08-01T00:00:00"/>
    <s v="Home"/>
    <x v="2"/>
    <n v="9"/>
    <x v="39"/>
    <n v="1454.4"/>
    <s v="Net Banking"/>
    <s v="Repeat Customer"/>
  </r>
  <r>
    <n v="10041"/>
    <s v="CUST222"/>
    <d v="2024-09-28T00:00:00"/>
    <s v="Home"/>
    <x v="3"/>
    <n v="7"/>
    <x v="40"/>
    <n v="488.46"/>
    <s v="Net Banking"/>
    <s v="Repeat Customer"/>
  </r>
  <r>
    <n v="10042"/>
    <s v="CUST137"/>
    <d v="2024-01-10T00:00:00"/>
    <s v="Sports"/>
    <x v="0"/>
    <n v="8"/>
    <x v="41"/>
    <n v="2499.7600000000002"/>
    <s v="Credit Card"/>
    <s v="New Customer"/>
  </r>
  <r>
    <n v="10043"/>
    <s v="CUST375"/>
    <d v="2024-08-06T00:00:00"/>
    <s v="Home"/>
    <x v="0"/>
    <n v="9"/>
    <x v="42"/>
    <n v="1226.43"/>
    <s v="UPI"/>
    <s v="Repeat Customer"/>
  </r>
  <r>
    <n v="10044"/>
    <s v="CUST289"/>
    <d v="2024-10-18T00:00:00"/>
    <s v="Sports"/>
    <x v="1"/>
    <n v="3"/>
    <x v="43"/>
    <n v="665.7"/>
    <s v="Credit Card"/>
    <s v="Repeat Customer"/>
  </r>
  <r>
    <n v="10045"/>
    <s v="CUST383"/>
    <d v="2024-11-02T00:00:00"/>
    <s v="Fashion"/>
    <x v="1"/>
    <n v="2"/>
    <x v="44"/>
    <n v="939.54"/>
    <s v="Credit Card"/>
    <s v="Repeat Customer"/>
  </r>
  <r>
    <n v="10046"/>
    <s v="CUST154"/>
    <d v="2025-07-20T00:00:00"/>
    <s v="Sports"/>
    <x v="2"/>
    <n v="3"/>
    <x v="45"/>
    <n v="419.43"/>
    <s v="Net Banking"/>
    <s v="Repeat Customer"/>
  </r>
  <r>
    <n v="10047"/>
    <s v="CUST204"/>
    <d v="2025-12-04T00:00:00"/>
    <s v="Home"/>
    <x v="0"/>
    <n v="5"/>
    <x v="46"/>
    <n v="1275.9000000000001"/>
    <s v="Credit Card"/>
    <s v="Repeat Customer"/>
  </r>
  <r>
    <n v="10048"/>
    <s v="CUST316"/>
    <d v="2024-10-10T00:00:00"/>
    <s v="Fashion"/>
    <x v="1"/>
    <n v="1"/>
    <x v="47"/>
    <n v="6.76"/>
    <s v="UPI"/>
    <s v="Repeat Customer"/>
  </r>
  <r>
    <n v="10049"/>
    <s v="CUST326"/>
    <d v="2025-07-18T00:00:00"/>
    <s v="Electronics"/>
    <x v="0"/>
    <n v="7"/>
    <x v="48"/>
    <n v="1978.55"/>
    <s v="UPI"/>
    <s v="Repeat Customer"/>
  </r>
  <r>
    <n v="10050"/>
    <s v="CUST379"/>
    <d v="2024-02-06T00:00:00"/>
    <s v="Fashion"/>
    <x v="3"/>
    <n v="6"/>
    <x v="49"/>
    <n v="1760.04"/>
    <s v="UPI"/>
    <s v="Repeat Customer"/>
  </r>
  <r>
    <n v="10051"/>
    <s v="CUST121"/>
    <d v="2024-11-11T00:00:00"/>
    <s v="Electronics"/>
    <x v="1"/>
    <n v="6"/>
    <x v="50"/>
    <n v="2700"/>
    <s v="UPI"/>
    <s v="Repeat Customer"/>
  </r>
  <r>
    <n v="10052"/>
    <s v="CUST227"/>
    <d v="2025-11-13T00:00:00"/>
    <s v="Sports"/>
    <x v="3"/>
    <n v="2"/>
    <x v="51"/>
    <n v="360.14"/>
    <s v="UPI"/>
    <s v="Repeat Customer"/>
  </r>
  <r>
    <n v="10053"/>
    <s v="CUST221"/>
    <d v="2024-06-15T00:00:00"/>
    <s v="Electronics"/>
    <x v="2"/>
    <n v="3"/>
    <x v="52"/>
    <n v="1323.9"/>
    <s v="Net Banking"/>
    <s v="Repeat Customer"/>
  </r>
  <r>
    <n v="10054"/>
    <s v="CUST310"/>
    <d v="2025-11-16T00:00:00"/>
    <s v="Electronics"/>
    <x v="3"/>
    <n v="4"/>
    <x v="53"/>
    <n v="548.28"/>
    <s v="Credit Card"/>
    <s v="Repeat Customer"/>
  </r>
  <r>
    <n v="10055"/>
    <s v="CUST340"/>
    <d v="2024-08-15T00:00:00"/>
    <s v="Beauty"/>
    <x v="1"/>
    <n v="4"/>
    <x v="54"/>
    <n v="1636.84"/>
    <s v="Net Banking"/>
    <s v="Repeat Customer"/>
  </r>
  <r>
    <n v="10056"/>
    <s v="CUST216"/>
    <d v="2024-08-16T00:00:00"/>
    <s v="Beauty"/>
    <x v="1"/>
    <n v="1"/>
    <x v="55"/>
    <n v="331.72"/>
    <s v="Net Banking"/>
    <s v="Repeat Customer"/>
  </r>
  <r>
    <n v="10057"/>
    <s v="CUST135"/>
    <d v="2024-10-12T00:00:00"/>
    <s v="Beauty"/>
    <x v="1"/>
    <n v="6"/>
    <x v="56"/>
    <n v="1935.18"/>
    <s v="Credit Card"/>
    <s v="Repeat Customer"/>
  </r>
  <r>
    <n v="10058"/>
    <s v="CUST159"/>
    <d v="2024-09-24T00:00:00"/>
    <s v="Home"/>
    <x v="0"/>
    <n v="3"/>
    <x v="57"/>
    <n v="877.17"/>
    <s v="Credit Card"/>
    <s v="Repeat Customer"/>
  </r>
  <r>
    <n v="10059"/>
    <s v="CUST322"/>
    <d v="2024-12-19T00:00:00"/>
    <s v="Sports"/>
    <x v="0"/>
    <n v="6"/>
    <x v="58"/>
    <n v="1326.06"/>
    <s v="Wallet"/>
    <s v="Repeat Customer"/>
  </r>
  <r>
    <n v="10060"/>
    <s v="CUST395"/>
    <d v="2024-07-13T00:00:00"/>
    <s v="Beauty"/>
    <x v="0"/>
    <n v="5"/>
    <x v="59"/>
    <n v="134.85"/>
    <s v="UPI"/>
    <s v="Repeat Customer"/>
  </r>
  <r>
    <n v="10061"/>
    <s v="CUST286"/>
    <d v="2025-03-17T00:00:00"/>
    <s v="Home"/>
    <x v="1"/>
    <n v="2"/>
    <x v="60"/>
    <n v="949.38"/>
    <s v="Credit Card"/>
    <s v="Repeat Customer"/>
  </r>
  <r>
    <n v="10062"/>
    <s v="CUST253"/>
    <d v="2025-06-03T00:00:00"/>
    <s v="Home"/>
    <x v="3"/>
    <n v="5"/>
    <x v="61"/>
    <n v="1675.55"/>
    <s v="Net Banking"/>
    <s v="Repeat Customer"/>
  </r>
  <r>
    <n v="10063"/>
    <s v="CUST383"/>
    <d v="2024-05-10T00:00:00"/>
    <s v="Beauty"/>
    <x v="2"/>
    <n v="4"/>
    <x v="62"/>
    <n v="852.48"/>
    <s v="Net Banking"/>
    <s v="Repeat Customer"/>
  </r>
  <r>
    <n v="10064"/>
    <s v="CUST307"/>
    <d v="2025-07-15T00:00:00"/>
    <s v="Fashion"/>
    <x v="3"/>
    <n v="1"/>
    <x v="63"/>
    <n v="155.41999999999999"/>
    <s v="Net Banking"/>
    <s v="Repeat Customer"/>
  </r>
  <r>
    <n v="10065"/>
    <s v="CUST338"/>
    <d v="2025-03-28T00:00:00"/>
    <s v="Sports"/>
    <x v="3"/>
    <n v="8"/>
    <x v="64"/>
    <n v="2715.52"/>
    <s v="UPI"/>
    <s v="Repeat Customer"/>
  </r>
  <r>
    <n v="10066"/>
    <s v="CUST143"/>
    <d v="2024-10-17T00:00:00"/>
    <s v="Sports"/>
    <x v="1"/>
    <n v="9"/>
    <x v="65"/>
    <n v="3002.49"/>
    <s v="Credit Card"/>
    <s v="Repeat Customer"/>
  </r>
  <r>
    <n v="10067"/>
    <s v="CUST220"/>
    <d v="2025-11-19T00:00:00"/>
    <s v="Fashion"/>
    <x v="2"/>
    <n v="5"/>
    <x v="66"/>
    <n v="581"/>
    <s v="Credit Card"/>
    <s v="Repeat Customer"/>
  </r>
  <r>
    <n v="10068"/>
    <s v="CUST123"/>
    <d v="2024-09-07T00:00:00"/>
    <s v="Electronics"/>
    <x v="3"/>
    <n v="8"/>
    <x v="67"/>
    <n v="2460.64"/>
    <s v="Wallet"/>
    <s v="Repeat Customer"/>
  </r>
  <r>
    <n v="10069"/>
    <s v="CUST394"/>
    <d v="2024-07-18T00:00:00"/>
    <s v="Fashion"/>
    <x v="2"/>
    <n v="7"/>
    <x v="68"/>
    <n v="1748.04"/>
    <s v="Credit Card"/>
    <s v="Repeat Customer"/>
  </r>
  <r>
    <n v="10070"/>
    <s v="CUST154"/>
    <d v="2025-03-11T00:00:00"/>
    <s v="Sports"/>
    <x v="3"/>
    <n v="4"/>
    <x v="69"/>
    <n v="368.24"/>
    <s v="Credit Card"/>
    <s v="Repeat Customer"/>
  </r>
  <r>
    <n v="10071"/>
    <s v="CUST385"/>
    <d v="2024-09-12T00:00:00"/>
    <s v="Beauty"/>
    <x v="1"/>
    <n v="2"/>
    <x v="70"/>
    <n v="461.9"/>
    <s v="Wallet"/>
    <s v="Repeat Customer"/>
  </r>
  <r>
    <n v="10072"/>
    <s v="CUST358"/>
    <d v="2025-03-12T00:00:00"/>
    <s v="Fashion"/>
    <x v="3"/>
    <n v="9"/>
    <x v="71"/>
    <n v="2031.57"/>
    <s v="Wallet"/>
    <s v="Repeat Customer"/>
  </r>
  <r>
    <n v="10073"/>
    <s v="CUST232"/>
    <d v="2024-09-10T00:00:00"/>
    <s v="Sports"/>
    <x v="3"/>
    <n v="5"/>
    <x v="72"/>
    <n v="1920.4"/>
    <s v="UPI"/>
    <s v="Repeat Customer"/>
  </r>
  <r>
    <n v="10074"/>
    <s v="CUST240"/>
    <d v="2025-03-26T00:00:00"/>
    <s v="Fashion"/>
    <x v="1"/>
    <n v="2"/>
    <x v="73"/>
    <n v="716.4"/>
    <s v="Net Banking"/>
    <s v="Repeat Customer"/>
  </r>
  <r>
    <n v="10075"/>
    <s v="CUST263"/>
    <d v="2025-07-07T00:00:00"/>
    <s v="Fashion"/>
    <x v="3"/>
    <n v="2"/>
    <x v="74"/>
    <n v="147"/>
    <s v="UPI"/>
    <s v="Repeat Customer"/>
  </r>
  <r>
    <n v="10076"/>
    <s v="CUST209"/>
    <d v="2024-03-06T00:00:00"/>
    <s v="Sports"/>
    <x v="3"/>
    <n v="7"/>
    <x v="75"/>
    <n v="1447.32"/>
    <s v="Wallet"/>
    <s v="Repeat Customer"/>
  </r>
  <r>
    <n v="10077"/>
    <s v="CUST131"/>
    <d v="2024-07-30T00:00:00"/>
    <s v="Sports"/>
    <x v="0"/>
    <n v="7"/>
    <x v="76"/>
    <n v="1384.53"/>
    <s v="Wallet"/>
    <s v="Repeat Customer"/>
  </r>
  <r>
    <n v="10078"/>
    <s v="CUST344"/>
    <d v="2024-01-07T00:00:00"/>
    <s v="Beauty"/>
    <x v="3"/>
    <n v="6"/>
    <x v="77"/>
    <n v="916.86"/>
    <s v="UPI"/>
    <s v="Repeat Customer"/>
  </r>
  <r>
    <n v="10079"/>
    <s v="CUST349"/>
    <d v="2024-08-12T00:00:00"/>
    <s v="Electronics"/>
    <x v="3"/>
    <n v="5"/>
    <x v="78"/>
    <n v="1103.7"/>
    <s v="Net Banking"/>
    <s v="Repeat Customer"/>
  </r>
  <r>
    <n v="10080"/>
    <s v="CUST307"/>
    <d v="2024-06-18T00:00:00"/>
    <s v="Sports"/>
    <x v="0"/>
    <n v="8"/>
    <x v="79"/>
    <n v="3681.36"/>
    <s v="Wallet"/>
    <s v="Repeat Customer"/>
  </r>
  <r>
    <n v="10081"/>
    <s v="CUST388"/>
    <d v="2025-11-09T00:00:00"/>
    <s v="Beauty"/>
    <x v="2"/>
    <n v="1"/>
    <x v="80"/>
    <n v="46.55"/>
    <s v="Wallet"/>
    <s v="Repeat Customer"/>
  </r>
  <r>
    <n v="10082"/>
    <s v="CUST193"/>
    <d v="2024-02-21T00:00:00"/>
    <s v="Fashion"/>
    <x v="3"/>
    <n v="5"/>
    <x v="81"/>
    <n v="963.3"/>
    <s v="Net Banking"/>
    <s v="Repeat Customer"/>
  </r>
  <r>
    <n v="10083"/>
    <s v="CUST272"/>
    <d v="2025-01-23T00:00:00"/>
    <s v="Beauty"/>
    <x v="1"/>
    <n v="5"/>
    <x v="82"/>
    <n v="1886.2"/>
    <s v="Credit Card"/>
    <s v="Repeat Customer"/>
  </r>
  <r>
    <n v="10084"/>
    <s v="CUST340"/>
    <d v="2024-01-20T00:00:00"/>
    <s v="Home"/>
    <x v="2"/>
    <n v="9"/>
    <x v="83"/>
    <n v="277.02"/>
    <s v="Credit Card"/>
    <s v="Repeat Customer"/>
  </r>
  <r>
    <n v="10085"/>
    <s v="CUST120"/>
    <d v="2024-02-01T00:00:00"/>
    <s v="Electronics"/>
    <x v="2"/>
    <n v="4"/>
    <x v="84"/>
    <n v="414.72"/>
    <s v="UPI"/>
    <s v="Repeat Customer"/>
  </r>
  <r>
    <n v="10086"/>
    <s v="CUST164"/>
    <d v="2025-04-29T00:00:00"/>
    <s v="Fashion"/>
    <x v="3"/>
    <n v="2"/>
    <x v="85"/>
    <n v="568.32000000000005"/>
    <s v="Net Banking"/>
    <s v="Repeat Customer"/>
  </r>
  <r>
    <n v="10087"/>
    <s v="CUST288"/>
    <d v="2024-06-20T00:00:00"/>
    <s v="Electronics"/>
    <x v="2"/>
    <n v="10"/>
    <x v="86"/>
    <n v="3055.9"/>
    <s v="Net Banking"/>
    <s v="Repeat Customer"/>
  </r>
  <r>
    <n v="10088"/>
    <s v="CUST155"/>
    <d v="2025-08-15T00:00:00"/>
    <s v="Sports"/>
    <x v="3"/>
    <n v="1"/>
    <x v="87"/>
    <n v="464.8"/>
    <s v="Wallet"/>
    <s v="Repeat Customer"/>
  </r>
  <r>
    <n v="10089"/>
    <s v="CUST201"/>
    <d v="2024-03-18T00:00:00"/>
    <s v="Fashion"/>
    <x v="0"/>
    <n v="10"/>
    <x v="88"/>
    <n v="3468.5"/>
    <s v="Net Banking"/>
    <s v="Repeat Customer"/>
  </r>
  <r>
    <n v="10090"/>
    <s v="CUST161"/>
    <d v="2025-08-02T00:00:00"/>
    <s v="Beauty"/>
    <x v="1"/>
    <n v="1"/>
    <x v="89"/>
    <n v="176.87"/>
    <s v="Credit Card"/>
    <s v="Repeat Customer"/>
  </r>
  <r>
    <n v="10091"/>
    <s v="CUST359"/>
    <d v="2025-10-25T00:00:00"/>
    <s v="Beauty"/>
    <x v="3"/>
    <n v="6"/>
    <x v="90"/>
    <n v="67.56"/>
    <s v="Credit Card"/>
    <s v="Repeat Customer"/>
  </r>
  <r>
    <n v="10092"/>
    <s v="CUST321"/>
    <d v="2025-01-05T00:00:00"/>
    <s v="Beauty"/>
    <x v="2"/>
    <n v="8"/>
    <x v="91"/>
    <n v="2840.96"/>
    <s v="Net Banking"/>
    <s v="New Customer"/>
  </r>
  <r>
    <n v="10093"/>
    <s v="CUST375"/>
    <d v="2025-05-10T00:00:00"/>
    <s v="Sports"/>
    <x v="1"/>
    <n v="8"/>
    <x v="92"/>
    <n v="1764.88"/>
    <s v="Net Banking"/>
    <s v="Repeat Customer"/>
  </r>
  <r>
    <n v="10094"/>
    <s v="CUST225"/>
    <d v="2024-03-29T00:00:00"/>
    <s v="Fashion"/>
    <x v="3"/>
    <n v="5"/>
    <x v="93"/>
    <n v="2207.0500000000002"/>
    <s v="Wallet"/>
    <s v="Repeat Customer"/>
  </r>
  <r>
    <n v="10095"/>
    <s v="CUST272"/>
    <d v="2024-01-30T00:00:00"/>
    <s v="Fashion"/>
    <x v="3"/>
    <n v="8"/>
    <x v="94"/>
    <n v="3409.76"/>
    <s v="UPI"/>
    <s v="Repeat Customer"/>
  </r>
  <r>
    <n v="10096"/>
    <s v="CUST281"/>
    <d v="2024-09-21T00:00:00"/>
    <s v="Sports"/>
    <x v="1"/>
    <n v="6"/>
    <x v="95"/>
    <n v="860.58"/>
    <s v="Credit Card"/>
    <s v="Repeat Customer"/>
  </r>
  <r>
    <n v="10097"/>
    <s v="CUST364"/>
    <d v="2024-07-14T00:00:00"/>
    <s v="Beauty"/>
    <x v="3"/>
    <n v="2"/>
    <x v="96"/>
    <n v="248.94"/>
    <s v="UPI"/>
    <s v="Repeat Customer"/>
  </r>
  <r>
    <n v="10098"/>
    <s v="CUST343"/>
    <d v="2025-10-23T00:00:00"/>
    <s v="Electronics"/>
    <x v="0"/>
    <n v="8"/>
    <x v="97"/>
    <n v="1814.8"/>
    <s v="Net Banking"/>
    <s v="Repeat Customer"/>
  </r>
  <r>
    <n v="10099"/>
    <s v="CUST213"/>
    <d v="2025-02-18T00:00:00"/>
    <s v="Sports"/>
    <x v="1"/>
    <n v="4"/>
    <x v="98"/>
    <n v="626.28"/>
    <s v="Wallet"/>
    <s v="Repeat Customer"/>
  </r>
  <r>
    <n v="10100"/>
    <s v="CUST383"/>
    <d v="2025-06-27T00:00:00"/>
    <s v="Sports"/>
    <x v="1"/>
    <n v="6"/>
    <x v="99"/>
    <n v="1293.72"/>
    <s v="Net Banking"/>
    <s v="Repeat Customer"/>
  </r>
  <r>
    <n v="10101"/>
    <s v="CUST332"/>
    <d v="2024-10-04T00:00:00"/>
    <s v="Electronics"/>
    <x v="2"/>
    <n v="5"/>
    <x v="100"/>
    <n v="647.20000000000005"/>
    <s v="Net Banking"/>
    <s v="Repeat Customer"/>
  </r>
  <r>
    <n v="10102"/>
    <s v="CUST161"/>
    <d v="2025-07-02T00:00:00"/>
    <s v="Beauty"/>
    <x v="1"/>
    <n v="3"/>
    <x v="101"/>
    <n v="299.43"/>
    <s v="Net Banking"/>
    <s v="Repeat Customer"/>
  </r>
  <r>
    <n v="10103"/>
    <s v="CUST151"/>
    <d v="2024-07-17T00:00:00"/>
    <s v="Fashion"/>
    <x v="1"/>
    <n v="5"/>
    <x v="102"/>
    <n v="588"/>
    <s v="Credit Card"/>
    <s v="Repeat Customer"/>
  </r>
  <r>
    <n v="10104"/>
    <s v="CUST373"/>
    <d v="2024-05-09T00:00:00"/>
    <s v="Electronics"/>
    <x v="1"/>
    <n v="5"/>
    <x v="103"/>
    <n v="137.65"/>
    <s v="UPI"/>
    <s v="Repeat Customer"/>
  </r>
  <r>
    <n v="10105"/>
    <s v="CUST351"/>
    <d v="2024-04-15T00:00:00"/>
    <s v="Beauty"/>
    <x v="3"/>
    <n v="1"/>
    <x v="104"/>
    <n v="289.16000000000003"/>
    <s v="Wallet"/>
    <s v="Repeat Customer"/>
  </r>
  <r>
    <n v="10106"/>
    <s v="CUST274"/>
    <d v="2024-07-07T00:00:00"/>
    <s v="Beauty"/>
    <x v="0"/>
    <n v="1"/>
    <x v="105"/>
    <n v="129.97999999999999"/>
    <s v="Credit Card"/>
    <s v="Repeat Customer"/>
  </r>
  <r>
    <n v="10107"/>
    <s v="CUST305"/>
    <d v="2025-05-18T00:00:00"/>
    <s v="Electronics"/>
    <x v="2"/>
    <n v="2"/>
    <x v="106"/>
    <n v="581.26"/>
    <s v="UPI"/>
    <s v="Repeat Customer"/>
  </r>
  <r>
    <n v="10108"/>
    <s v="CUST388"/>
    <d v="2024-11-07T00:00:00"/>
    <s v="Electronics"/>
    <x v="3"/>
    <n v="2"/>
    <x v="107"/>
    <n v="993.98"/>
    <s v="UPI"/>
    <s v="Repeat Customer"/>
  </r>
  <r>
    <n v="10109"/>
    <s v="CUST367"/>
    <d v="2025-01-24T00:00:00"/>
    <s v="Home"/>
    <x v="3"/>
    <n v="8"/>
    <x v="108"/>
    <n v="3637.68"/>
    <s v="Net Banking"/>
    <s v="Repeat Customer"/>
  </r>
  <r>
    <n v="10110"/>
    <s v="CUST391"/>
    <d v="2025-09-27T00:00:00"/>
    <s v="Electronics"/>
    <x v="2"/>
    <n v="1"/>
    <x v="109"/>
    <n v="306.77"/>
    <s v="UPI"/>
    <s v="Repeat Customer"/>
  </r>
  <r>
    <n v="10111"/>
    <s v="CUST235"/>
    <d v="2025-11-07T00:00:00"/>
    <s v="Fashion"/>
    <x v="0"/>
    <n v="2"/>
    <x v="110"/>
    <n v="165.48"/>
    <s v="UPI"/>
    <s v="Repeat Customer"/>
  </r>
  <r>
    <n v="10112"/>
    <s v="CUST101"/>
    <d v="2025-02-22T00:00:00"/>
    <s v="Beauty"/>
    <x v="1"/>
    <n v="8"/>
    <x v="111"/>
    <n v="2769.92"/>
    <s v="Credit Card"/>
    <s v="Repeat Customer"/>
  </r>
  <r>
    <n v="10113"/>
    <s v="CUST218"/>
    <d v="2024-10-22T00:00:00"/>
    <s v="Beauty"/>
    <x v="0"/>
    <n v="5"/>
    <x v="112"/>
    <n v="1764.9"/>
    <s v="UPI"/>
    <s v="Repeat Customer"/>
  </r>
  <r>
    <n v="10114"/>
    <s v="CUST235"/>
    <d v="2025-10-02T00:00:00"/>
    <s v="Fashion"/>
    <x v="3"/>
    <n v="10"/>
    <x v="113"/>
    <n v="3322.9"/>
    <s v="Credit Card"/>
    <s v="Repeat Customer"/>
  </r>
  <r>
    <n v="10115"/>
    <s v="CUST378"/>
    <d v="2024-08-18T00:00:00"/>
    <s v="Fashion"/>
    <x v="0"/>
    <n v="3"/>
    <x v="114"/>
    <n v="1363.98"/>
    <s v="Credit Card"/>
    <s v="Repeat Customer"/>
  </r>
  <r>
    <n v="10116"/>
    <s v="CUST184"/>
    <d v="2024-11-10T00:00:00"/>
    <s v="Sports"/>
    <x v="1"/>
    <n v="10"/>
    <x v="115"/>
    <n v="3757.3"/>
    <s v="Wallet"/>
    <s v="Repeat Customer"/>
  </r>
  <r>
    <n v="10117"/>
    <s v="CUST163"/>
    <d v="2025-04-24T00:00:00"/>
    <s v="Home"/>
    <x v="3"/>
    <n v="5"/>
    <x v="116"/>
    <n v="1756.85"/>
    <s v="Wallet"/>
    <s v="Repeat Customer"/>
  </r>
  <r>
    <n v="10118"/>
    <s v="CUST141"/>
    <d v="2025-09-04T00:00:00"/>
    <s v="Home"/>
    <x v="1"/>
    <n v="1"/>
    <x v="117"/>
    <n v="445.26"/>
    <s v="Credit Card"/>
    <s v="Repeat Customer"/>
  </r>
  <r>
    <n v="10119"/>
    <s v="CUST146"/>
    <d v="2024-08-22T00:00:00"/>
    <s v="Electronics"/>
    <x v="1"/>
    <n v="10"/>
    <x v="118"/>
    <n v="2956.3"/>
    <s v="Credit Card"/>
    <s v="Repeat Customer"/>
  </r>
  <r>
    <n v="10120"/>
    <s v="CUST189"/>
    <d v="2025-04-26T00:00:00"/>
    <s v="Home"/>
    <x v="2"/>
    <n v="9"/>
    <x v="119"/>
    <n v="2947.5"/>
    <s v="Wallet"/>
    <s v="Repeat Customer"/>
  </r>
  <r>
    <n v="10121"/>
    <s v="CUST351"/>
    <d v="2024-04-03T00:00:00"/>
    <s v="Home"/>
    <x v="1"/>
    <n v="8"/>
    <x v="120"/>
    <n v="1417.92"/>
    <s v="Credit Card"/>
    <s v="Repeat Customer"/>
  </r>
  <r>
    <n v="10122"/>
    <s v="CUST182"/>
    <d v="2024-12-03T00:00:00"/>
    <s v="Home"/>
    <x v="3"/>
    <n v="7"/>
    <x v="121"/>
    <n v="2438.59"/>
    <s v="Credit Card"/>
    <s v="Repeat Customer"/>
  </r>
  <r>
    <n v="10123"/>
    <s v="CUST332"/>
    <d v="2024-03-31T00:00:00"/>
    <s v="Electronics"/>
    <x v="3"/>
    <n v="6"/>
    <x v="122"/>
    <n v="779.64"/>
    <s v="Credit Card"/>
    <s v="Repeat Customer"/>
  </r>
  <r>
    <n v="10124"/>
    <s v="CUST377"/>
    <d v="2025-04-18T00:00:00"/>
    <s v="Sports"/>
    <x v="1"/>
    <n v="7"/>
    <x v="123"/>
    <n v="222.81"/>
    <s v="Wallet"/>
    <s v="Repeat Customer"/>
  </r>
  <r>
    <n v="10125"/>
    <s v="CUST326"/>
    <d v="2024-02-22T00:00:00"/>
    <s v="Fashion"/>
    <x v="1"/>
    <n v="4"/>
    <x v="124"/>
    <n v="548.76"/>
    <s v="Wallet"/>
    <s v="Repeat Customer"/>
  </r>
  <r>
    <n v="10126"/>
    <s v="CUST348"/>
    <d v="2024-05-04T00:00:00"/>
    <s v="Sports"/>
    <x v="2"/>
    <n v="1"/>
    <x v="125"/>
    <n v="486.71"/>
    <s v="UPI"/>
    <s v="Repeat Customer"/>
  </r>
  <r>
    <n v="10127"/>
    <s v="CUST259"/>
    <d v="2025-07-18T00:00:00"/>
    <s v="Electronics"/>
    <x v="2"/>
    <n v="1"/>
    <x v="126"/>
    <n v="278.36"/>
    <s v="Credit Card"/>
    <s v="Repeat Customer"/>
  </r>
  <r>
    <n v="10128"/>
    <s v="CUST336"/>
    <d v="2024-04-30T00:00:00"/>
    <s v="Home"/>
    <x v="1"/>
    <n v="3"/>
    <x v="127"/>
    <n v="755.1"/>
    <s v="Wallet"/>
    <s v="Repeat Customer"/>
  </r>
  <r>
    <n v="10129"/>
    <s v="CUST347"/>
    <d v="2025-04-28T00:00:00"/>
    <s v="Fashion"/>
    <x v="3"/>
    <n v="4"/>
    <x v="128"/>
    <n v="924.44"/>
    <s v="UPI"/>
    <s v="Repeat Customer"/>
  </r>
  <r>
    <n v="10130"/>
    <s v="CUST360"/>
    <d v="2024-05-19T00:00:00"/>
    <s v="Beauty"/>
    <x v="1"/>
    <n v="2"/>
    <x v="129"/>
    <n v="283.48"/>
    <s v="Net Banking"/>
    <s v="Repeat Customer"/>
  </r>
  <r>
    <n v="10131"/>
    <s v="CUST101"/>
    <d v="2024-10-16T00:00:00"/>
    <s v="Sports"/>
    <x v="3"/>
    <n v="5"/>
    <x v="130"/>
    <n v="2097.75"/>
    <s v="UPI"/>
    <s v="Repeat Customer"/>
  </r>
  <r>
    <n v="10132"/>
    <s v="CUST328"/>
    <d v="2025-07-05T00:00:00"/>
    <s v="Sports"/>
    <x v="3"/>
    <n v="8"/>
    <x v="131"/>
    <n v="1406.72"/>
    <s v="Wallet"/>
    <s v="Repeat Customer"/>
  </r>
  <r>
    <n v="10133"/>
    <s v="CUST264"/>
    <d v="2024-07-12T00:00:00"/>
    <s v="Fashion"/>
    <x v="3"/>
    <n v="4"/>
    <x v="132"/>
    <n v="1152.1600000000001"/>
    <s v="Credit Card"/>
    <s v="Repeat Customer"/>
  </r>
  <r>
    <n v="10134"/>
    <s v="CUST262"/>
    <d v="2025-04-29T00:00:00"/>
    <s v="Fashion"/>
    <x v="3"/>
    <n v="7"/>
    <x v="133"/>
    <n v="1372.77"/>
    <s v="Credit Card"/>
    <s v="Repeat Customer"/>
  </r>
  <r>
    <n v="10135"/>
    <s v="CUST164"/>
    <d v="2025-05-29T00:00:00"/>
    <s v="Electronics"/>
    <x v="3"/>
    <n v="10"/>
    <x v="134"/>
    <n v="1693.4"/>
    <s v="Credit Card"/>
    <s v="Repeat Customer"/>
  </r>
  <r>
    <n v="10136"/>
    <s v="CUST369"/>
    <d v="2025-04-12T00:00:00"/>
    <s v="Beauty"/>
    <x v="2"/>
    <n v="1"/>
    <x v="135"/>
    <n v="362.61"/>
    <s v="Credit Card"/>
    <s v="Repeat Customer"/>
  </r>
  <r>
    <n v="10137"/>
    <s v="CUST340"/>
    <d v="2024-09-28T00:00:00"/>
    <s v="Beauty"/>
    <x v="0"/>
    <n v="6"/>
    <x v="136"/>
    <n v="1881.06"/>
    <s v="Net Banking"/>
    <s v="Repeat Customer"/>
  </r>
  <r>
    <n v="10138"/>
    <s v="CUST373"/>
    <d v="2025-01-24T00:00:00"/>
    <s v="Beauty"/>
    <x v="0"/>
    <n v="6"/>
    <x v="137"/>
    <n v="1891.62"/>
    <s v="Credit Card"/>
    <s v="Repeat Customer"/>
  </r>
  <r>
    <n v="10139"/>
    <s v="CUST220"/>
    <d v="2025-10-08T00:00:00"/>
    <s v="Electronics"/>
    <x v="3"/>
    <n v="5"/>
    <x v="138"/>
    <n v="2493.65"/>
    <s v="Credit Card"/>
    <s v="Repeat Customer"/>
  </r>
  <r>
    <n v="10140"/>
    <s v="CUST151"/>
    <d v="2025-03-30T00:00:00"/>
    <s v="Electronics"/>
    <x v="0"/>
    <n v="3"/>
    <x v="139"/>
    <n v="1045.5899999999999"/>
    <s v="Net Banking"/>
    <s v="Repeat Customer"/>
  </r>
  <r>
    <n v="10141"/>
    <s v="CUST128"/>
    <d v="2024-10-27T00:00:00"/>
    <s v="Fashion"/>
    <x v="2"/>
    <n v="6"/>
    <x v="140"/>
    <n v="1143.3"/>
    <s v="Wallet"/>
    <s v="Repeat Customer"/>
  </r>
  <r>
    <n v="10142"/>
    <s v="CUST389"/>
    <d v="2025-11-29T00:00:00"/>
    <s v="Electronics"/>
    <x v="3"/>
    <n v="3"/>
    <x v="141"/>
    <n v="267.42"/>
    <s v="UPI"/>
    <s v="Repeat Customer"/>
  </r>
  <r>
    <n v="10143"/>
    <s v="CUST354"/>
    <d v="2025-08-20T00:00:00"/>
    <s v="Home"/>
    <x v="3"/>
    <n v="3"/>
    <x v="142"/>
    <n v="359.79"/>
    <s v="Net Banking"/>
    <s v="Repeat Customer"/>
  </r>
  <r>
    <n v="10144"/>
    <s v="CUST104"/>
    <d v="2025-04-21T00:00:00"/>
    <s v="Fashion"/>
    <x v="0"/>
    <n v="5"/>
    <x v="143"/>
    <n v="1702.1"/>
    <s v="Wallet"/>
    <s v="Repeat Customer"/>
  </r>
  <r>
    <n v="10145"/>
    <s v="CUST276"/>
    <d v="2025-08-24T00:00:00"/>
    <s v="Beauty"/>
    <x v="1"/>
    <n v="5"/>
    <x v="144"/>
    <n v="1606.35"/>
    <s v="Wallet"/>
    <s v="Repeat Customer"/>
  </r>
  <r>
    <n v="10146"/>
    <s v="CUST254"/>
    <d v="2024-07-22T00:00:00"/>
    <s v="Electronics"/>
    <x v="2"/>
    <n v="7"/>
    <x v="145"/>
    <n v="2991.8"/>
    <s v="Wallet"/>
    <s v="Repeat Customer"/>
  </r>
  <r>
    <n v="10147"/>
    <s v="CUST392"/>
    <d v="2025-01-02T00:00:00"/>
    <s v="Home"/>
    <x v="0"/>
    <n v="10"/>
    <x v="146"/>
    <n v="1514.6"/>
    <s v="Wallet"/>
    <s v="Repeat Customer"/>
  </r>
  <r>
    <n v="10148"/>
    <s v="CUST240"/>
    <d v="2024-01-09T00:00:00"/>
    <s v="Electronics"/>
    <x v="3"/>
    <n v="10"/>
    <x v="147"/>
    <n v="4332.1000000000004"/>
    <s v="Net Banking"/>
    <s v="Repeat Customer"/>
  </r>
  <r>
    <n v="10149"/>
    <s v="CUST217"/>
    <d v="2025-09-13T00:00:00"/>
    <s v="Fashion"/>
    <x v="1"/>
    <n v="6"/>
    <x v="148"/>
    <n v="680.46"/>
    <s v="UPI"/>
    <s v="Repeat Customer"/>
  </r>
  <r>
    <n v="10150"/>
    <s v="CUST149"/>
    <d v="2025-10-04T00:00:00"/>
    <s v="Beauty"/>
    <x v="0"/>
    <n v="1"/>
    <x v="149"/>
    <n v="157.91999999999999"/>
    <s v="Net Banking"/>
    <s v="Repeat Customer"/>
  </r>
  <r>
    <n v="10151"/>
    <s v="CUST167"/>
    <d v="2024-04-02T00:00:00"/>
    <s v="Beauty"/>
    <x v="2"/>
    <n v="5"/>
    <x v="150"/>
    <n v="833.65"/>
    <s v="UPI"/>
    <s v="Repeat Customer"/>
  </r>
  <r>
    <n v="10152"/>
    <s v="CUST167"/>
    <d v="2025-07-06T00:00:00"/>
    <s v="Home"/>
    <x v="2"/>
    <n v="6"/>
    <x v="151"/>
    <n v="1606.62"/>
    <s v="Net Banking"/>
    <s v="Repeat Customer"/>
  </r>
  <r>
    <n v="10153"/>
    <s v="CUST346"/>
    <d v="2024-10-29T00:00:00"/>
    <s v="Beauty"/>
    <x v="0"/>
    <n v="6"/>
    <x v="152"/>
    <n v="2418.6"/>
    <s v="UPI"/>
    <s v="Repeat Customer"/>
  </r>
  <r>
    <n v="10154"/>
    <s v="CUST215"/>
    <d v="2025-11-23T00:00:00"/>
    <s v="Sports"/>
    <x v="1"/>
    <n v="7"/>
    <x v="153"/>
    <n v="3386.6"/>
    <s v="Credit Card"/>
    <s v="Repeat Customer"/>
  </r>
  <r>
    <n v="10155"/>
    <s v="CUST302"/>
    <d v="2024-01-15T00:00:00"/>
    <s v="Beauty"/>
    <x v="1"/>
    <n v="5"/>
    <x v="154"/>
    <n v="1353"/>
    <s v="Net Banking"/>
    <s v="Repeat Customer"/>
  </r>
  <r>
    <n v="10156"/>
    <s v="CUST399"/>
    <d v="2025-01-25T00:00:00"/>
    <s v="Fashion"/>
    <x v="3"/>
    <n v="6"/>
    <x v="155"/>
    <n v="351.78"/>
    <s v="Credit Card"/>
    <s v="Repeat Customer"/>
  </r>
  <r>
    <n v="10157"/>
    <s v="CUST387"/>
    <d v="2024-12-01T00:00:00"/>
    <s v="Electronics"/>
    <x v="3"/>
    <n v="10"/>
    <x v="156"/>
    <n v="1145.8"/>
    <s v="Net Banking"/>
    <s v="Repeat Customer"/>
  </r>
  <r>
    <n v="10158"/>
    <s v="CUST309"/>
    <d v="2024-04-29T00:00:00"/>
    <s v="Electronics"/>
    <x v="1"/>
    <n v="3"/>
    <x v="157"/>
    <n v="82.35"/>
    <s v="Wallet"/>
    <s v="Repeat Customer"/>
  </r>
  <r>
    <n v="10159"/>
    <s v="CUST159"/>
    <d v="2024-04-09T00:00:00"/>
    <s v="Fashion"/>
    <x v="3"/>
    <n v="4"/>
    <x v="158"/>
    <n v="1776.76"/>
    <s v="Wallet"/>
    <s v="Repeat Customer"/>
  </r>
  <r>
    <n v="10160"/>
    <s v="CUST289"/>
    <d v="2025-11-17T00:00:00"/>
    <s v="Fashion"/>
    <x v="3"/>
    <n v="9"/>
    <x v="159"/>
    <n v="1912.23"/>
    <s v="Credit Card"/>
    <s v="Repeat Customer"/>
  </r>
  <r>
    <n v="10161"/>
    <s v="CUST350"/>
    <d v="2025-09-22T00:00:00"/>
    <s v="Home"/>
    <x v="0"/>
    <n v="7"/>
    <x v="160"/>
    <n v="3288.81"/>
    <s v="Net Banking"/>
    <s v="Repeat Customer"/>
  </r>
  <r>
    <n v="10162"/>
    <s v="CUST211"/>
    <d v="2025-03-30T00:00:00"/>
    <s v="Home"/>
    <x v="0"/>
    <n v="8"/>
    <x v="161"/>
    <n v="3804.16"/>
    <s v="Net Banking"/>
    <s v="Repeat Customer"/>
  </r>
  <r>
    <n v="10163"/>
    <s v="CUST378"/>
    <d v="2025-10-22T00:00:00"/>
    <s v="Home"/>
    <x v="2"/>
    <n v="6"/>
    <x v="162"/>
    <n v="209.82"/>
    <s v="Credit Card"/>
    <s v="Repeat Customer"/>
  </r>
  <r>
    <n v="10164"/>
    <s v="CUST332"/>
    <d v="2024-04-03T00:00:00"/>
    <s v="Sports"/>
    <x v="0"/>
    <n v="4"/>
    <x v="163"/>
    <n v="1290.56"/>
    <s v="Credit Card"/>
    <s v="Repeat Customer"/>
  </r>
  <r>
    <n v="10165"/>
    <s v="CUST270"/>
    <d v="2024-09-06T00:00:00"/>
    <s v="Fashion"/>
    <x v="0"/>
    <n v="3"/>
    <x v="164"/>
    <n v="1183.6500000000001"/>
    <s v="UPI"/>
    <s v="Repeat Customer"/>
  </r>
  <r>
    <n v="10166"/>
    <s v="CUST210"/>
    <d v="2024-08-26T00:00:00"/>
    <s v="Sports"/>
    <x v="0"/>
    <n v="6"/>
    <x v="165"/>
    <n v="2329.86"/>
    <s v="Net Banking"/>
    <s v="Repeat Customer"/>
  </r>
  <r>
    <n v="10167"/>
    <s v="CUST174"/>
    <d v="2024-05-13T00:00:00"/>
    <s v="Fashion"/>
    <x v="0"/>
    <n v="9"/>
    <x v="166"/>
    <n v="1161.6300000000001"/>
    <s v="Credit Card"/>
    <s v="Repeat Customer"/>
  </r>
  <r>
    <n v="10168"/>
    <s v="CUST167"/>
    <d v="2024-01-16T00:00:00"/>
    <s v="Fashion"/>
    <x v="1"/>
    <n v="6"/>
    <x v="167"/>
    <n v="2376.2399999999998"/>
    <s v="Credit Card"/>
    <s v="Repeat Customer"/>
  </r>
  <r>
    <n v="10169"/>
    <s v="CUST189"/>
    <d v="2024-09-28T00:00:00"/>
    <s v="Beauty"/>
    <x v="0"/>
    <n v="1"/>
    <x v="168"/>
    <n v="67.75"/>
    <s v="Credit Card"/>
    <s v="Repeat Customer"/>
  </r>
  <r>
    <n v="10170"/>
    <s v="CUST343"/>
    <d v="2025-04-04T00:00:00"/>
    <s v="Electronics"/>
    <x v="3"/>
    <n v="6"/>
    <x v="169"/>
    <n v="1554.3"/>
    <s v="UPI"/>
    <s v="Repeat Customer"/>
  </r>
  <r>
    <n v="10171"/>
    <s v="CUST122"/>
    <d v="2025-11-05T00:00:00"/>
    <s v="Electronics"/>
    <x v="0"/>
    <n v="9"/>
    <x v="170"/>
    <n v="1388.79"/>
    <s v="Wallet"/>
    <s v="Repeat Customer"/>
  </r>
  <r>
    <n v="10172"/>
    <s v="CUST305"/>
    <d v="2025-03-12T00:00:00"/>
    <s v="Beauty"/>
    <x v="0"/>
    <n v="2"/>
    <x v="171"/>
    <n v="495.36"/>
    <s v="Credit Card"/>
    <s v="Repeat Customer"/>
  </r>
  <r>
    <n v="10173"/>
    <s v="CUST264"/>
    <d v="2025-09-14T00:00:00"/>
    <s v="Home"/>
    <x v="1"/>
    <n v="3"/>
    <x v="172"/>
    <n v="112.53"/>
    <s v="Wallet"/>
    <s v="Repeat Customer"/>
  </r>
  <r>
    <n v="10174"/>
    <s v="CUST371"/>
    <d v="2024-10-28T00:00:00"/>
    <s v="Beauty"/>
    <x v="0"/>
    <n v="8"/>
    <x v="173"/>
    <n v="2042"/>
    <s v="Credit Card"/>
    <s v="Repeat Customer"/>
  </r>
  <r>
    <n v="10175"/>
    <s v="CUST382"/>
    <d v="2024-08-08T00:00:00"/>
    <s v="Fashion"/>
    <x v="3"/>
    <n v="7"/>
    <x v="174"/>
    <n v="1599.64"/>
    <s v="Net Banking"/>
    <s v="Repeat Customer"/>
  </r>
  <r>
    <n v="10176"/>
    <s v="CUST332"/>
    <d v="2025-02-12T00:00:00"/>
    <s v="Home"/>
    <x v="3"/>
    <n v="7"/>
    <x v="175"/>
    <n v="2563.12"/>
    <s v="Net Banking"/>
    <s v="Repeat Customer"/>
  </r>
  <r>
    <n v="10177"/>
    <s v="CUST230"/>
    <d v="2025-01-18T00:00:00"/>
    <s v="Beauty"/>
    <x v="0"/>
    <n v="3"/>
    <x v="176"/>
    <n v="1034.94"/>
    <s v="Credit Card"/>
    <s v="Repeat Customer"/>
  </r>
  <r>
    <n v="10178"/>
    <s v="CUST143"/>
    <d v="2024-04-05T00:00:00"/>
    <s v="Home"/>
    <x v="2"/>
    <n v="7"/>
    <x v="177"/>
    <n v="369.6"/>
    <s v="Credit Card"/>
    <s v="Repeat Customer"/>
  </r>
  <r>
    <n v="10179"/>
    <s v="CUST387"/>
    <d v="2025-07-29T00:00:00"/>
    <s v="Beauty"/>
    <x v="1"/>
    <n v="6"/>
    <x v="178"/>
    <n v="2019.96"/>
    <s v="Wallet"/>
    <s v="Repeat Customer"/>
  </r>
  <r>
    <n v="10180"/>
    <s v="CUST126"/>
    <d v="2024-10-21T00:00:00"/>
    <s v="Electronics"/>
    <x v="2"/>
    <n v="10"/>
    <x v="179"/>
    <n v="1596.6"/>
    <s v="UPI"/>
    <s v="Repeat Customer"/>
  </r>
  <r>
    <n v="10181"/>
    <s v="CUST346"/>
    <d v="2024-08-17T00:00:00"/>
    <s v="Sports"/>
    <x v="1"/>
    <n v="2"/>
    <x v="180"/>
    <n v="356.62"/>
    <s v="Credit Card"/>
    <s v="Repeat Customer"/>
  </r>
  <r>
    <n v="10182"/>
    <s v="CUST242"/>
    <d v="2025-08-10T00:00:00"/>
    <s v="Sports"/>
    <x v="0"/>
    <n v="4"/>
    <x v="181"/>
    <n v="1618.28"/>
    <s v="Net Banking"/>
    <s v="Repeat Customer"/>
  </r>
  <r>
    <n v="10183"/>
    <s v="CUST114"/>
    <d v="2024-07-03T00:00:00"/>
    <s v="Home"/>
    <x v="1"/>
    <n v="5"/>
    <x v="182"/>
    <n v="1764.2"/>
    <s v="Net Banking"/>
    <s v="Repeat Customer"/>
  </r>
  <r>
    <n v="10184"/>
    <s v="CUST103"/>
    <d v="2024-07-04T00:00:00"/>
    <s v="Beauty"/>
    <x v="0"/>
    <n v="3"/>
    <x v="183"/>
    <n v="855.99"/>
    <s v="UPI"/>
    <s v="Repeat Customer"/>
  </r>
  <r>
    <n v="10185"/>
    <s v="CUST115"/>
    <d v="2024-04-03T00:00:00"/>
    <s v="Beauty"/>
    <x v="3"/>
    <n v="9"/>
    <x v="184"/>
    <n v="1003.41"/>
    <s v="Net Banking"/>
    <s v="Repeat Customer"/>
  </r>
  <r>
    <n v="10186"/>
    <s v="CUST180"/>
    <d v="2025-01-13T00:00:00"/>
    <s v="Sports"/>
    <x v="0"/>
    <n v="5"/>
    <x v="185"/>
    <n v="1810.95"/>
    <s v="Credit Card"/>
    <s v="Repeat Customer"/>
  </r>
  <r>
    <n v="10187"/>
    <s v="CUST179"/>
    <d v="2024-06-10T00:00:00"/>
    <s v="Electronics"/>
    <x v="1"/>
    <n v="10"/>
    <x v="186"/>
    <n v="296.3"/>
    <s v="Wallet"/>
    <s v="Repeat Customer"/>
  </r>
  <r>
    <n v="10188"/>
    <s v="CUST317"/>
    <d v="2025-05-12T00:00:00"/>
    <s v="Home"/>
    <x v="2"/>
    <n v="10"/>
    <x v="187"/>
    <n v="2238.1"/>
    <s v="Credit Card"/>
    <s v="Repeat Customer"/>
  </r>
  <r>
    <n v="10189"/>
    <s v="CUST276"/>
    <d v="2025-03-16T00:00:00"/>
    <s v="Sports"/>
    <x v="3"/>
    <n v="2"/>
    <x v="188"/>
    <n v="290.42"/>
    <s v="Net Banking"/>
    <s v="Repeat Customer"/>
  </r>
  <r>
    <n v="10190"/>
    <s v="CUST123"/>
    <d v="2024-08-13T00:00:00"/>
    <s v="Electronics"/>
    <x v="0"/>
    <n v="7"/>
    <x v="189"/>
    <n v="3446.1"/>
    <s v="UPI"/>
    <s v="Repeat Customer"/>
  </r>
  <r>
    <n v="10191"/>
    <s v="CUST254"/>
    <d v="2024-08-04T00:00:00"/>
    <s v="Home"/>
    <x v="1"/>
    <n v="3"/>
    <x v="190"/>
    <n v="1149.78"/>
    <s v="Credit Card"/>
    <s v="Repeat Customer"/>
  </r>
  <r>
    <n v="10192"/>
    <s v="CUST103"/>
    <d v="2025-05-24T00:00:00"/>
    <s v="Beauty"/>
    <x v="2"/>
    <n v="7"/>
    <x v="191"/>
    <n v="643.79"/>
    <s v="Net Banking"/>
    <s v="Repeat Customer"/>
  </r>
  <r>
    <n v="10193"/>
    <s v="CUST136"/>
    <d v="2025-02-10T00:00:00"/>
    <s v="Beauty"/>
    <x v="0"/>
    <n v="1"/>
    <x v="192"/>
    <n v="220.93"/>
    <s v="Net Banking"/>
    <s v="Repeat Customer"/>
  </r>
  <r>
    <n v="10194"/>
    <s v="CUST394"/>
    <d v="2025-03-15T00:00:00"/>
    <s v="Beauty"/>
    <x v="1"/>
    <n v="10"/>
    <x v="193"/>
    <n v="2051.9"/>
    <s v="Credit Card"/>
    <s v="Repeat Customer"/>
  </r>
  <r>
    <n v="10195"/>
    <s v="CUST307"/>
    <d v="2024-01-22T00:00:00"/>
    <s v="Sports"/>
    <x v="3"/>
    <n v="6"/>
    <x v="194"/>
    <n v="540.48"/>
    <s v="Net Banking"/>
    <s v="Repeat Customer"/>
  </r>
  <r>
    <n v="10196"/>
    <s v="CUST145"/>
    <d v="2025-03-23T00:00:00"/>
    <s v="Sports"/>
    <x v="3"/>
    <n v="2"/>
    <x v="195"/>
    <n v="250.88"/>
    <s v="Credit Card"/>
    <s v="Repeat Customer"/>
  </r>
  <r>
    <n v="10197"/>
    <s v="CUST302"/>
    <d v="2024-11-13T00:00:00"/>
    <s v="Fashion"/>
    <x v="0"/>
    <n v="6"/>
    <x v="196"/>
    <n v="688.08"/>
    <s v="Credit Card"/>
    <s v="Repeat Customer"/>
  </r>
  <r>
    <n v="10198"/>
    <s v="CUST371"/>
    <d v="2025-06-06T00:00:00"/>
    <s v="Home"/>
    <x v="1"/>
    <n v="4"/>
    <x v="197"/>
    <n v="1813.72"/>
    <s v="UPI"/>
    <s v="Repeat Customer"/>
  </r>
  <r>
    <n v="10199"/>
    <s v="CUST220"/>
    <d v="2024-04-15T00:00:00"/>
    <s v="Fashion"/>
    <x v="2"/>
    <n v="3"/>
    <x v="198"/>
    <n v="395.1"/>
    <s v="Credit Card"/>
    <s v="Repeat Customer"/>
  </r>
  <r>
    <n v="10200"/>
    <s v="CUST190"/>
    <d v="2025-10-05T00:00:00"/>
    <s v="Sports"/>
    <x v="3"/>
    <n v="8"/>
    <x v="199"/>
    <n v="1877.28"/>
    <s v="Net Banking"/>
    <s v="Repeat Customer"/>
  </r>
  <r>
    <n v="10201"/>
    <s v="CUST261"/>
    <d v="2024-06-03T00:00:00"/>
    <s v="Beauty"/>
    <x v="1"/>
    <n v="8"/>
    <x v="200"/>
    <n v="310.39999999999998"/>
    <s v="Net Banking"/>
    <s v="Repeat Customer"/>
  </r>
  <r>
    <n v="10202"/>
    <s v="CUST128"/>
    <d v="2024-12-26T00:00:00"/>
    <s v="Beauty"/>
    <x v="3"/>
    <n v="9"/>
    <x v="201"/>
    <n v="375.48"/>
    <s v="Credit Card"/>
    <s v="Repeat Customer"/>
  </r>
  <r>
    <n v="10203"/>
    <s v="CUST129"/>
    <d v="2025-01-12T00:00:00"/>
    <s v="Electronics"/>
    <x v="3"/>
    <n v="5"/>
    <x v="202"/>
    <n v="214.9"/>
    <s v="Wallet"/>
    <s v="Repeat Customer"/>
  </r>
  <r>
    <n v="10204"/>
    <s v="CUST397"/>
    <d v="2025-07-21T00:00:00"/>
    <s v="Sports"/>
    <x v="2"/>
    <n v="1"/>
    <x v="203"/>
    <n v="227.62"/>
    <s v="Net Banking"/>
    <s v="New Customer"/>
  </r>
  <r>
    <n v="10205"/>
    <s v="CUST343"/>
    <d v="2025-05-28T00:00:00"/>
    <s v="Beauty"/>
    <x v="0"/>
    <n v="3"/>
    <x v="204"/>
    <n v="1437.21"/>
    <s v="Net Banking"/>
    <s v="Repeat Customer"/>
  </r>
  <r>
    <n v="10206"/>
    <s v="CUST143"/>
    <d v="2025-05-31T00:00:00"/>
    <s v="Beauty"/>
    <x v="3"/>
    <n v="3"/>
    <x v="205"/>
    <n v="73.14"/>
    <s v="UPI"/>
    <s v="Repeat Customer"/>
  </r>
  <r>
    <n v="10207"/>
    <s v="CUST286"/>
    <d v="2025-01-16T00:00:00"/>
    <s v="Home"/>
    <x v="0"/>
    <n v="5"/>
    <x v="206"/>
    <n v="983.85"/>
    <s v="Net Banking"/>
    <s v="Repeat Customer"/>
  </r>
  <r>
    <n v="10208"/>
    <s v="CUST133"/>
    <d v="2024-12-03T00:00:00"/>
    <s v="Beauty"/>
    <x v="1"/>
    <n v="2"/>
    <x v="207"/>
    <n v="562.38"/>
    <s v="Net Banking"/>
    <s v="Repeat Customer"/>
  </r>
  <r>
    <n v="10209"/>
    <s v="CUST176"/>
    <d v="2024-12-07T00:00:00"/>
    <s v="Fashion"/>
    <x v="1"/>
    <n v="2"/>
    <x v="208"/>
    <n v="586.91999999999996"/>
    <s v="Net Banking"/>
    <s v="Repeat Customer"/>
  </r>
  <r>
    <n v="10210"/>
    <s v="CUST300"/>
    <d v="2024-05-12T00:00:00"/>
    <s v="Electronics"/>
    <x v="1"/>
    <n v="10"/>
    <x v="209"/>
    <n v="3558.7"/>
    <s v="Wallet"/>
    <s v="Repeat Customer"/>
  </r>
  <r>
    <n v="10211"/>
    <s v="CUST268"/>
    <d v="2024-05-10T00:00:00"/>
    <s v="Beauty"/>
    <x v="1"/>
    <n v="9"/>
    <x v="210"/>
    <n v="461.34"/>
    <s v="Credit Card"/>
    <s v="Repeat Customer"/>
  </r>
  <r>
    <n v="10212"/>
    <s v="CUST285"/>
    <d v="2024-11-12T00:00:00"/>
    <s v="Home"/>
    <x v="3"/>
    <n v="3"/>
    <x v="211"/>
    <n v="1427.49"/>
    <s v="UPI"/>
    <s v="Repeat Customer"/>
  </r>
  <r>
    <n v="10213"/>
    <s v="CUST215"/>
    <d v="2024-05-20T00:00:00"/>
    <s v="Electronics"/>
    <x v="0"/>
    <n v="3"/>
    <x v="212"/>
    <n v="129.6"/>
    <s v="Net Banking"/>
    <s v="Repeat Customer"/>
  </r>
  <r>
    <n v="10214"/>
    <s v="CUST167"/>
    <d v="2025-09-03T00:00:00"/>
    <s v="Fashion"/>
    <x v="2"/>
    <n v="7"/>
    <x v="213"/>
    <n v="569.52"/>
    <s v="Wallet"/>
    <s v="Repeat Customer"/>
  </r>
  <r>
    <n v="10215"/>
    <s v="CUST122"/>
    <d v="2025-02-24T00:00:00"/>
    <s v="Fashion"/>
    <x v="3"/>
    <n v="6"/>
    <x v="214"/>
    <n v="2038.8"/>
    <s v="Net Banking"/>
    <s v="Repeat Customer"/>
  </r>
  <r>
    <n v="10216"/>
    <s v="CUST329"/>
    <d v="2024-08-27T00:00:00"/>
    <s v="Beauty"/>
    <x v="2"/>
    <n v="9"/>
    <x v="215"/>
    <n v="1110.51"/>
    <s v="Net Banking"/>
    <s v="Repeat Customer"/>
  </r>
  <r>
    <n v="10217"/>
    <s v="CUST392"/>
    <d v="2025-03-27T00:00:00"/>
    <s v="Beauty"/>
    <x v="3"/>
    <n v="8"/>
    <x v="216"/>
    <n v="3086.96"/>
    <s v="UPI"/>
    <s v="Repeat Customer"/>
  </r>
  <r>
    <n v="10218"/>
    <s v="CUST202"/>
    <d v="2025-09-11T00:00:00"/>
    <s v="Electronics"/>
    <x v="3"/>
    <n v="3"/>
    <x v="217"/>
    <n v="1311.42"/>
    <s v="Net Banking"/>
    <s v="Repeat Customer"/>
  </r>
  <r>
    <n v="10219"/>
    <s v="CUST383"/>
    <d v="2024-04-15T00:00:00"/>
    <s v="Home"/>
    <x v="0"/>
    <n v="9"/>
    <x v="218"/>
    <n v="3836.97"/>
    <s v="UPI"/>
    <s v="Repeat Customer"/>
  </r>
  <r>
    <n v="10220"/>
    <s v="CUST239"/>
    <d v="2025-04-05T00:00:00"/>
    <s v="Beauty"/>
    <x v="0"/>
    <n v="9"/>
    <x v="219"/>
    <n v="701.46"/>
    <s v="UPI"/>
    <s v="Repeat Customer"/>
  </r>
  <r>
    <n v="10221"/>
    <s v="CUST330"/>
    <d v="2024-12-23T00:00:00"/>
    <s v="Beauty"/>
    <x v="1"/>
    <n v="1"/>
    <x v="220"/>
    <n v="210.37"/>
    <s v="UPI"/>
    <s v="Repeat Customer"/>
  </r>
  <r>
    <n v="10222"/>
    <s v="CUST297"/>
    <d v="2024-03-24T00:00:00"/>
    <s v="Home"/>
    <x v="0"/>
    <n v="6"/>
    <x v="221"/>
    <n v="696.9"/>
    <s v="Net Banking"/>
    <s v="Repeat Customer"/>
  </r>
  <r>
    <n v="10223"/>
    <s v="CUST174"/>
    <d v="2024-05-20T00:00:00"/>
    <s v="Beauty"/>
    <x v="2"/>
    <n v="1"/>
    <x v="222"/>
    <n v="147.01"/>
    <s v="Wallet"/>
    <s v="Repeat Customer"/>
  </r>
  <r>
    <n v="10224"/>
    <s v="CUST329"/>
    <d v="2025-09-22T00:00:00"/>
    <s v="Electronics"/>
    <x v="1"/>
    <n v="1"/>
    <x v="223"/>
    <n v="453.4"/>
    <s v="UPI"/>
    <s v="Repeat Customer"/>
  </r>
  <r>
    <n v="10225"/>
    <s v="CUST176"/>
    <d v="2025-07-15T00:00:00"/>
    <s v="Electronics"/>
    <x v="1"/>
    <n v="10"/>
    <x v="224"/>
    <n v="2662.5"/>
    <s v="UPI"/>
    <s v="Repeat Customer"/>
  </r>
  <r>
    <n v="10226"/>
    <s v="CUST254"/>
    <d v="2024-05-04T00:00:00"/>
    <s v="Sports"/>
    <x v="3"/>
    <n v="1"/>
    <x v="225"/>
    <n v="123.03"/>
    <s v="Credit Card"/>
    <s v="Repeat Customer"/>
  </r>
  <r>
    <n v="10227"/>
    <s v="CUST156"/>
    <d v="2025-05-26T00:00:00"/>
    <s v="Sports"/>
    <x v="2"/>
    <n v="10"/>
    <x v="226"/>
    <n v="2703.5"/>
    <s v="UPI"/>
    <s v="Repeat Customer"/>
  </r>
  <r>
    <n v="10228"/>
    <s v="CUST249"/>
    <d v="2025-03-15T00:00:00"/>
    <s v="Fashion"/>
    <x v="3"/>
    <n v="1"/>
    <x v="227"/>
    <n v="309.33"/>
    <s v="UPI"/>
    <s v="Repeat Customer"/>
  </r>
  <r>
    <n v="10229"/>
    <s v="CUST143"/>
    <d v="2025-06-20T00:00:00"/>
    <s v="Sports"/>
    <x v="0"/>
    <n v="6"/>
    <x v="228"/>
    <n v="231"/>
    <s v="Wallet"/>
    <s v="Repeat Customer"/>
  </r>
  <r>
    <n v="10230"/>
    <s v="CUST340"/>
    <d v="2024-02-14T00:00:00"/>
    <s v="Home"/>
    <x v="0"/>
    <n v="7"/>
    <x v="229"/>
    <n v="3434.27"/>
    <s v="Net Banking"/>
    <s v="Repeat Customer"/>
  </r>
  <r>
    <n v="10231"/>
    <s v="CUST134"/>
    <d v="2024-12-19T00:00:00"/>
    <s v="Electronics"/>
    <x v="1"/>
    <n v="4"/>
    <x v="230"/>
    <n v="1471.24"/>
    <s v="UPI"/>
    <s v="Repeat Customer"/>
  </r>
  <r>
    <n v="10232"/>
    <s v="CUST122"/>
    <d v="2024-12-26T00:00:00"/>
    <s v="Fashion"/>
    <x v="3"/>
    <n v="9"/>
    <x v="231"/>
    <n v="1553.22"/>
    <s v="Wallet"/>
    <s v="Repeat Customer"/>
  </r>
  <r>
    <n v="10233"/>
    <s v="CUST193"/>
    <d v="2024-05-18T00:00:00"/>
    <s v="Beauty"/>
    <x v="0"/>
    <n v="2"/>
    <x v="232"/>
    <n v="718.88"/>
    <s v="Net Banking"/>
    <s v="Repeat Customer"/>
  </r>
  <r>
    <n v="10234"/>
    <s v="CUST203"/>
    <d v="2024-02-14T00:00:00"/>
    <s v="Home"/>
    <x v="1"/>
    <n v="4"/>
    <x v="233"/>
    <n v="1773.88"/>
    <s v="Wallet"/>
    <s v="Repeat Customer"/>
  </r>
  <r>
    <n v="10235"/>
    <s v="CUST378"/>
    <d v="2025-04-29T00:00:00"/>
    <s v="Fashion"/>
    <x v="1"/>
    <n v="5"/>
    <x v="234"/>
    <n v="115.65"/>
    <s v="Net Banking"/>
    <s v="Repeat Customer"/>
  </r>
  <r>
    <n v="10236"/>
    <s v="CUST124"/>
    <d v="2025-11-02T00:00:00"/>
    <s v="Home"/>
    <x v="3"/>
    <n v="6"/>
    <x v="235"/>
    <n v="841.44"/>
    <s v="Wallet"/>
    <s v="Repeat Customer"/>
  </r>
  <r>
    <n v="10237"/>
    <s v="CUST325"/>
    <d v="2025-01-30T00:00:00"/>
    <s v="Beauty"/>
    <x v="3"/>
    <n v="6"/>
    <x v="236"/>
    <n v="2921.94"/>
    <s v="Net Banking"/>
    <s v="Repeat Customer"/>
  </r>
  <r>
    <n v="10238"/>
    <s v="CUST365"/>
    <d v="2024-09-30T00:00:00"/>
    <s v="Electronics"/>
    <x v="3"/>
    <n v="2"/>
    <x v="237"/>
    <n v="729.82"/>
    <s v="UPI"/>
    <s v="Repeat Customer"/>
  </r>
  <r>
    <n v="10239"/>
    <s v="CUST379"/>
    <d v="2024-10-27T00:00:00"/>
    <s v="Home"/>
    <x v="1"/>
    <n v="6"/>
    <x v="238"/>
    <n v="334.74"/>
    <s v="Net Banking"/>
    <s v="Repeat Customer"/>
  </r>
  <r>
    <n v="10240"/>
    <s v="CUST328"/>
    <d v="2025-09-09T00:00:00"/>
    <s v="Beauty"/>
    <x v="1"/>
    <n v="7"/>
    <x v="239"/>
    <n v="612.42999999999995"/>
    <s v="Wallet"/>
    <s v="Repeat Customer"/>
  </r>
  <r>
    <n v="10241"/>
    <s v="CUST121"/>
    <d v="2024-12-27T00:00:00"/>
    <s v="Home"/>
    <x v="0"/>
    <n v="10"/>
    <x v="240"/>
    <n v="4990.8"/>
    <s v="Credit Card"/>
    <s v="Repeat Customer"/>
  </r>
  <r>
    <n v="10242"/>
    <s v="CUST307"/>
    <d v="2025-01-07T00:00:00"/>
    <s v="Fashion"/>
    <x v="0"/>
    <n v="9"/>
    <x v="241"/>
    <n v="3613.86"/>
    <s v="UPI"/>
    <s v="Repeat Customer"/>
  </r>
  <r>
    <n v="10243"/>
    <s v="CUST324"/>
    <d v="2024-02-05T00:00:00"/>
    <s v="Home"/>
    <x v="1"/>
    <n v="3"/>
    <x v="242"/>
    <n v="114.84"/>
    <s v="Wallet"/>
    <s v="Repeat Customer"/>
  </r>
  <r>
    <n v="10244"/>
    <s v="CUST390"/>
    <d v="2024-02-03T00:00:00"/>
    <s v="Beauty"/>
    <x v="1"/>
    <n v="10"/>
    <x v="243"/>
    <n v="809.5"/>
    <s v="Net Banking"/>
    <s v="Repeat Customer"/>
  </r>
  <r>
    <n v="10245"/>
    <s v="CUST327"/>
    <d v="2024-03-19T00:00:00"/>
    <s v="Home"/>
    <x v="3"/>
    <n v="10"/>
    <x v="244"/>
    <n v="731.6"/>
    <s v="Net Banking"/>
    <s v="Repeat Customer"/>
  </r>
  <r>
    <n v="10246"/>
    <s v="CUST242"/>
    <d v="2024-09-12T00:00:00"/>
    <s v="Fashion"/>
    <x v="3"/>
    <n v="2"/>
    <x v="245"/>
    <n v="35.659999999999997"/>
    <s v="Wallet"/>
    <s v="Repeat Customer"/>
  </r>
  <r>
    <n v="10247"/>
    <s v="CUST387"/>
    <d v="2024-04-30T00:00:00"/>
    <s v="Beauty"/>
    <x v="2"/>
    <n v="5"/>
    <x v="246"/>
    <n v="1943.05"/>
    <s v="Net Banking"/>
    <s v="Repeat Customer"/>
  </r>
  <r>
    <n v="10248"/>
    <s v="CUST351"/>
    <d v="2024-07-23T00:00:00"/>
    <s v="Electronics"/>
    <x v="3"/>
    <n v="2"/>
    <x v="247"/>
    <n v="144.38"/>
    <s v="UPI"/>
    <s v="Repeat Customer"/>
  </r>
  <r>
    <n v="10249"/>
    <s v="CUST327"/>
    <d v="2024-03-30T00:00:00"/>
    <s v="Electronics"/>
    <x v="1"/>
    <n v="6"/>
    <x v="248"/>
    <n v="2013.48"/>
    <s v="Net Banking"/>
    <s v="Repeat Customer"/>
  </r>
  <r>
    <n v="10250"/>
    <s v="CUST180"/>
    <d v="2025-12-29T00:00:00"/>
    <s v="Sports"/>
    <x v="2"/>
    <n v="3"/>
    <x v="249"/>
    <n v="1193.6400000000001"/>
    <s v="Credit Card"/>
    <s v="Repeat Customer"/>
  </r>
  <r>
    <n v="10251"/>
    <s v="CUST202"/>
    <d v="2024-05-22T00:00:00"/>
    <s v="Electronics"/>
    <x v="1"/>
    <n v="4"/>
    <x v="250"/>
    <n v="1584.92"/>
    <s v="Net Banking"/>
    <s v="Repeat Customer"/>
  </r>
  <r>
    <n v="10252"/>
    <s v="CUST339"/>
    <d v="2025-07-18T00:00:00"/>
    <s v="Electronics"/>
    <x v="0"/>
    <n v="3"/>
    <x v="251"/>
    <n v="923.73"/>
    <s v="Net Banking"/>
    <s v="Repeat Customer"/>
  </r>
  <r>
    <n v="10253"/>
    <s v="CUST303"/>
    <d v="2025-05-05T00:00:00"/>
    <s v="Beauty"/>
    <x v="0"/>
    <n v="9"/>
    <x v="252"/>
    <n v="1875.06"/>
    <s v="UPI"/>
    <s v="New Customer"/>
  </r>
  <r>
    <n v="10254"/>
    <s v="CUST262"/>
    <d v="2025-10-19T00:00:00"/>
    <s v="Sports"/>
    <x v="1"/>
    <n v="2"/>
    <x v="253"/>
    <n v="455.48"/>
    <s v="UPI"/>
    <s v="Repeat Customer"/>
  </r>
  <r>
    <n v="10255"/>
    <s v="CUST382"/>
    <d v="2025-10-17T00:00:00"/>
    <s v="Fashion"/>
    <x v="3"/>
    <n v="10"/>
    <x v="254"/>
    <n v="950.7"/>
    <s v="Credit Card"/>
    <s v="Repeat Customer"/>
  </r>
  <r>
    <n v="10256"/>
    <s v="CUST163"/>
    <d v="2025-06-14T00:00:00"/>
    <s v="Fashion"/>
    <x v="1"/>
    <n v="3"/>
    <x v="255"/>
    <n v="466.62"/>
    <s v="UPI"/>
    <s v="Repeat Customer"/>
  </r>
  <r>
    <n v="10257"/>
    <s v="CUST277"/>
    <d v="2025-06-15T00:00:00"/>
    <s v="Home"/>
    <x v="2"/>
    <n v="5"/>
    <x v="256"/>
    <n v="2118.6999999999998"/>
    <s v="Net Banking"/>
    <s v="Repeat Customer"/>
  </r>
  <r>
    <n v="10258"/>
    <s v="CUST164"/>
    <d v="2025-10-02T00:00:00"/>
    <s v="Electronics"/>
    <x v="2"/>
    <n v="5"/>
    <x v="257"/>
    <n v="1545.7"/>
    <s v="UPI"/>
    <s v="Repeat Customer"/>
  </r>
  <r>
    <n v="10259"/>
    <s v="CUST187"/>
    <d v="2025-11-05T00:00:00"/>
    <s v="Sports"/>
    <x v="1"/>
    <n v="10"/>
    <x v="258"/>
    <n v="3617.1"/>
    <s v="Credit Card"/>
    <s v="Repeat Customer"/>
  </r>
  <r>
    <n v="10260"/>
    <s v="CUST114"/>
    <d v="2024-03-24T00:00:00"/>
    <s v="Sports"/>
    <x v="1"/>
    <n v="1"/>
    <x v="259"/>
    <n v="474.53"/>
    <s v="UPI"/>
    <s v="Repeat Customer"/>
  </r>
  <r>
    <n v="10261"/>
    <s v="CUST392"/>
    <d v="2025-03-02T00:00:00"/>
    <s v="Beauty"/>
    <x v="1"/>
    <n v="10"/>
    <x v="260"/>
    <n v="3213"/>
    <s v="Net Banking"/>
    <s v="Repeat Customer"/>
  </r>
  <r>
    <n v="10262"/>
    <s v="CUST347"/>
    <d v="2024-09-07T00:00:00"/>
    <s v="Electronics"/>
    <x v="0"/>
    <n v="7"/>
    <x v="261"/>
    <n v="1065.6099999999999"/>
    <s v="UPI"/>
    <s v="Repeat Customer"/>
  </r>
  <r>
    <n v="10263"/>
    <s v="CUST325"/>
    <d v="2025-03-01T00:00:00"/>
    <s v="Home"/>
    <x v="2"/>
    <n v="8"/>
    <x v="262"/>
    <n v="1879.2"/>
    <s v="Net Banking"/>
    <s v="Repeat Customer"/>
  </r>
  <r>
    <n v="10264"/>
    <s v="CUST263"/>
    <d v="2024-12-19T00:00:00"/>
    <s v="Home"/>
    <x v="0"/>
    <n v="7"/>
    <x v="263"/>
    <n v="488.11"/>
    <s v="Net Banking"/>
    <s v="Repeat Customer"/>
  </r>
  <r>
    <n v="10265"/>
    <s v="CUST223"/>
    <d v="2025-04-22T00:00:00"/>
    <s v="Fashion"/>
    <x v="2"/>
    <n v="2"/>
    <x v="264"/>
    <n v="274.8"/>
    <s v="Credit Card"/>
    <s v="Repeat Customer"/>
  </r>
  <r>
    <n v="10266"/>
    <s v="CUST125"/>
    <d v="2024-10-24T00:00:00"/>
    <s v="Beauty"/>
    <x v="2"/>
    <n v="7"/>
    <x v="265"/>
    <n v="3029.32"/>
    <s v="UPI"/>
    <s v="Repeat Customer"/>
  </r>
  <r>
    <n v="10267"/>
    <s v="CUST267"/>
    <d v="2025-08-14T00:00:00"/>
    <s v="Fashion"/>
    <x v="3"/>
    <n v="6"/>
    <x v="266"/>
    <n v="593.82000000000005"/>
    <s v="Wallet"/>
    <s v="Repeat Customer"/>
  </r>
  <r>
    <n v="10268"/>
    <s v="CUST355"/>
    <d v="2024-11-11T00:00:00"/>
    <s v="Beauty"/>
    <x v="3"/>
    <n v="8"/>
    <x v="267"/>
    <n v="131.76"/>
    <s v="UPI"/>
    <s v="Repeat Customer"/>
  </r>
  <r>
    <n v="10269"/>
    <s v="CUST210"/>
    <d v="2025-08-20T00:00:00"/>
    <s v="Home"/>
    <x v="3"/>
    <n v="6"/>
    <x v="268"/>
    <n v="174.54"/>
    <s v="Wallet"/>
    <s v="Repeat Customer"/>
  </r>
  <r>
    <n v="10270"/>
    <s v="CUST246"/>
    <d v="2025-07-03T00:00:00"/>
    <s v="Beauty"/>
    <x v="2"/>
    <n v="1"/>
    <x v="269"/>
    <n v="424.35"/>
    <s v="Net Banking"/>
    <s v="Repeat Customer"/>
  </r>
  <r>
    <n v="10271"/>
    <s v="CUST287"/>
    <d v="2025-02-16T00:00:00"/>
    <s v="Electronics"/>
    <x v="2"/>
    <n v="6"/>
    <x v="270"/>
    <n v="164.34"/>
    <s v="Net Banking"/>
    <s v="Repeat Customer"/>
  </r>
  <r>
    <n v="10272"/>
    <s v="CUST383"/>
    <d v="2024-10-22T00:00:00"/>
    <s v="Beauty"/>
    <x v="1"/>
    <n v="2"/>
    <x v="271"/>
    <n v="392.48"/>
    <s v="Credit Card"/>
    <s v="Repeat Customer"/>
  </r>
  <r>
    <n v="10273"/>
    <s v="CUST165"/>
    <d v="2024-04-09T00:00:00"/>
    <s v="Home"/>
    <x v="1"/>
    <n v="7"/>
    <x v="272"/>
    <n v="1328.11"/>
    <s v="UPI"/>
    <s v="Repeat Customer"/>
  </r>
  <r>
    <n v="10274"/>
    <s v="CUST201"/>
    <d v="2025-09-08T00:00:00"/>
    <s v="Electronics"/>
    <x v="0"/>
    <n v="9"/>
    <x v="273"/>
    <n v="1833.21"/>
    <s v="Credit Card"/>
    <s v="Repeat Customer"/>
  </r>
  <r>
    <n v="10275"/>
    <s v="CUST170"/>
    <d v="2025-12-31T00:00:00"/>
    <s v="Sports"/>
    <x v="3"/>
    <n v="6"/>
    <x v="274"/>
    <n v="2417.7600000000002"/>
    <s v="UPI"/>
    <s v="Repeat Customer"/>
  </r>
  <r>
    <n v="10276"/>
    <s v="CUST363"/>
    <d v="2024-05-23T00:00:00"/>
    <s v="Home"/>
    <x v="2"/>
    <n v="6"/>
    <x v="275"/>
    <n v="2796.18"/>
    <s v="Wallet"/>
    <s v="Repeat Customer"/>
  </r>
  <r>
    <n v="10277"/>
    <s v="CUST253"/>
    <d v="2025-08-30T00:00:00"/>
    <s v="Sports"/>
    <x v="3"/>
    <n v="6"/>
    <x v="276"/>
    <n v="1536.72"/>
    <s v="Net Banking"/>
    <s v="Repeat Customer"/>
  </r>
  <r>
    <n v="10278"/>
    <s v="CUST343"/>
    <d v="2024-01-18T00:00:00"/>
    <s v="Electronics"/>
    <x v="3"/>
    <n v="6"/>
    <x v="277"/>
    <n v="1013.76"/>
    <s v="Net Banking"/>
    <s v="Repeat Customer"/>
  </r>
  <r>
    <n v="10279"/>
    <s v="CUST113"/>
    <d v="2025-09-03T00:00:00"/>
    <s v="Sports"/>
    <x v="2"/>
    <n v="8"/>
    <x v="278"/>
    <n v="1091.52"/>
    <s v="Credit Card"/>
    <s v="Repeat Customer"/>
  </r>
  <r>
    <n v="10280"/>
    <s v="CUST398"/>
    <d v="2025-05-06T00:00:00"/>
    <s v="Sports"/>
    <x v="3"/>
    <n v="3"/>
    <x v="279"/>
    <n v="793.5"/>
    <s v="UPI"/>
    <s v="Repeat Customer"/>
  </r>
  <r>
    <n v="10281"/>
    <s v="CUST224"/>
    <d v="2024-02-02T00:00:00"/>
    <s v="Electronics"/>
    <x v="2"/>
    <n v="10"/>
    <x v="280"/>
    <n v="4743.6000000000004"/>
    <s v="Credit Card"/>
    <s v="Repeat Customer"/>
  </r>
  <r>
    <n v="10282"/>
    <s v="CUST325"/>
    <d v="2024-11-17T00:00:00"/>
    <s v="Fashion"/>
    <x v="3"/>
    <n v="7"/>
    <x v="281"/>
    <n v="559.72"/>
    <s v="Wallet"/>
    <s v="Repeat Customer"/>
  </r>
  <r>
    <n v="10283"/>
    <s v="CUST131"/>
    <d v="2025-12-23T00:00:00"/>
    <s v="Sports"/>
    <x v="1"/>
    <n v="3"/>
    <x v="282"/>
    <n v="785.25"/>
    <s v="Wallet"/>
    <s v="Repeat Customer"/>
  </r>
  <r>
    <n v="10284"/>
    <s v="CUST369"/>
    <d v="2025-01-20T00:00:00"/>
    <s v="Beauty"/>
    <x v="1"/>
    <n v="6"/>
    <x v="283"/>
    <n v="2871.36"/>
    <s v="Net Banking"/>
    <s v="Repeat Customer"/>
  </r>
  <r>
    <n v="10285"/>
    <s v="CUST235"/>
    <d v="2025-09-16T00:00:00"/>
    <s v="Fashion"/>
    <x v="1"/>
    <n v="8"/>
    <x v="284"/>
    <n v="801.36"/>
    <s v="Net Banking"/>
    <s v="Repeat Customer"/>
  </r>
  <r>
    <n v="10286"/>
    <s v="CUST215"/>
    <d v="2024-10-31T00:00:00"/>
    <s v="Beauty"/>
    <x v="1"/>
    <n v="5"/>
    <x v="285"/>
    <n v="1769.65"/>
    <s v="Wallet"/>
    <s v="Repeat Customer"/>
  </r>
  <r>
    <n v="10287"/>
    <s v="CUST278"/>
    <d v="2025-07-27T00:00:00"/>
    <s v="Sports"/>
    <x v="3"/>
    <n v="5"/>
    <x v="286"/>
    <n v="737.3"/>
    <s v="Wallet"/>
    <s v="Repeat Customer"/>
  </r>
  <r>
    <n v="10288"/>
    <s v="CUST276"/>
    <d v="2024-05-29T00:00:00"/>
    <s v="Electronics"/>
    <x v="1"/>
    <n v="5"/>
    <x v="287"/>
    <n v="129.1"/>
    <s v="Wallet"/>
    <s v="Repeat Customer"/>
  </r>
  <r>
    <n v="10289"/>
    <s v="CUST231"/>
    <d v="2025-05-05T00:00:00"/>
    <s v="Sports"/>
    <x v="1"/>
    <n v="4"/>
    <x v="288"/>
    <n v="420.08"/>
    <s v="Net Banking"/>
    <s v="Repeat Customer"/>
  </r>
  <r>
    <n v="10290"/>
    <s v="CUST170"/>
    <d v="2024-04-21T00:00:00"/>
    <s v="Fashion"/>
    <x v="2"/>
    <n v="10"/>
    <x v="289"/>
    <n v="3717.4"/>
    <s v="Credit Card"/>
    <s v="Repeat Customer"/>
  </r>
  <r>
    <n v="10291"/>
    <s v="CUST371"/>
    <d v="2024-08-19T00:00:00"/>
    <s v="Beauty"/>
    <x v="1"/>
    <n v="4"/>
    <x v="290"/>
    <n v="123.92"/>
    <s v="Wallet"/>
    <s v="Repeat Customer"/>
  </r>
  <r>
    <n v="10292"/>
    <s v="CUST151"/>
    <d v="2025-11-28T00:00:00"/>
    <s v="Sports"/>
    <x v="2"/>
    <n v="3"/>
    <x v="291"/>
    <n v="22.68"/>
    <s v="Wallet"/>
    <s v="Repeat Customer"/>
  </r>
  <r>
    <n v="10293"/>
    <s v="CUST343"/>
    <d v="2025-05-03T00:00:00"/>
    <s v="Home"/>
    <x v="1"/>
    <n v="4"/>
    <x v="292"/>
    <n v="1516.72"/>
    <s v="Net Banking"/>
    <s v="Repeat Customer"/>
  </r>
  <r>
    <n v="10294"/>
    <s v="CUST130"/>
    <d v="2024-04-01T00:00:00"/>
    <s v="Electronics"/>
    <x v="2"/>
    <n v="10"/>
    <x v="293"/>
    <n v="1199.5"/>
    <s v="Wallet"/>
    <s v="Repeat Customer"/>
  </r>
  <r>
    <n v="10295"/>
    <s v="CUST190"/>
    <d v="2024-02-07T00:00:00"/>
    <s v="Fashion"/>
    <x v="1"/>
    <n v="7"/>
    <x v="294"/>
    <n v="2765.28"/>
    <s v="Credit Card"/>
    <s v="Repeat Customer"/>
  </r>
  <r>
    <n v="10296"/>
    <s v="CUST104"/>
    <d v="2024-11-01T00:00:00"/>
    <s v="Home"/>
    <x v="1"/>
    <n v="10"/>
    <x v="295"/>
    <n v="3033.8"/>
    <s v="Wallet"/>
    <s v="Repeat Customer"/>
  </r>
  <r>
    <n v="10297"/>
    <s v="CUST378"/>
    <d v="2025-06-20T00:00:00"/>
    <s v="Fashion"/>
    <x v="3"/>
    <n v="8"/>
    <x v="296"/>
    <n v="3561.44"/>
    <s v="Net Banking"/>
    <s v="Repeat Customer"/>
  </r>
  <r>
    <n v="10298"/>
    <s v="CUST198"/>
    <d v="2024-04-25T00:00:00"/>
    <s v="Beauty"/>
    <x v="1"/>
    <n v="6"/>
    <x v="297"/>
    <n v="512.58000000000004"/>
    <s v="UPI"/>
    <s v="Repeat Customer"/>
  </r>
  <r>
    <n v="10299"/>
    <s v="CUST107"/>
    <d v="2024-12-11T00:00:00"/>
    <s v="Fashion"/>
    <x v="2"/>
    <n v="5"/>
    <x v="298"/>
    <n v="1430.25"/>
    <s v="Wallet"/>
    <s v="Repeat Customer"/>
  </r>
  <r>
    <n v="10300"/>
    <s v="CUST318"/>
    <d v="2025-06-11T00:00:00"/>
    <s v="Electronics"/>
    <x v="2"/>
    <n v="6"/>
    <x v="299"/>
    <n v="287.64"/>
    <s v="UPI"/>
    <s v="Repeat Customer"/>
  </r>
  <r>
    <n v="10301"/>
    <s v="CUST344"/>
    <d v="2024-11-27T00:00:00"/>
    <s v="Beauty"/>
    <x v="2"/>
    <n v="4"/>
    <x v="300"/>
    <n v="33.520000000000003"/>
    <s v="Wallet"/>
    <s v="Repeat Customer"/>
  </r>
  <r>
    <n v="10302"/>
    <s v="CUST236"/>
    <d v="2024-12-03T00:00:00"/>
    <s v="Sports"/>
    <x v="0"/>
    <n v="5"/>
    <x v="301"/>
    <n v="1466.6"/>
    <s v="Net Banking"/>
    <s v="Repeat Customer"/>
  </r>
  <r>
    <n v="10303"/>
    <s v="CUST284"/>
    <d v="2025-12-10T00:00:00"/>
    <s v="Electronics"/>
    <x v="3"/>
    <n v="4"/>
    <x v="302"/>
    <n v="143"/>
    <s v="Net Banking"/>
    <s v="Repeat Customer"/>
  </r>
  <r>
    <n v="10304"/>
    <s v="CUST181"/>
    <d v="2025-02-19T00:00:00"/>
    <s v="Home"/>
    <x v="0"/>
    <n v="9"/>
    <x v="303"/>
    <n v="4157.46"/>
    <s v="Net Banking"/>
    <s v="Repeat Customer"/>
  </r>
  <r>
    <n v="10305"/>
    <s v="CUST288"/>
    <d v="2025-09-21T00:00:00"/>
    <s v="Fashion"/>
    <x v="3"/>
    <n v="4"/>
    <x v="304"/>
    <n v="453.88"/>
    <s v="UPI"/>
    <s v="Repeat Customer"/>
  </r>
  <r>
    <n v="10306"/>
    <s v="CUST332"/>
    <d v="2025-09-12T00:00:00"/>
    <s v="Sports"/>
    <x v="3"/>
    <n v="6"/>
    <x v="305"/>
    <n v="1265.04"/>
    <s v="UPI"/>
    <s v="Repeat Customer"/>
  </r>
  <r>
    <n v="10307"/>
    <s v="CUST226"/>
    <d v="2025-11-27T00:00:00"/>
    <s v="Electronics"/>
    <x v="3"/>
    <n v="10"/>
    <x v="306"/>
    <n v="4372"/>
    <s v="Net Banking"/>
    <s v="Repeat Customer"/>
  </r>
  <r>
    <n v="10308"/>
    <s v="CUST139"/>
    <d v="2025-07-31T00:00:00"/>
    <s v="Sports"/>
    <x v="2"/>
    <n v="2"/>
    <x v="307"/>
    <n v="71.14"/>
    <s v="UPI"/>
    <s v="Repeat Customer"/>
  </r>
  <r>
    <n v="10309"/>
    <s v="CUST184"/>
    <d v="2024-12-01T00:00:00"/>
    <s v="Fashion"/>
    <x v="3"/>
    <n v="9"/>
    <x v="308"/>
    <n v="2013.39"/>
    <s v="Credit Card"/>
    <s v="Repeat Customer"/>
  </r>
  <r>
    <n v="10310"/>
    <s v="CUST361"/>
    <d v="2025-04-01T00:00:00"/>
    <s v="Sports"/>
    <x v="3"/>
    <n v="1"/>
    <x v="309"/>
    <n v="229.45"/>
    <s v="Wallet"/>
    <s v="New Customer"/>
  </r>
  <r>
    <n v="10311"/>
    <s v="CUST388"/>
    <d v="2024-02-29T00:00:00"/>
    <s v="Home"/>
    <x v="0"/>
    <n v="9"/>
    <x v="310"/>
    <n v="2104.92"/>
    <s v="Wallet"/>
    <s v="Repeat Customer"/>
  </r>
  <r>
    <n v="10312"/>
    <s v="CUST230"/>
    <d v="2024-01-04T00:00:00"/>
    <s v="Electronics"/>
    <x v="3"/>
    <n v="4"/>
    <x v="311"/>
    <n v="1165.04"/>
    <s v="Net Banking"/>
    <s v="Repeat Customer"/>
  </r>
  <r>
    <n v="10313"/>
    <s v="CUST132"/>
    <d v="2025-07-08T00:00:00"/>
    <s v="Electronics"/>
    <x v="3"/>
    <n v="1"/>
    <x v="312"/>
    <n v="467.62"/>
    <s v="Credit Card"/>
    <s v="Repeat Customer"/>
  </r>
  <r>
    <n v="10314"/>
    <s v="CUST246"/>
    <d v="2025-02-22T00:00:00"/>
    <s v="Beauty"/>
    <x v="1"/>
    <n v="3"/>
    <x v="313"/>
    <n v="1156.92"/>
    <s v="Wallet"/>
    <s v="Repeat Customer"/>
  </r>
  <r>
    <n v="10315"/>
    <s v="CUST329"/>
    <d v="2025-01-21T00:00:00"/>
    <s v="Sports"/>
    <x v="2"/>
    <n v="7"/>
    <x v="314"/>
    <n v="313.04000000000002"/>
    <s v="Net Banking"/>
    <s v="Repeat Customer"/>
  </r>
  <r>
    <n v="10316"/>
    <s v="CUST160"/>
    <d v="2024-07-01T00:00:00"/>
    <s v="Fashion"/>
    <x v="2"/>
    <n v="9"/>
    <x v="315"/>
    <n v="1796.04"/>
    <s v="Credit Card"/>
    <s v="Repeat Customer"/>
  </r>
  <r>
    <n v="10317"/>
    <s v="CUST111"/>
    <d v="2024-11-01T00:00:00"/>
    <s v="Sports"/>
    <x v="3"/>
    <n v="8"/>
    <x v="316"/>
    <n v="2707.04"/>
    <s v="Wallet"/>
    <s v="Repeat Customer"/>
  </r>
  <r>
    <n v="10318"/>
    <s v="CUST217"/>
    <d v="2024-09-10T00:00:00"/>
    <s v="Home"/>
    <x v="2"/>
    <n v="8"/>
    <x v="317"/>
    <n v="1410.8"/>
    <s v="Credit Card"/>
    <s v="Repeat Customer"/>
  </r>
  <r>
    <n v="10319"/>
    <s v="CUST116"/>
    <d v="2025-11-07T00:00:00"/>
    <s v="Electronics"/>
    <x v="2"/>
    <n v="7"/>
    <x v="318"/>
    <n v="2165.73"/>
    <s v="UPI"/>
    <s v="Repeat Customer"/>
  </r>
  <r>
    <n v="10320"/>
    <s v="CUST134"/>
    <d v="2024-04-13T00:00:00"/>
    <s v="Sports"/>
    <x v="0"/>
    <n v="10"/>
    <x v="319"/>
    <n v="216.2"/>
    <s v="UPI"/>
    <s v="Repeat Customer"/>
  </r>
  <r>
    <n v="10321"/>
    <s v="CUST122"/>
    <d v="2025-02-15T00:00:00"/>
    <s v="Fashion"/>
    <x v="0"/>
    <n v="8"/>
    <x v="320"/>
    <n v="968"/>
    <s v="UPI"/>
    <s v="Repeat Customer"/>
  </r>
  <r>
    <n v="10322"/>
    <s v="CUST357"/>
    <d v="2024-10-23T00:00:00"/>
    <s v="Sports"/>
    <x v="1"/>
    <n v="4"/>
    <x v="321"/>
    <n v="1635.24"/>
    <s v="Net Banking"/>
    <s v="Repeat Customer"/>
  </r>
  <r>
    <n v="10323"/>
    <s v="CUST221"/>
    <d v="2024-11-05T00:00:00"/>
    <s v="Sports"/>
    <x v="2"/>
    <n v="3"/>
    <x v="322"/>
    <n v="1478.76"/>
    <s v="Wallet"/>
    <s v="Repeat Customer"/>
  </r>
  <r>
    <n v="10324"/>
    <s v="CUST253"/>
    <d v="2024-10-08T00:00:00"/>
    <s v="Sports"/>
    <x v="2"/>
    <n v="1"/>
    <x v="323"/>
    <n v="280.58"/>
    <s v="Wallet"/>
    <s v="Repeat Customer"/>
  </r>
  <r>
    <n v="10325"/>
    <s v="CUST384"/>
    <d v="2025-05-22T00:00:00"/>
    <s v="Beauty"/>
    <x v="1"/>
    <n v="1"/>
    <x v="324"/>
    <n v="486.28"/>
    <s v="Wallet"/>
    <s v="Repeat Customer"/>
  </r>
  <r>
    <n v="10326"/>
    <s v="CUST309"/>
    <d v="2024-06-01T00:00:00"/>
    <s v="Sports"/>
    <x v="3"/>
    <n v="5"/>
    <x v="325"/>
    <n v="956.75"/>
    <s v="UPI"/>
    <s v="Repeat Customer"/>
  </r>
  <r>
    <n v="10327"/>
    <s v="CUST215"/>
    <d v="2024-11-03T00:00:00"/>
    <s v="Electronics"/>
    <x v="3"/>
    <n v="3"/>
    <x v="326"/>
    <n v="1211.58"/>
    <s v="Wallet"/>
    <s v="Repeat Customer"/>
  </r>
  <r>
    <n v="10328"/>
    <s v="CUST385"/>
    <d v="2025-06-26T00:00:00"/>
    <s v="Home"/>
    <x v="2"/>
    <n v="3"/>
    <x v="327"/>
    <n v="591.80999999999995"/>
    <s v="Net Banking"/>
    <s v="Repeat Customer"/>
  </r>
  <r>
    <n v="10329"/>
    <s v="CUST140"/>
    <d v="2025-04-05T00:00:00"/>
    <s v="Fashion"/>
    <x v="0"/>
    <n v="6"/>
    <x v="328"/>
    <n v="304.62"/>
    <s v="Net Banking"/>
    <s v="Repeat Customer"/>
  </r>
  <r>
    <n v="10330"/>
    <s v="CUST293"/>
    <d v="2025-11-20T00:00:00"/>
    <s v="Electronics"/>
    <x v="2"/>
    <n v="10"/>
    <x v="329"/>
    <n v="3034.5"/>
    <s v="UPI"/>
    <s v="Repeat Customer"/>
  </r>
  <r>
    <n v="10331"/>
    <s v="CUST345"/>
    <d v="2024-08-01T00:00:00"/>
    <s v="Electronics"/>
    <x v="2"/>
    <n v="6"/>
    <x v="330"/>
    <n v="930.48"/>
    <s v="UPI"/>
    <s v="Repeat Customer"/>
  </r>
  <r>
    <n v="10332"/>
    <s v="CUST160"/>
    <d v="2025-05-05T00:00:00"/>
    <s v="Fashion"/>
    <x v="3"/>
    <n v="4"/>
    <x v="331"/>
    <n v="1397.36"/>
    <s v="UPI"/>
    <s v="Repeat Customer"/>
  </r>
  <r>
    <n v="10333"/>
    <s v="CUST382"/>
    <d v="2024-11-25T00:00:00"/>
    <s v="Sports"/>
    <x v="1"/>
    <n v="5"/>
    <x v="332"/>
    <n v="967.15"/>
    <s v="Net Banking"/>
    <s v="Repeat Customer"/>
  </r>
  <r>
    <n v="10334"/>
    <s v="CUST233"/>
    <d v="2025-01-03T00:00:00"/>
    <s v="Beauty"/>
    <x v="0"/>
    <n v="9"/>
    <x v="333"/>
    <n v="3977.91"/>
    <s v="Wallet"/>
    <s v="Repeat Customer"/>
  </r>
  <r>
    <n v="10335"/>
    <s v="CUST263"/>
    <d v="2024-07-27T00:00:00"/>
    <s v="Electronics"/>
    <x v="2"/>
    <n v="6"/>
    <x v="334"/>
    <n v="959.4"/>
    <s v="UPI"/>
    <s v="Repeat Customer"/>
  </r>
  <r>
    <n v="10336"/>
    <s v="CUST108"/>
    <d v="2024-09-24T00:00:00"/>
    <s v="Sports"/>
    <x v="3"/>
    <n v="9"/>
    <x v="335"/>
    <n v="4209.3900000000003"/>
    <s v="Net Banking"/>
    <s v="Repeat Customer"/>
  </r>
  <r>
    <n v="10337"/>
    <s v="CUST178"/>
    <d v="2024-07-19T00:00:00"/>
    <s v="Sports"/>
    <x v="2"/>
    <n v="6"/>
    <x v="336"/>
    <n v="713.16"/>
    <s v="Wallet"/>
    <s v="Repeat Customer"/>
  </r>
  <r>
    <n v="10338"/>
    <s v="CUST381"/>
    <d v="2025-11-01T00:00:00"/>
    <s v="Beauty"/>
    <x v="3"/>
    <n v="6"/>
    <x v="337"/>
    <n v="794.28"/>
    <s v="Wallet"/>
    <s v="Repeat Customer"/>
  </r>
  <r>
    <n v="10339"/>
    <s v="CUST186"/>
    <d v="2024-12-26T00:00:00"/>
    <s v="Sports"/>
    <x v="3"/>
    <n v="3"/>
    <x v="338"/>
    <n v="222.84"/>
    <s v="UPI"/>
    <s v="Repeat Customer"/>
  </r>
  <r>
    <n v="10340"/>
    <s v="CUST377"/>
    <d v="2025-10-19T00:00:00"/>
    <s v="Electronics"/>
    <x v="0"/>
    <n v="1"/>
    <x v="339"/>
    <n v="264.35000000000002"/>
    <s v="Credit Card"/>
    <s v="Repeat Customer"/>
  </r>
  <r>
    <n v="10341"/>
    <s v="CUST311"/>
    <d v="2024-05-20T00:00:00"/>
    <s v="Fashion"/>
    <x v="0"/>
    <n v="4"/>
    <x v="340"/>
    <n v="154.56"/>
    <s v="UPI"/>
    <s v="Repeat Customer"/>
  </r>
  <r>
    <n v="10342"/>
    <s v="CUST358"/>
    <d v="2025-04-11T00:00:00"/>
    <s v="Sports"/>
    <x v="3"/>
    <n v="6"/>
    <x v="341"/>
    <n v="209.52"/>
    <s v="Wallet"/>
    <s v="Repeat Customer"/>
  </r>
  <r>
    <n v="10343"/>
    <s v="CUST108"/>
    <d v="2024-01-07T00:00:00"/>
    <s v="Electronics"/>
    <x v="0"/>
    <n v="9"/>
    <x v="342"/>
    <n v="2502.54"/>
    <s v="Net Banking"/>
    <s v="Repeat Customer"/>
  </r>
  <r>
    <n v="10344"/>
    <s v="CUST374"/>
    <d v="2024-10-20T00:00:00"/>
    <s v="Beauty"/>
    <x v="2"/>
    <n v="1"/>
    <x v="343"/>
    <n v="253.6"/>
    <s v="Credit Card"/>
    <s v="Repeat Customer"/>
  </r>
  <r>
    <n v="10345"/>
    <s v="CUST149"/>
    <d v="2025-06-20T00:00:00"/>
    <s v="Sports"/>
    <x v="1"/>
    <n v="3"/>
    <x v="344"/>
    <n v="372.84"/>
    <s v="Net Banking"/>
    <s v="Repeat Customer"/>
  </r>
  <r>
    <n v="10346"/>
    <s v="CUST236"/>
    <d v="2025-02-10T00:00:00"/>
    <s v="Beauty"/>
    <x v="3"/>
    <n v="2"/>
    <x v="345"/>
    <n v="379.32"/>
    <s v="UPI"/>
    <s v="Repeat Customer"/>
  </r>
  <r>
    <n v="10347"/>
    <s v="CUST215"/>
    <d v="2024-11-03T00:00:00"/>
    <s v="Electronics"/>
    <x v="0"/>
    <n v="2"/>
    <x v="346"/>
    <n v="657.2"/>
    <s v="Wallet"/>
    <s v="Repeat Customer"/>
  </r>
  <r>
    <n v="10348"/>
    <s v="CUST294"/>
    <d v="2025-01-21T00:00:00"/>
    <s v="Electronics"/>
    <x v="2"/>
    <n v="9"/>
    <x v="347"/>
    <n v="2165.58"/>
    <s v="Credit Card"/>
    <s v="Repeat Customer"/>
  </r>
  <r>
    <n v="10349"/>
    <s v="CUST355"/>
    <d v="2025-03-20T00:00:00"/>
    <s v="Electronics"/>
    <x v="0"/>
    <n v="6"/>
    <x v="348"/>
    <n v="1710.6"/>
    <s v="UPI"/>
    <s v="Repeat Customer"/>
  </r>
  <r>
    <n v="10350"/>
    <s v="CUST208"/>
    <d v="2025-12-09T00:00:00"/>
    <s v="Electronics"/>
    <x v="0"/>
    <n v="10"/>
    <x v="349"/>
    <n v="2403.6999999999998"/>
    <s v="Net Banking"/>
    <s v="Repeat Customer"/>
  </r>
  <r>
    <n v="10351"/>
    <s v="CUST378"/>
    <d v="2025-07-31T00:00:00"/>
    <s v="Home"/>
    <x v="0"/>
    <n v="1"/>
    <x v="350"/>
    <n v="93.78"/>
    <s v="UPI"/>
    <s v="Repeat Customer"/>
  </r>
  <r>
    <n v="10352"/>
    <s v="CUST173"/>
    <d v="2025-12-30T00:00:00"/>
    <s v="Home"/>
    <x v="2"/>
    <n v="7"/>
    <x v="351"/>
    <n v="3253.53"/>
    <s v="UPI"/>
    <s v="Repeat Customer"/>
  </r>
  <r>
    <n v="10353"/>
    <s v="CUST390"/>
    <d v="2025-02-02T00:00:00"/>
    <s v="Fashion"/>
    <x v="0"/>
    <n v="9"/>
    <x v="352"/>
    <n v="1522.89"/>
    <s v="Net Banking"/>
    <s v="Repeat Customer"/>
  </r>
  <r>
    <n v="10354"/>
    <s v="CUST127"/>
    <d v="2024-04-10T00:00:00"/>
    <s v="Electronics"/>
    <x v="1"/>
    <n v="7"/>
    <x v="353"/>
    <n v="839.37"/>
    <s v="Wallet"/>
    <s v="Repeat Customer"/>
  </r>
  <r>
    <n v="10355"/>
    <s v="CUST267"/>
    <d v="2024-01-31T00:00:00"/>
    <s v="Beauty"/>
    <x v="3"/>
    <n v="5"/>
    <x v="354"/>
    <n v="1964.3"/>
    <s v="UPI"/>
    <s v="Repeat Customer"/>
  </r>
  <r>
    <n v="10356"/>
    <s v="CUST282"/>
    <d v="2025-07-20T00:00:00"/>
    <s v="Sports"/>
    <x v="3"/>
    <n v="7"/>
    <x v="355"/>
    <n v="1531.32"/>
    <s v="Credit Card"/>
    <s v="Repeat Customer"/>
  </r>
  <r>
    <n v="10357"/>
    <s v="CUST251"/>
    <d v="2024-09-09T00:00:00"/>
    <s v="Fashion"/>
    <x v="3"/>
    <n v="2"/>
    <x v="356"/>
    <n v="91.22"/>
    <s v="UPI"/>
    <s v="Repeat Customer"/>
  </r>
  <r>
    <n v="10358"/>
    <s v="CUST299"/>
    <d v="2024-11-20T00:00:00"/>
    <s v="Electronics"/>
    <x v="1"/>
    <n v="6"/>
    <x v="357"/>
    <n v="346.44"/>
    <s v="Wallet"/>
    <s v="Repeat Customer"/>
  </r>
  <r>
    <n v="10359"/>
    <s v="CUST284"/>
    <d v="2024-10-03T00:00:00"/>
    <s v="Fashion"/>
    <x v="3"/>
    <n v="2"/>
    <x v="358"/>
    <n v="141.18"/>
    <s v="Wallet"/>
    <s v="Repeat Customer"/>
  </r>
  <r>
    <n v="10360"/>
    <s v="CUST385"/>
    <d v="2025-07-22T00:00:00"/>
    <s v="Electronics"/>
    <x v="0"/>
    <n v="9"/>
    <x v="359"/>
    <n v="1862.82"/>
    <s v="Net Banking"/>
    <s v="Repeat Customer"/>
  </r>
  <r>
    <n v="10361"/>
    <s v="CUST383"/>
    <d v="2024-04-05T00:00:00"/>
    <s v="Home"/>
    <x v="3"/>
    <n v="10"/>
    <x v="360"/>
    <n v="3010.3"/>
    <s v="Credit Card"/>
    <s v="Repeat Customer"/>
  </r>
  <r>
    <n v="10362"/>
    <s v="CUST249"/>
    <d v="2025-02-27T00:00:00"/>
    <s v="Sports"/>
    <x v="2"/>
    <n v="7"/>
    <x v="361"/>
    <n v="2734.83"/>
    <s v="UPI"/>
    <s v="Repeat Customer"/>
  </r>
  <r>
    <n v="10363"/>
    <s v="CUST294"/>
    <d v="2024-06-22T00:00:00"/>
    <s v="Home"/>
    <x v="3"/>
    <n v="3"/>
    <x v="362"/>
    <n v="414.33"/>
    <s v="UPI"/>
    <s v="Repeat Customer"/>
  </r>
  <r>
    <n v="10364"/>
    <s v="CUST132"/>
    <d v="2024-06-20T00:00:00"/>
    <s v="Home"/>
    <x v="3"/>
    <n v="7"/>
    <x v="363"/>
    <n v="991.2"/>
    <s v="Credit Card"/>
    <s v="Repeat Customer"/>
  </r>
  <r>
    <n v="10365"/>
    <s v="CUST284"/>
    <d v="2024-09-14T00:00:00"/>
    <s v="Beauty"/>
    <x v="2"/>
    <n v="4"/>
    <x v="364"/>
    <n v="1447.4"/>
    <s v="Wallet"/>
    <s v="Repeat Customer"/>
  </r>
  <r>
    <n v="10366"/>
    <s v="CUST154"/>
    <d v="2024-05-18T00:00:00"/>
    <s v="Beauty"/>
    <x v="1"/>
    <n v="5"/>
    <x v="365"/>
    <n v="41.75"/>
    <s v="Wallet"/>
    <s v="Repeat Customer"/>
  </r>
  <r>
    <n v="10367"/>
    <s v="CUST268"/>
    <d v="2025-03-26T00:00:00"/>
    <s v="Sports"/>
    <x v="2"/>
    <n v="6"/>
    <x v="366"/>
    <n v="1308.96"/>
    <s v="Net Banking"/>
    <s v="Repeat Customer"/>
  </r>
  <r>
    <n v="10368"/>
    <s v="CUST264"/>
    <d v="2025-09-09T00:00:00"/>
    <s v="Fashion"/>
    <x v="3"/>
    <n v="4"/>
    <x v="367"/>
    <n v="968.44"/>
    <s v="Net Banking"/>
    <s v="Repeat Customer"/>
  </r>
  <r>
    <n v="10369"/>
    <s v="CUST249"/>
    <d v="2025-12-12T00:00:00"/>
    <s v="Fashion"/>
    <x v="1"/>
    <n v="8"/>
    <x v="368"/>
    <n v="3872.32"/>
    <s v="Wallet"/>
    <s v="Repeat Customer"/>
  </r>
  <r>
    <n v="10370"/>
    <s v="CUST243"/>
    <d v="2025-02-06T00:00:00"/>
    <s v="Sports"/>
    <x v="2"/>
    <n v="6"/>
    <x v="369"/>
    <n v="368.22"/>
    <s v="UPI"/>
    <s v="Repeat Customer"/>
  </r>
  <r>
    <n v="10371"/>
    <s v="CUST381"/>
    <d v="2024-01-28T00:00:00"/>
    <s v="Fashion"/>
    <x v="3"/>
    <n v="8"/>
    <x v="370"/>
    <n v="3774.16"/>
    <s v="Net Banking"/>
    <s v="Repeat Customer"/>
  </r>
  <r>
    <n v="10372"/>
    <s v="CUST135"/>
    <d v="2025-02-22T00:00:00"/>
    <s v="Home"/>
    <x v="2"/>
    <n v="8"/>
    <x v="371"/>
    <n v="591.12"/>
    <s v="Net Banking"/>
    <s v="Repeat Customer"/>
  </r>
  <r>
    <n v="10373"/>
    <s v="CUST178"/>
    <d v="2025-03-09T00:00:00"/>
    <s v="Sports"/>
    <x v="3"/>
    <n v="7"/>
    <x v="372"/>
    <n v="291.27"/>
    <s v="Wallet"/>
    <s v="Repeat Customer"/>
  </r>
  <r>
    <n v="10374"/>
    <s v="CUST373"/>
    <d v="2025-06-02T00:00:00"/>
    <s v="Home"/>
    <x v="0"/>
    <n v="7"/>
    <x v="373"/>
    <n v="1918.7"/>
    <s v="Credit Card"/>
    <s v="Repeat Customer"/>
  </r>
  <r>
    <n v="10375"/>
    <s v="CUST227"/>
    <d v="2025-11-04T00:00:00"/>
    <s v="Sports"/>
    <x v="0"/>
    <n v="6"/>
    <x v="374"/>
    <n v="524.04"/>
    <s v="Wallet"/>
    <s v="Repeat Customer"/>
  </r>
  <r>
    <n v="10376"/>
    <s v="CUST269"/>
    <d v="2025-03-16T00:00:00"/>
    <s v="Home"/>
    <x v="2"/>
    <n v="2"/>
    <x v="375"/>
    <n v="20.440000000000001"/>
    <s v="UPI"/>
    <s v="Repeat Customer"/>
  </r>
  <r>
    <n v="10377"/>
    <s v="CUST328"/>
    <d v="2025-01-18T00:00:00"/>
    <s v="Sports"/>
    <x v="2"/>
    <n v="7"/>
    <x v="376"/>
    <n v="1639.54"/>
    <s v="Net Banking"/>
    <s v="Repeat Customer"/>
  </r>
  <r>
    <n v="10378"/>
    <s v="CUST112"/>
    <d v="2025-05-09T00:00:00"/>
    <s v="Electronics"/>
    <x v="0"/>
    <n v="2"/>
    <x v="377"/>
    <n v="302.48"/>
    <s v="UPI"/>
    <s v="Repeat Customer"/>
  </r>
  <r>
    <n v="10379"/>
    <s v="CUST278"/>
    <d v="2024-11-15T00:00:00"/>
    <s v="Fashion"/>
    <x v="3"/>
    <n v="6"/>
    <x v="378"/>
    <n v="1382.34"/>
    <s v="Net Banking"/>
    <s v="Repeat Customer"/>
  </r>
  <r>
    <n v="10380"/>
    <s v="CUST343"/>
    <d v="2024-04-09T00:00:00"/>
    <s v="Beauty"/>
    <x v="1"/>
    <n v="8"/>
    <x v="379"/>
    <n v="2899.12"/>
    <s v="Credit Card"/>
    <s v="Repeat Customer"/>
  </r>
  <r>
    <n v="10381"/>
    <s v="CUST253"/>
    <d v="2024-02-15T00:00:00"/>
    <s v="Home"/>
    <x v="0"/>
    <n v="2"/>
    <x v="380"/>
    <n v="32.36"/>
    <s v="UPI"/>
    <s v="Repeat Customer"/>
  </r>
  <r>
    <n v="10382"/>
    <s v="CUST224"/>
    <d v="2025-06-12T00:00:00"/>
    <s v="Home"/>
    <x v="3"/>
    <n v="3"/>
    <x v="381"/>
    <n v="834.6"/>
    <s v="Wallet"/>
    <s v="Repeat Customer"/>
  </r>
  <r>
    <n v="10383"/>
    <s v="CUST218"/>
    <d v="2025-02-18T00:00:00"/>
    <s v="Beauty"/>
    <x v="3"/>
    <n v="3"/>
    <x v="382"/>
    <n v="291.77999999999997"/>
    <s v="Credit Card"/>
    <s v="Repeat Customer"/>
  </r>
  <r>
    <n v="10384"/>
    <s v="CUST201"/>
    <d v="2025-04-05T00:00:00"/>
    <s v="Electronics"/>
    <x v="2"/>
    <n v="10"/>
    <x v="383"/>
    <n v="2176.3000000000002"/>
    <s v="UPI"/>
    <s v="Repeat Customer"/>
  </r>
  <r>
    <n v="10385"/>
    <s v="CUST242"/>
    <d v="2025-12-21T00:00:00"/>
    <s v="Sports"/>
    <x v="2"/>
    <n v="2"/>
    <x v="384"/>
    <n v="581.58000000000004"/>
    <s v="Net Banking"/>
    <s v="Repeat Customer"/>
  </r>
  <r>
    <n v="10386"/>
    <s v="CUST266"/>
    <d v="2024-07-20T00:00:00"/>
    <s v="Beauty"/>
    <x v="1"/>
    <n v="8"/>
    <x v="385"/>
    <n v="491.28"/>
    <s v="Wallet"/>
    <s v="Repeat Customer"/>
  </r>
  <r>
    <n v="10387"/>
    <s v="CUST300"/>
    <d v="2025-08-24T00:00:00"/>
    <s v="Beauty"/>
    <x v="2"/>
    <n v="2"/>
    <x v="386"/>
    <n v="354.44"/>
    <s v="Net Banking"/>
    <s v="Repeat Customer"/>
  </r>
  <r>
    <n v="10388"/>
    <s v="CUST143"/>
    <d v="2025-11-19T00:00:00"/>
    <s v="Fashion"/>
    <x v="1"/>
    <n v="3"/>
    <x v="387"/>
    <n v="480.09"/>
    <s v="Credit Card"/>
    <s v="Repeat Customer"/>
  </r>
  <r>
    <n v="10389"/>
    <s v="CUST193"/>
    <d v="2025-01-17T00:00:00"/>
    <s v="Beauty"/>
    <x v="2"/>
    <n v="3"/>
    <x v="388"/>
    <n v="773.58"/>
    <s v="Wallet"/>
    <s v="Repeat Customer"/>
  </r>
  <r>
    <n v="10390"/>
    <s v="CUST316"/>
    <d v="2024-07-09T00:00:00"/>
    <s v="Fashion"/>
    <x v="2"/>
    <n v="8"/>
    <x v="389"/>
    <n v="2556.56"/>
    <s v="Wallet"/>
    <s v="Repeat Customer"/>
  </r>
  <r>
    <n v="10391"/>
    <s v="CUST247"/>
    <d v="2024-05-23T00:00:00"/>
    <s v="Beauty"/>
    <x v="0"/>
    <n v="3"/>
    <x v="390"/>
    <n v="482.16"/>
    <s v="Net Banking"/>
    <s v="Repeat Customer"/>
  </r>
  <r>
    <n v="10392"/>
    <s v="CUST104"/>
    <d v="2025-05-11T00:00:00"/>
    <s v="Beauty"/>
    <x v="3"/>
    <n v="3"/>
    <x v="391"/>
    <n v="304.77"/>
    <s v="Wallet"/>
    <s v="Repeat Customer"/>
  </r>
  <r>
    <n v="10393"/>
    <s v="CUST351"/>
    <d v="2025-03-01T00:00:00"/>
    <s v="Electronics"/>
    <x v="0"/>
    <n v="8"/>
    <x v="392"/>
    <n v="1975.28"/>
    <s v="UPI"/>
    <s v="Repeat Customer"/>
  </r>
  <r>
    <n v="10394"/>
    <s v="CUST249"/>
    <d v="2024-02-03T00:00:00"/>
    <s v="Home"/>
    <x v="2"/>
    <n v="5"/>
    <x v="393"/>
    <n v="581.5"/>
    <s v="Wallet"/>
    <s v="Repeat Customer"/>
  </r>
  <r>
    <n v="10395"/>
    <s v="CUST389"/>
    <d v="2025-05-22T00:00:00"/>
    <s v="Sports"/>
    <x v="0"/>
    <n v="9"/>
    <x v="394"/>
    <n v="2320.65"/>
    <s v="Net Banking"/>
    <s v="Repeat Customer"/>
  </r>
  <r>
    <n v="10396"/>
    <s v="CUST378"/>
    <d v="2025-01-10T00:00:00"/>
    <s v="Electronics"/>
    <x v="3"/>
    <n v="9"/>
    <x v="395"/>
    <n v="3709.71"/>
    <s v="UPI"/>
    <s v="Repeat Customer"/>
  </r>
  <r>
    <n v="10397"/>
    <s v="CUST317"/>
    <d v="2024-04-14T00:00:00"/>
    <s v="Electronics"/>
    <x v="3"/>
    <n v="4"/>
    <x v="396"/>
    <n v="609.48"/>
    <s v="Net Banking"/>
    <s v="Repeat Customer"/>
  </r>
  <r>
    <n v="10398"/>
    <s v="CUST278"/>
    <d v="2024-03-30T00:00:00"/>
    <s v="Electronics"/>
    <x v="2"/>
    <n v="8"/>
    <x v="397"/>
    <n v="3466.56"/>
    <s v="UPI"/>
    <s v="Repeat Customer"/>
  </r>
  <r>
    <n v="10399"/>
    <s v="CUST279"/>
    <d v="2025-12-28T00:00:00"/>
    <s v="Fashion"/>
    <x v="2"/>
    <n v="10"/>
    <x v="398"/>
    <n v="3182.2"/>
    <s v="UPI"/>
    <s v="Repeat Customer"/>
  </r>
  <r>
    <n v="10400"/>
    <s v="CUST205"/>
    <d v="2024-03-01T00:00:00"/>
    <s v="Home"/>
    <x v="2"/>
    <n v="10"/>
    <x v="399"/>
    <n v="1786.5"/>
    <s v="Net Banking"/>
    <s v="Repeat Customer"/>
  </r>
  <r>
    <n v="10401"/>
    <s v="CUST249"/>
    <d v="2024-10-23T00:00:00"/>
    <s v="Sports"/>
    <x v="0"/>
    <n v="10"/>
    <x v="400"/>
    <n v="1373.3"/>
    <s v="UPI"/>
    <s v="Repeat Customer"/>
  </r>
  <r>
    <n v="10402"/>
    <s v="CUST310"/>
    <d v="2024-03-01T00:00:00"/>
    <s v="Fashion"/>
    <x v="2"/>
    <n v="5"/>
    <x v="401"/>
    <n v="2170.9499999999998"/>
    <s v="UPI"/>
    <s v="Repeat Customer"/>
  </r>
  <r>
    <n v="10403"/>
    <s v="CUST174"/>
    <d v="2025-12-29T00:00:00"/>
    <s v="Beauty"/>
    <x v="3"/>
    <n v="6"/>
    <x v="402"/>
    <n v="2490.6"/>
    <s v="UPI"/>
    <s v="Repeat Customer"/>
  </r>
  <r>
    <n v="10404"/>
    <s v="CUST395"/>
    <d v="2025-10-09T00:00:00"/>
    <s v="Beauty"/>
    <x v="3"/>
    <n v="5"/>
    <x v="403"/>
    <n v="1578.85"/>
    <s v="Credit Card"/>
    <s v="Repeat Customer"/>
  </r>
  <r>
    <n v="10405"/>
    <s v="CUST147"/>
    <d v="2025-02-16T00:00:00"/>
    <s v="Home"/>
    <x v="3"/>
    <n v="9"/>
    <x v="404"/>
    <n v="3385.35"/>
    <s v="Wallet"/>
    <s v="Repeat Customer"/>
  </r>
  <r>
    <n v="10406"/>
    <s v="CUST267"/>
    <d v="2025-08-18T00:00:00"/>
    <s v="Electronics"/>
    <x v="3"/>
    <n v="1"/>
    <x v="405"/>
    <n v="435.11"/>
    <s v="Net Banking"/>
    <s v="Repeat Customer"/>
  </r>
  <r>
    <n v="10407"/>
    <s v="CUST132"/>
    <d v="2025-07-01T00:00:00"/>
    <s v="Beauty"/>
    <x v="2"/>
    <n v="7"/>
    <x v="406"/>
    <n v="789.81"/>
    <s v="Wallet"/>
    <s v="Repeat Customer"/>
  </r>
  <r>
    <n v="10408"/>
    <s v="CUST237"/>
    <d v="2024-11-26T00:00:00"/>
    <s v="Sports"/>
    <x v="2"/>
    <n v="5"/>
    <x v="407"/>
    <n v="860.95"/>
    <s v="Wallet"/>
    <s v="Repeat Customer"/>
  </r>
  <r>
    <n v="10409"/>
    <s v="CUST275"/>
    <d v="2025-11-29T00:00:00"/>
    <s v="Beauty"/>
    <x v="0"/>
    <n v="1"/>
    <x v="408"/>
    <n v="27.74"/>
    <s v="Credit Card"/>
    <s v="Repeat Customer"/>
  </r>
  <r>
    <n v="10410"/>
    <s v="CUST180"/>
    <d v="2025-03-27T00:00:00"/>
    <s v="Beauty"/>
    <x v="2"/>
    <n v="8"/>
    <x v="409"/>
    <n v="42.64"/>
    <s v="UPI"/>
    <s v="Repeat Customer"/>
  </r>
  <r>
    <n v="10411"/>
    <s v="CUST254"/>
    <d v="2024-06-11T00:00:00"/>
    <s v="Home"/>
    <x v="1"/>
    <n v="5"/>
    <x v="410"/>
    <n v="256"/>
    <s v="Credit Card"/>
    <s v="Repeat Customer"/>
  </r>
  <r>
    <n v="10412"/>
    <s v="CUST290"/>
    <d v="2025-11-11T00:00:00"/>
    <s v="Home"/>
    <x v="2"/>
    <n v="3"/>
    <x v="411"/>
    <n v="91.89"/>
    <s v="Wallet"/>
    <s v="Repeat Customer"/>
  </r>
  <r>
    <n v="10413"/>
    <s v="CUST146"/>
    <d v="2025-12-21T00:00:00"/>
    <s v="Beauty"/>
    <x v="0"/>
    <n v="2"/>
    <x v="412"/>
    <n v="11.08"/>
    <s v="UPI"/>
    <s v="Repeat Customer"/>
  </r>
  <r>
    <n v="10414"/>
    <s v="CUST215"/>
    <d v="2025-06-15T00:00:00"/>
    <s v="Home"/>
    <x v="0"/>
    <n v="8"/>
    <x v="413"/>
    <n v="76.8"/>
    <s v="Wallet"/>
    <s v="Repeat Customer"/>
  </r>
  <r>
    <n v="10415"/>
    <s v="CUST167"/>
    <d v="2025-05-04T00:00:00"/>
    <s v="Electronics"/>
    <x v="0"/>
    <n v="2"/>
    <x v="414"/>
    <n v="236.66"/>
    <s v="Credit Card"/>
    <s v="Repeat Customer"/>
  </r>
  <r>
    <n v="10416"/>
    <s v="CUST260"/>
    <d v="2025-01-11T00:00:00"/>
    <s v="Fashion"/>
    <x v="2"/>
    <n v="5"/>
    <x v="415"/>
    <n v="364.4"/>
    <s v="Credit Card"/>
    <s v="Repeat Customer"/>
  </r>
  <r>
    <n v="10417"/>
    <s v="CUST371"/>
    <d v="2025-07-30T00:00:00"/>
    <s v="Fashion"/>
    <x v="3"/>
    <n v="1"/>
    <x v="416"/>
    <n v="307.11"/>
    <s v="Net Banking"/>
    <s v="Repeat Customer"/>
  </r>
  <r>
    <n v="10418"/>
    <s v="CUST209"/>
    <d v="2025-10-05T00:00:00"/>
    <s v="Sports"/>
    <x v="3"/>
    <n v="3"/>
    <x v="417"/>
    <n v="1381.05"/>
    <s v="UPI"/>
    <s v="Repeat Customer"/>
  </r>
  <r>
    <n v="10419"/>
    <s v="CUST144"/>
    <d v="2024-04-12T00:00:00"/>
    <s v="Sports"/>
    <x v="3"/>
    <n v="3"/>
    <x v="418"/>
    <n v="1132.3800000000001"/>
    <s v="Net Banking"/>
    <s v="Repeat Customer"/>
  </r>
  <r>
    <n v="10420"/>
    <s v="CUST319"/>
    <d v="2024-11-18T00:00:00"/>
    <s v="Electronics"/>
    <x v="2"/>
    <n v="3"/>
    <x v="419"/>
    <n v="382.95"/>
    <s v="Net Banking"/>
    <s v="Repeat Customer"/>
  </r>
  <r>
    <n v="10421"/>
    <s v="CUST113"/>
    <d v="2025-11-05T00:00:00"/>
    <s v="Sports"/>
    <x v="2"/>
    <n v="5"/>
    <x v="420"/>
    <n v="533.5"/>
    <s v="Wallet"/>
    <s v="Repeat Customer"/>
  </r>
  <r>
    <n v="10422"/>
    <s v="CUST251"/>
    <d v="2025-10-23T00:00:00"/>
    <s v="Fashion"/>
    <x v="3"/>
    <n v="1"/>
    <x v="421"/>
    <n v="392.98"/>
    <s v="Wallet"/>
    <s v="Repeat Customer"/>
  </r>
  <r>
    <n v="10423"/>
    <s v="CUST157"/>
    <d v="2024-09-03T00:00:00"/>
    <s v="Electronics"/>
    <x v="0"/>
    <n v="8"/>
    <x v="422"/>
    <n v="2566.8000000000002"/>
    <s v="Net Banking"/>
    <s v="Repeat Customer"/>
  </r>
  <r>
    <n v="10424"/>
    <s v="CUST262"/>
    <d v="2024-05-15T00:00:00"/>
    <s v="Sports"/>
    <x v="3"/>
    <n v="7"/>
    <x v="423"/>
    <n v="3017.7"/>
    <s v="Net Banking"/>
    <s v="Repeat Customer"/>
  </r>
  <r>
    <n v="10425"/>
    <s v="CUST379"/>
    <d v="2025-11-30T00:00:00"/>
    <s v="Electronics"/>
    <x v="0"/>
    <n v="3"/>
    <x v="424"/>
    <n v="1147.6500000000001"/>
    <s v="Credit Card"/>
    <s v="Repeat Customer"/>
  </r>
  <r>
    <n v="10426"/>
    <s v="CUST107"/>
    <d v="2024-09-25T00:00:00"/>
    <s v="Electronics"/>
    <x v="3"/>
    <n v="4"/>
    <x v="425"/>
    <n v="98.84"/>
    <s v="Net Banking"/>
    <s v="Repeat Customer"/>
  </r>
  <r>
    <n v="10427"/>
    <s v="CUST356"/>
    <d v="2025-03-01T00:00:00"/>
    <s v="Electronics"/>
    <x v="2"/>
    <n v="7"/>
    <x v="426"/>
    <n v="2466.8000000000002"/>
    <s v="Net Banking"/>
    <s v="Repeat Customer"/>
  </r>
  <r>
    <n v="10428"/>
    <s v="CUST142"/>
    <d v="2024-11-13T00:00:00"/>
    <s v="Fashion"/>
    <x v="2"/>
    <n v="2"/>
    <x v="427"/>
    <n v="516.20000000000005"/>
    <s v="Net Banking"/>
    <s v="Repeat Customer"/>
  </r>
  <r>
    <n v="10429"/>
    <s v="CUST300"/>
    <d v="2025-08-23T00:00:00"/>
    <s v="Beauty"/>
    <x v="2"/>
    <n v="2"/>
    <x v="428"/>
    <n v="317.06"/>
    <s v="Credit Card"/>
    <s v="Repeat Customer"/>
  </r>
  <r>
    <n v="10430"/>
    <s v="CUST225"/>
    <d v="2024-03-29T00:00:00"/>
    <s v="Sports"/>
    <x v="0"/>
    <n v="7"/>
    <x v="429"/>
    <n v="436.87"/>
    <s v="Net Banking"/>
    <s v="Repeat Customer"/>
  </r>
  <r>
    <n v="10431"/>
    <s v="CUST189"/>
    <d v="2024-05-02T00:00:00"/>
    <s v="Electronics"/>
    <x v="2"/>
    <n v="1"/>
    <x v="430"/>
    <n v="355.41"/>
    <s v="Wallet"/>
    <s v="Repeat Customer"/>
  </r>
  <r>
    <n v="10432"/>
    <s v="CUST277"/>
    <d v="2025-06-19T00:00:00"/>
    <s v="Home"/>
    <x v="2"/>
    <n v="9"/>
    <x v="431"/>
    <n v="3533.22"/>
    <s v="Net Banking"/>
    <s v="Repeat Customer"/>
  </r>
  <r>
    <n v="10433"/>
    <s v="CUST164"/>
    <d v="2024-10-02T00:00:00"/>
    <s v="Electronics"/>
    <x v="1"/>
    <n v="2"/>
    <x v="432"/>
    <n v="773.72"/>
    <s v="Wallet"/>
    <s v="Repeat Customer"/>
  </r>
  <r>
    <n v="10434"/>
    <s v="CUST239"/>
    <d v="2025-06-20T00:00:00"/>
    <s v="Sports"/>
    <x v="0"/>
    <n v="2"/>
    <x v="433"/>
    <n v="270.32"/>
    <s v="Wallet"/>
    <s v="Repeat Customer"/>
  </r>
  <r>
    <n v="10435"/>
    <s v="CUST333"/>
    <d v="2025-06-07T00:00:00"/>
    <s v="Sports"/>
    <x v="2"/>
    <n v="6"/>
    <x v="434"/>
    <n v="194.64"/>
    <s v="Net Banking"/>
    <s v="Repeat Customer"/>
  </r>
  <r>
    <n v="10436"/>
    <s v="CUST180"/>
    <d v="2024-09-18T00:00:00"/>
    <s v="Electronics"/>
    <x v="2"/>
    <n v="2"/>
    <x v="435"/>
    <n v="895.32"/>
    <s v="Credit Card"/>
    <s v="Repeat Customer"/>
  </r>
  <r>
    <n v="10437"/>
    <s v="CUST122"/>
    <d v="2024-01-13T00:00:00"/>
    <s v="Home"/>
    <x v="3"/>
    <n v="4"/>
    <x v="436"/>
    <n v="111.04"/>
    <s v="UPI"/>
    <s v="Repeat Customer"/>
  </r>
  <r>
    <n v="10438"/>
    <s v="CUST191"/>
    <d v="2024-02-06T00:00:00"/>
    <s v="Beauty"/>
    <x v="2"/>
    <n v="9"/>
    <x v="437"/>
    <n v="3622.86"/>
    <s v="Net Banking"/>
    <s v="Repeat Customer"/>
  </r>
  <r>
    <n v="10439"/>
    <s v="CUST227"/>
    <d v="2025-03-02T00:00:00"/>
    <s v="Electronics"/>
    <x v="1"/>
    <n v="6"/>
    <x v="438"/>
    <n v="835.62"/>
    <s v="Credit Card"/>
    <s v="Repeat Customer"/>
  </r>
  <r>
    <n v="10440"/>
    <s v="CUST357"/>
    <d v="2025-11-20T00:00:00"/>
    <s v="Sports"/>
    <x v="0"/>
    <n v="1"/>
    <x v="350"/>
    <n v="93.78"/>
    <s v="Wallet"/>
    <s v="Repeat Customer"/>
  </r>
  <r>
    <n v="10441"/>
    <s v="CUST135"/>
    <d v="2025-04-21T00:00:00"/>
    <s v="Home"/>
    <x v="1"/>
    <n v="5"/>
    <x v="439"/>
    <n v="1939.5"/>
    <s v="Credit Card"/>
    <s v="Repeat Customer"/>
  </r>
  <r>
    <n v="10442"/>
    <s v="CUST383"/>
    <d v="2025-04-12T00:00:00"/>
    <s v="Home"/>
    <x v="1"/>
    <n v="1"/>
    <x v="440"/>
    <n v="187.62"/>
    <s v="UPI"/>
    <s v="Repeat Customer"/>
  </r>
  <r>
    <n v="10443"/>
    <s v="CUST337"/>
    <d v="2025-01-12T00:00:00"/>
    <s v="Fashion"/>
    <x v="2"/>
    <n v="10"/>
    <x v="441"/>
    <n v="4860.7"/>
    <s v="UPI"/>
    <s v="Repeat Customer"/>
  </r>
  <r>
    <n v="10444"/>
    <s v="CUST103"/>
    <d v="2025-02-23T00:00:00"/>
    <s v="Home"/>
    <x v="0"/>
    <n v="1"/>
    <x v="442"/>
    <n v="120.33"/>
    <s v="Net Banking"/>
    <s v="Repeat Customer"/>
  </r>
  <r>
    <n v="10445"/>
    <s v="CUST100"/>
    <d v="2025-11-04T00:00:00"/>
    <s v="Home"/>
    <x v="0"/>
    <n v="7"/>
    <x v="443"/>
    <n v="2976.82"/>
    <s v="UPI"/>
    <s v="Repeat Customer"/>
  </r>
  <r>
    <n v="10446"/>
    <s v="CUST371"/>
    <d v="2024-08-31T00:00:00"/>
    <s v="Electronics"/>
    <x v="2"/>
    <n v="7"/>
    <x v="444"/>
    <n v="1739.85"/>
    <s v="Net Banking"/>
    <s v="Repeat Customer"/>
  </r>
  <r>
    <n v="10447"/>
    <s v="CUST147"/>
    <d v="2024-02-14T00:00:00"/>
    <s v="Sports"/>
    <x v="3"/>
    <n v="4"/>
    <x v="445"/>
    <n v="1796.64"/>
    <s v="Net Banking"/>
    <s v="Repeat Customer"/>
  </r>
  <r>
    <n v="10448"/>
    <s v="CUST334"/>
    <d v="2024-03-27T00:00:00"/>
    <s v="Fashion"/>
    <x v="3"/>
    <n v="10"/>
    <x v="446"/>
    <n v="523.1"/>
    <s v="Credit Card"/>
    <s v="Repeat Customer"/>
  </r>
  <r>
    <n v="10449"/>
    <s v="CUST390"/>
    <d v="2024-03-04T00:00:00"/>
    <s v="Fashion"/>
    <x v="2"/>
    <n v="7"/>
    <x v="447"/>
    <n v="2330.37"/>
    <s v="Net Banking"/>
    <s v="Repeat Customer"/>
  </r>
  <r>
    <n v="10450"/>
    <s v="CUST233"/>
    <d v="2024-11-18T00:00:00"/>
    <s v="Home"/>
    <x v="1"/>
    <n v="7"/>
    <x v="448"/>
    <n v="2463.02"/>
    <s v="Wallet"/>
    <s v="Repeat Customer"/>
  </r>
  <r>
    <n v="10451"/>
    <s v="CUST239"/>
    <d v="2024-08-27T00:00:00"/>
    <s v="Fashion"/>
    <x v="0"/>
    <n v="2"/>
    <x v="449"/>
    <n v="944.12"/>
    <s v="UPI"/>
    <s v="Repeat Customer"/>
  </r>
  <r>
    <n v="10452"/>
    <s v="CUST154"/>
    <d v="2024-06-17T00:00:00"/>
    <s v="Beauty"/>
    <x v="0"/>
    <n v="8"/>
    <x v="450"/>
    <n v="1885.6"/>
    <s v="Net Banking"/>
    <s v="Repeat Customer"/>
  </r>
  <r>
    <n v="10453"/>
    <s v="CUST206"/>
    <d v="2025-04-07T00:00:00"/>
    <s v="Electronics"/>
    <x v="0"/>
    <n v="5"/>
    <x v="451"/>
    <n v="1171.8"/>
    <s v="UPI"/>
    <s v="Repeat Customer"/>
  </r>
  <r>
    <n v="10454"/>
    <s v="CUST255"/>
    <d v="2025-12-22T00:00:00"/>
    <s v="Home"/>
    <x v="2"/>
    <n v="10"/>
    <x v="452"/>
    <n v="249.6"/>
    <s v="Credit Card"/>
    <s v="Repeat Customer"/>
  </r>
  <r>
    <n v="10455"/>
    <s v="CUST227"/>
    <d v="2024-12-30T00:00:00"/>
    <s v="Home"/>
    <x v="1"/>
    <n v="7"/>
    <x v="453"/>
    <n v="1814.12"/>
    <s v="UPI"/>
    <s v="Repeat Customer"/>
  </r>
  <r>
    <n v="10456"/>
    <s v="CUST115"/>
    <d v="2025-02-18T00:00:00"/>
    <s v="Sports"/>
    <x v="2"/>
    <n v="8"/>
    <x v="454"/>
    <n v="2241.6"/>
    <s v="Credit Card"/>
    <s v="Repeat Customer"/>
  </r>
  <r>
    <n v="10457"/>
    <s v="CUST336"/>
    <d v="2024-04-14T00:00:00"/>
    <s v="Electronics"/>
    <x v="2"/>
    <n v="3"/>
    <x v="455"/>
    <n v="195.36"/>
    <s v="UPI"/>
    <s v="Repeat Customer"/>
  </r>
  <r>
    <n v="10458"/>
    <s v="CUST201"/>
    <d v="2025-02-14T00:00:00"/>
    <s v="Electronics"/>
    <x v="1"/>
    <n v="6"/>
    <x v="456"/>
    <n v="2068.2600000000002"/>
    <s v="Credit Card"/>
    <s v="Repeat Customer"/>
  </r>
  <r>
    <n v="10459"/>
    <s v="CUST111"/>
    <d v="2024-03-07T00:00:00"/>
    <s v="Beauty"/>
    <x v="2"/>
    <n v="4"/>
    <x v="457"/>
    <n v="1806.96"/>
    <s v="Credit Card"/>
    <s v="Repeat Customer"/>
  </r>
  <r>
    <n v="10460"/>
    <s v="CUST269"/>
    <d v="2024-05-05T00:00:00"/>
    <s v="Electronics"/>
    <x v="2"/>
    <n v="1"/>
    <x v="458"/>
    <n v="471.43"/>
    <s v="Wallet"/>
    <s v="Repeat Customer"/>
  </r>
  <r>
    <n v="10461"/>
    <s v="CUST302"/>
    <d v="2025-05-23T00:00:00"/>
    <s v="Beauty"/>
    <x v="2"/>
    <n v="1"/>
    <x v="459"/>
    <n v="194.45"/>
    <s v="Net Banking"/>
    <s v="Repeat Customer"/>
  </r>
  <r>
    <n v="10462"/>
    <s v="CUST209"/>
    <d v="2024-07-10T00:00:00"/>
    <s v="Fashion"/>
    <x v="0"/>
    <n v="5"/>
    <x v="460"/>
    <n v="717.65"/>
    <s v="UPI"/>
    <s v="Repeat Customer"/>
  </r>
  <r>
    <n v="10463"/>
    <s v="CUST251"/>
    <d v="2025-05-25T00:00:00"/>
    <s v="Beauty"/>
    <x v="0"/>
    <n v="7"/>
    <x v="461"/>
    <n v="3093.86"/>
    <s v="Credit Card"/>
    <s v="Repeat Customer"/>
  </r>
  <r>
    <n v="10464"/>
    <s v="CUST243"/>
    <d v="2025-01-27T00:00:00"/>
    <s v="Sports"/>
    <x v="2"/>
    <n v="3"/>
    <x v="462"/>
    <n v="637.55999999999995"/>
    <s v="Credit Card"/>
    <s v="Repeat Customer"/>
  </r>
  <r>
    <n v="10465"/>
    <s v="CUST295"/>
    <d v="2025-12-31T00:00:00"/>
    <s v="Beauty"/>
    <x v="1"/>
    <n v="6"/>
    <x v="463"/>
    <n v="1454.64"/>
    <s v="Net Banking"/>
    <s v="Repeat Customer"/>
  </r>
  <r>
    <n v="10466"/>
    <s v="CUST298"/>
    <d v="2024-10-03T00:00:00"/>
    <s v="Sports"/>
    <x v="2"/>
    <n v="3"/>
    <x v="464"/>
    <n v="53.7"/>
    <s v="Credit Card"/>
    <s v="Repeat Customer"/>
  </r>
  <r>
    <n v="10467"/>
    <s v="CUST243"/>
    <d v="2024-02-29T00:00:00"/>
    <s v="Sports"/>
    <x v="2"/>
    <n v="8"/>
    <x v="465"/>
    <n v="2136.56"/>
    <s v="UPI"/>
    <s v="Repeat Customer"/>
  </r>
  <r>
    <n v="10468"/>
    <s v="CUST151"/>
    <d v="2024-09-10T00:00:00"/>
    <s v="Electronics"/>
    <x v="2"/>
    <n v="4"/>
    <x v="466"/>
    <n v="547.72"/>
    <s v="Wallet"/>
    <s v="Repeat Customer"/>
  </r>
  <r>
    <n v="10469"/>
    <s v="CUST281"/>
    <d v="2024-06-26T00:00:00"/>
    <s v="Home"/>
    <x v="1"/>
    <n v="3"/>
    <x v="467"/>
    <n v="366.27"/>
    <s v="Credit Card"/>
    <s v="Repeat Customer"/>
  </r>
  <r>
    <n v="10470"/>
    <s v="CUST280"/>
    <d v="2025-08-04T00:00:00"/>
    <s v="Fashion"/>
    <x v="3"/>
    <n v="10"/>
    <x v="468"/>
    <n v="753.4"/>
    <s v="Net Banking"/>
    <s v="Repeat Customer"/>
  </r>
  <r>
    <n v="10471"/>
    <s v="CUST189"/>
    <d v="2025-05-17T00:00:00"/>
    <s v="Fashion"/>
    <x v="2"/>
    <n v="1"/>
    <x v="469"/>
    <n v="49.68"/>
    <s v="Credit Card"/>
    <s v="Repeat Customer"/>
  </r>
  <r>
    <n v="10472"/>
    <s v="CUST369"/>
    <d v="2025-05-04T00:00:00"/>
    <s v="Sports"/>
    <x v="2"/>
    <n v="1"/>
    <x v="352"/>
    <n v="169.21"/>
    <s v="UPI"/>
    <s v="Repeat Customer"/>
  </r>
  <r>
    <n v="10473"/>
    <s v="CUST274"/>
    <d v="2024-06-30T00:00:00"/>
    <s v="Fashion"/>
    <x v="2"/>
    <n v="6"/>
    <x v="470"/>
    <n v="206.88"/>
    <s v="Credit Card"/>
    <s v="Repeat Customer"/>
  </r>
  <r>
    <n v="10474"/>
    <s v="CUST369"/>
    <d v="2025-01-08T00:00:00"/>
    <s v="Beauty"/>
    <x v="0"/>
    <n v="2"/>
    <x v="471"/>
    <n v="379.86"/>
    <s v="Net Banking"/>
    <s v="Repeat Customer"/>
  </r>
  <r>
    <n v="10475"/>
    <s v="CUST254"/>
    <d v="2024-11-26T00:00:00"/>
    <s v="Beauty"/>
    <x v="3"/>
    <n v="3"/>
    <x v="472"/>
    <n v="1464.15"/>
    <s v="Net Banking"/>
    <s v="Repeat Customer"/>
  </r>
  <r>
    <n v="10476"/>
    <s v="CUST189"/>
    <d v="2025-12-25T00:00:00"/>
    <s v="Sports"/>
    <x v="1"/>
    <n v="9"/>
    <x v="473"/>
    <n v="3134.79"/>
    <s v="UPI"/>
    <s v="Repeat Customer"/>
  </r>
  <r>
    <n v="10477"/>
    <s v="CUST189"/>
    <d v="2025-01-22T00:00:00"/>
    <s v="Home"/>
    <x v="2"/>
    <n v="5"/>
    <x v="474"/>
    <n v="1841.65"/>
    <s v="UPI"/>
    <s v="Repeat Customer"/>
  </r>
  <r>
    <n v="10478"/>
    <s v="CUST100"/>
    <d v="2025-12-19T00:00:00"/>
    <s v="Sports"/>
    <x v="0"/>
    <n v="10"/>
    <x v="475"/>
    <n v="1988.4"/>
    <s v="UPI"/>
    <s v="Repeat Customer"/>
  </r>
  <r>
    <n v="10479"/>
    <s v="CUST262"/>
    <d v="2025-09-18T00:00:00"/>
    <s v="Electronics"/>
    <x v="3"/>
    <n v="4"/>
    <x v="476"/>
    <n v="1286.52"/>
    <s v="UPI"/>
    <s v="Repeat Customer"/>
  </r>
  <r>
    <n v="10480"/>
    <s v="CUST269"/>
    <d v="2024-03-20T00:00:00"/>
    <s v="Home"/>
    <x v="2"/>
    <n v="4"/>
    <x v="477"/>
    <n v="706.68"/>
    <s v="Credit Card"/>
    <s v="Repeat Customer"/>
  </r>
  <r>
    <n v="10481"/>
    <s v="CUST271"/>
    <d v="2025-04-02T00:00:00"/>
    <s v="Fashion"/>
    <x v="0"/>
    <n v="1"/>
    <x v="33"/>
    <n v="136.28"/>
    <s v="Net Banking"/>
    <s v="Repeat Customer"/>
  </r>
  <r>
    <n v="10482"/>
    <s v="CUST231"/>
    <d v="2024-04-20T00:00:00"/>
    <s v="Beauty"/>
    <x v="3"/>
    <n v="1"/>
    <x v="478"/>
    <n v="28.83"/>
    <s v="UPI"/>
    <s v="Repeat Customer"/>
  </r>
  <r>
    <n v="10483"/>
    <s v="CUST311"/>
    <d v="2025-05-19T00:00:00"/>
    <s v="Beauty"/>
    <x v="0"/>
    <n v="7"/>
    <x v="479"/>
    <n v="1252.02"/>
    <s v="Wallet"/>
    <s v="Repeat Customer"/>
  </r>
  <r>
    <n v="10484"/>
    <s v="CUST395"/>
    <d v="2025-10-28T00:00:00"/>
    <s v="Electronics"/>
    <x v="0"/>
    <n v="4"/>
    <x v="480"/>
    <n v="342.04"/>
    <s v="Net Banking"/>
    <s v="Repeat Customer"/>
  </r>
  <r>
    <n v="10485"/>
    <s v="CUST110"/>
    <d v="2024-11-22T00:00:00"/>
    <s v="Electronics"/>
    <x v="1"/>
    <n v="5"/>
    <x v="481"/>
    <n v="2380.35"/>
    <s v="UPI"/>
    <s v="Repeat Customer"/>
  </r>
  <r>
    <n v="10486"/>
    <s v="CUST292"/>
    <d v="2024-06-13T00:00:00"/>
    <s v="Electronics"/>
    <x v="1"/>
    <n v="2"/>
    <x v="482"/>
    <n v="551.58000000000004"/>
    <s v="Wallet"/>
    <s v="Repeat Customer"/>
  </r>
  <r>
    <n v="10487"/>
    <s v="CUST115"/>
    <d v="2025-03-17T00:00:00"/>
    <s v="Beauty"/>
    <x v="2"/>
    <n v="3"/>
    <x v="483"/>
    <n v="916.86"/>
    <s v="Credit Card"/>
    <s v="Repeat Customer"/>
  </r>
  <r>
    <n v="10488"/>
    <s v="CUST151"/>
    <d v="2024-12-05T00:00:00"/>
    <s v="Beauty"/>
    <x v="1"/>
    <n v="4"/>
    <x v="484"/>
    <n v="1949.32"/>
    <s v="Net Banking"/>
    <s v="Repeat Customer"/>
  </r>
  <r>
    <n v="10489"/>
    <s v="CUST252"/>
    <d v="2024-08-31T00:00:00"/>
    <s v="Sports"/>
    <x v="3"/>
    <n v="2"/>
    <x v="485"/>
    <n v="59.14"/>
    <s v="UPI"/>
    <s v="Repeat Customer"/>
  </r>
  <r>
    <n v="10490"/>
    <s v="CUST127"/>
    <d v="2025-01-04T00:00:00"/>
    <s v="Home"/>
    <x v="3"/>
    <n v="1"/>
    <x v="486"/>
    <n v="216.66"/>
    <s v="UPI"/>
    <s v="Repeat Customer"/>
  </r>
  <r>
    <n v="10491"/>
    <s v="CUST149"/>
    <d v="2024-01-27T00:00:00"/>
    <s v="Home"/>
    <x v="0"/>
    <n v="4"/>
    <x v="487"/>
    <n v="358.24"/>
    <s v="Wallet"/>
    <s v="Repeat Customer"/>
  </r>
  <r>
    <n v="10492"/>
    <s v="CUST159"/>
    <d v="2024-11-11T00:00:00"/>
    <s v="Home"/>
    <x v="0"/>
    <n v="7"/>
    <x v="488"/>
    <n v="1666.84"/>
    <s v="Wallet"/>
    <s v="Repeat Customer"/>
  </r>
  <r>
    <n v="10493"/>
    <s v="CUST194"/>
    <d v="2025-01-14T00:00:00"/>
    <s v="Beauty"/>
    <x v="0"/>
    <n v="7"/>
    <x v="489"/>
    <n v="1314.95"/>
    <s v="Net Banking"/>
    <s v="Repeat Customer"/>
  </r>
  <r>
    <n v="10494"/>
    <s v="CUST325"/>
    <d v="2025-04-21T00:00:00"/>
    <s v="Home"/>
    <x v="0"/>
    <n v="5"/>
    <x v="490"/>
    <n v="584.95000000000005"/>
    <s v="UPI"/>
    <s v="Repeat Customer"/>
  </r>
  <r>
    <n v="10495"/>
    <s v="CUST149"/>
    <d v="2024-03-28T00:00:00"/>
    <s v="Beauty"/>
    <x v="2"/>
    <n v="6"/>
    <x v="491"/>
    <n v="2430.3000000000002"/>
    <s v="Credit Card"/>
    <s v="Repeat Customer"/>
  </r>
  <r>
    <n v="10496"/>
    <s v="CUST298"/>
    <d v="2025-06-19T00:00:00"/>
    <s v="Beauty"/>
    <x v="2"/>
    <n v="7"/>
    <x v="492"/>
    <n v="3380.93"/>
    <s v="Wallet"/>
    <s v="Repeat Customer"/>
  </r>
  <r>
    <n v="10497"/>
    <s v="CUST253"/>
    <d v="2024-03-21T00:00:00"/>
    <s v="Electronics"/>
    <x v="2"/>
    <n v="7"/>
    <x v="493"/>
    <n v="3163.09"/>
    <s v="Credit Card"/>
    <s v="Repeat Customer"/>
  </r>
  <r>
    <n v="10498"/>
    <s v="CUST329"/>
    <d v="2024-06-26T00:00:00"/>
    <s v="Fashion"/>
    <x v="2"/>
    <n v="3"/>
    <x v="494"/>
    <n v="1458.66"/>
    <s v="Credit Card"/>
    <s v="Repeat Customer"/>
  </r>
  <r>
    <n v="10499"/>
    <s v="CUST316"/>
    <d v="2024-03-21T00:00:00"/>
    <s v="Fashion"/>
    <x v="1"/>
    <n v="7"/>
    <x v="495"/>
    <n v="734.65"/>
    <s v="Net Banking"/>
    <s v="Repeat Customer"/>
  </r>
  <r>
    <n v="10500"/>
    <s v="CUST134"/>
    <d v="2024-03-30T00:00:00"/>
    <s v="Sports"/>
    <x v="1"/>
    <n v="7"/>
    <x v="496"/>
    <n v="1962.8"/>
    <s v="Net Banking"/>
    <s v="Repeat Customer"/>
  </r>
  <r>
    <n v="10501"/>
    <s v="CUST366"/>
    <d v="2025-04-14T00:00:00"/>
    <s v="Sports"/>
    <x v="3"/>
    <n v="1"/>
    <x v="497"/>
    <n v="394.34"/>
    <s v="Credit Card"/>
    <s v="Repeat Customer"/>
  </r>
  <r>
    <n v="10502"/>
    <s v="CUST312"/>
    <d v="2024-06-02T00:00:00"/>
    <s v="Sports"/>
    <x v="0"/>
    <n v="3"/>
    <x v="498"/>
    <n v="856.38"/>
    <s v="Credit Card"/>
    <s v="Repeat Customer"/>
  </r>
  <r>
    <n v="10503"/>
    <s v="CUST388"/>
    <d v="2024-04-13T00:00:00"/>
    <s v="Home"/>
    <x v="3"/>
    <n v="5"/>
    <x v="499"/>
    <n v="2172"/>
    <s v="Net Banking"/>
    <s v="Repeat Customer"/>
  </r>
  <r>
    <n v="10504"/>
    <s v="CUST296"/>
    <d v="2025-11-01T00:00:00"/>
    <s v="Beauty"/>
    <x v="0"/>
    <n v="8"/>
    <x v="500"/>
    <n v="2305.1999999999998"/>
    <s v="UPI"/>
    <s v="Repeat Customer"/>
  </r>
  <r>
    <n v="10505"/>
    <s v="CUST241"/>
    <d v="2025-02-16T00:00:00"/>
    <s v="Beauty"/>
    <x v="0"/>
    <n v="3"/>
    <x v="501"/>
    <n v="933.09"/>
    <s v="Wallet"/>
    <s v="Repeat Customer"/>
  </r>
  <r>
    <n v="10506"/>
    <s v="CUST269"/>
    <d v="2025-12-08T00:00:00"/>
    <s v="Beauty"/>
    <x v="1"/>
    <n v="4"/>
    <x v="502"/>
    <n v="117.6"/>
    <s v="Net Banking"/>
    <s v="Repeat Customer"/>
  </r>
  <r>
    <n v="10507"/>
    <s v="CUST110"/>
    <d v="2024-12-11T00:00:00"/>
    <s v="Beauty"/>
    <x v="0"/>
    <n v="5"/>
    <x v="503"/>
    <n v="794.6"/>
    <s v="UPI"/>
    <s v="Repeat Customer"/>
  </r>
  <r>
    <n v="10508"/>
    <s v="CUST168"/>
    <d v="2024-11-03T00:00:00"/>
    <s v="Home"/>
    <x v="1"/>
    <n v="8"/>
    <x v="504"/>
    <n v="3105.2"/>
    <s v="Wallet"/>
    <s v="Repeat Customer"/>
  </r>
  <r>
    <n v="10509"/>
    <s v="CUST145"/>
    <d v="2024-07-11T00:00:00"/>
    <s v="Beauty"/>
    <x v="3"/>
    <n v="8"/>
    <x v="505"/>
    <n v="877.12"/>
    <s v="Net Banking"/>
    <s v="Repeat Customer"/>
  </r>
  <r>
    <n v="10510"/>
    <s v="CUST128"/>
    <d v="2025-06-11T00:00:00"/>
    <s v="Sports"/>
    <x v="3"/>
    <n v="3"/>
    <x v="506"/>
    <n v="112.44"/>
    <s v="UPI"/>
    <s v="Repeat Customer"/>
  </r>
  <r>
    <n v="10511"/>
    <s v="CUST368"/>
    <d v="2025-08-05T00:00:00"/>
    <s v="Fashion"/>
    <x v="0"/>
    <n v="1"/>
    <x v="507"/>
    <n v="91"/>
    <s v="UPI"/>
    <s v="Repeat Customer"/>
  </r>
  <r>
    <n v="10512"/>
    <s v="CUST116"/>
    <d v="2025-04-12T00:00:00"/>
    <s v="Fashion"/>
    <x v="1"/>
    <n v="1"/>
    <x v="508"/>
    <n v="459.43"/>
    <s v="Net Banking"/>
    <s v="Repeat Customer"/>
  </r>
  <r>
    <n v="10513"/>
    <s v="CUST337"/>
    <d v="2025-06-01T00:00:00"/>
    <s v="Electronics"/>
    <x v="0"/>
    <n v="7"/>
    <x v="509"/>
    <n v="2236.71"/>
    <s v="UPI"/>
    <s v="Repeat Customer"/>
  </r>
  <r>
    <n v="10514"/>
    <s v="CUST290"/>
    <d v="2025-05-15T00:00:00"/>
    <s v="Beauty"/>
    <x v="1"/>
    <n v="10"/>
    <x v="510"/>
    <n v="2258.1999999999998"/>
    <s v="Net Banking"/>
    <s v="Repeat Customer"/>
  </r>
  <r>
    <n v="10515"/>
    <s v="CUST183"/>
    <d v="2024-09-21T00:00:00"/>
    <s v="Beauty"/>
    <x v="0"/>
    <n v="2"/>
    <x v="511"/>
    <n v="292.22000000000003"/>
    <s v="UPI"/>
    <s v="Repeat Customer"/>
  </r>
  <r>
    <n v="10516"/>
    <s v="CUST392"/>
    <d v="2024-08-07T00:00:00"/>
    <s v="Fashion"/>
    <x v="1"/>
    <n v="4"/>
    <x v="512"/>
    <n v="1301.8"/>
    <s v="Wallet"/>
    <s v="Repeat Customer"/>
  </r>
  <r>
    <n v="10517"/>
    <s v="CUST362"/>
    <d v="2024-01-21T00:00:00"/>
    <s v="Fashion"/>
    <x v="2"/>
    <n v="1"/>
    <x v="513"/>
    <n v="239.68"/>
    <s v="Credit Card"/>
    <s v="Repeat Customer"/>
  </r>
  <r>
    <n v="10518"/>
    <s v="CUST214"/>
    <d v="2024-09-15T00:00:00"/>
    <s v="Home"/>
    <x v="1"/>
    <n v="10"/>
    <x v="514"/>
    <n v="4035.2"/>
    <s v="Wallet"/>
    <s v="Repeat Customer"/>
  </r>
  <r>
    <n v="10519"/>
    <s v="CUST292"/>
    <d v="2024-12-23T00:00:00"/>
    <s v="Beauty"/>
    <x v="1"/>
    <n v="8"/>
    <x v="515"/>
    <n v="1037.92"/>
    <s v="Wallet"/>
    <s v="Repeat Customer"/>
  </r>
  <r>
    <n v="10520"/>
    <s v="CUST399"/>
    <d v="2024-04-14T00:00:00"/>
    <s v="Home"/>
    <x v="1"/>
    <n v="1"/>
    <x v="516"/>
    <n v="258.2"/>
    <s v="Net Banking"/>
    <s v="Repeat Customer"/>
  </r>
  <r>
    <n v="10521"/>
    <s v="CUST155"/>
    <d v="2025-05-08T00:00:00"/>
    <s v="Home"/>
    <x v="1"/>
    <n v="2"/>
    <x v="517"/>
    <n v="342.92"/>
    <s v="Net Banking"/>
    <s v="Repeat Customer"/>
  </r>
  <r>
    <n v="10522"/>
    <s v="CUST233"/>
    <d v="2025-11-02T00:00:00"/>
    <s v="Sports"/>
    <x v="2"/>
    <n v="5"/>
    <x v="518"/>
    <n v="491.2"/>
    <s v="Credit Card"/>
    <s v="Repeat Customer"/>
  </r>
  <r>
    <n v="10523"/>
    <s v="CUST306"/>
    <d v="2025-11-07T00:00:00"/>
    <s v="Electronics"/>
    <x v="3"/>
    <n v="6"/>
    <x v="519"/>
    <n v="2051.8200000000002"/>
    <s v="Net Banking"/>
    <s v="Repeat Customer"/>
  </r>
  <r>
    <n v="10524"/>
    <s v="CUST232"/>
    <d v="2025-03-04T00:00:00"/>
    <s v="Electronics"/>
    <x v="2"/>
    <n v="7"/>
    <x v="520"/>
    <n v="1380.4"/>
    <s v="Net Banking"/>
    <s v="Repeat Customer"/>
  </r>
  <r>
    <n v="10525"/>
    <s v="CUST213"/>
    <d v="2025-12-03T00:00:00"/>
    <s v="Beauty"/>
    <x v="1"/>
    <n v="9"/>
    <x v="521"/>
    <n v="2888.73"/>
    <s v="Net Banking"/>
    <s v="Repeat Customer"/>
  </r>
  <r>
    <n v="10526"/>
    <s v="CUST187"/>
    <d v="2025-11-04T00:00:00"/>
    <s v="Electronics"/>
    <x v="3"/>
    <n v="9"/>
    <x v="522"/>
    <n v="851.94"/>
    <s v="UPI"/>
    <s v="Repeat Customer"/>
  </r>
  <r>
    <n v="10527"/>
    <s v="CUST232"/>
    <d v="2025-07-26T00:00:00"/>
    <s v="Home"/>
    <x v="0"/>
    <n v="3"/>
    <x v="523"/>
    <n v="1421.19"/>
    <s v="UPI"/>
    <s v="Repeat Customer"/>
  </r>
  <r>
    <n v="10528"/>
    <s v="CUST281"/>
    <d v="2024-08-16T00:00:00"/>
    <s v="Home"/>
    <x v="1"/>
    <n v="5"/>
    <x v="524"/>
    <n v="1065.6500000000001"/>
    <s v="Net Banking"/>
    <s v="Repeat Customer"/>
  </r>
  <r>
    <n v="10529"/>
    <s v="CUST399"/>
    <d v="2024-10-28T00:00:00"/>
    <s v="Beauty"/>
    <x v="0"/>
    <n v="8"/>
    <x v="525"/>
    <n v="3410.8"/>
    <s v="Credit Card"/>
    <s v="Repeat Customer"/>
  </r>
  <r>
    <n v="10530"/>
    <s v="CUST341"/>
    <d v="2024-07-18T00:00:00"/>
    <s v="Beauty"/>
    <x v="1"/>
    <n v="9"/>
    <x v="526"/>
    <n v="578.79"/>
    <s v="Wallet"/>
    <s v="Repeat Customer"/>
  </r>
  <r>
    <n v="10531"/>
    <s v="CUST127"/>
    <d v="2024-06-03T00:00:00"/>
    <s v="Home"/>
    <x v="3"/>
    <n v="3"/>
    <x v="527"/>
    <n v="1488.63"/>
    <s v="Wallet"/>
    <s v="Repeat Customer"/>
  </r>
  <r>
    <n v="10532"/>
    <s v="CUST173"/>
    <d v="2024-11-19T00:00:00"/>
    <s v="Beauty"/>
    <x v="1"/>
    <n v="3"/>
    <x v="528"/>
    <n v="1171.74"/>
    <s v="UPI"/>
    <s v="Repeat Customer"/>
  </r>
  <r>
    <n v="10533"/>
    <s v="CUST260"/>
    <d v="2025-10-11T00:00:00"/>
    <s v="Home"/>
    <x v="2"/>
    <n v="1"/>
    <x v="529"/>
    <n v="7.33"/>
    <s v="UPI"/>
    <s v="Repeat Customer"/>
  </r>
  <r>
    <n v="10534"/>
    <s v="CUST395"/>
    <d v="2024-06-11T00:00:00"/>
    <s v="Electronics"/>
    <x v="2"/>
    <n v="8"/>
    <x v="530"/>
    <n v="3149.44"/>
    <s v="Wallet"/>
    <s v="Repeat Customer"/>
  </r>
  <r>
    <n v="10535"/>
    <s v="CUST319"/>
    <d v="2025-02-17T00:00:00"/>
    <s v="Beauty"/>
    <x v="0"/>
    <n v="7"/>
    <x v="531"/>
    <n v="3379.88"/>
    <s v="Credit Card"/>
    <s v="Repeat Customer"/>
  </r>
  <r>
    <n v="10536"/>
    <s v="CUST373"/>
    <d v="2024-07-23T00:00:00"/>
    <s v="Home"/>
    <x v="2"/>
    <n v="6"/>
    <x v="532"/>
    <n v="2851.68"/>
    <s v="Credit Card"/>
    <s v="Repeat Customer"/>
  </r>
  <r>
    <n v="10537"/>
    <s v="CUST102"/>
    <d v="2025-10-03T00:00:00"/>
    <s v="Home"/>
    <x v="1"/>
    <n v="4"/>
    <x v="533"/>
    <n v="468"/>
    <s v="UPI"/>
    <s v="Repeat Customer"/>
  </r>
  <r>
    <n v="10538"/>
    <s v="CUST152"/>
    <d v="2025-01-27T00:00:00"/>
    <s v="Fashion"/>
    <x v="0"/>
    <n v="9"/>
    <x v="534"/>
    <n v="2667.51"/>
    <s v="Credit Card"/>
    <s v="Repeat Customer"/>
  </r>
  <r>
    <n v="10539"/>
    <s v="CUST252"/>
    <d v="2024-10-24T00:00:00"/>
    <s v="Sports"/>
    <x v="1"/>
    <n v="8"/>
    <x v="535"/>
    <n v="2922.24"/>
    <s v="Wallet"/>
    <s v="Repeat Customer"/>
  </r>
  <r>
    <n v="10540"/>
    <s v="CUST168"/>
    <d v="2024-12-16T00:00:00"/>
    <s v="Fashion"/>
    <x v="2"/>
    <n v="8"/>
    <x v="536"/>
    <n v="1462.64"/>
    <s v="Wallet"/>
    <s v="Repeat Customer"/>
  </r>
  <r>
    <n v="10541"/>
    <s v="CUST109"/>
    <d v="2024-08-21T00:00:00"/>
    <s v="Fashion"/>
    <x v="2"/>
    <n v="4"/>
    <x v="537"/>
    <n v="1459.8"/>
    <s v="Credit Card"/>
    <s v="Repeat Customer"/>
  </r>
  <r>
    <n v="10542"/>
    <s v="CUST358"/>
    <d v="2024-06-22T00:00:00"/>
    <s v="Electronics"/>
    <x v="3"/>
    <n v="2"/>
    <x v="538"/>
    <n v="372.92"/>
    <s v="Net Banking"/>
    <s v="Repeat Customer"/>
  </r>
  <r>
    <n v="10543"/>
    <s v="CUST373"/>
    <d v="2025-09-30T00:00:00"/>
    <s v="Electronics"/>
    <x v="0"/>
    <n v="1"/>
    <x v="539"/>
    <n v="298.99"/>
    <s v="Credit Card"/>
    <s v="Repeat Customer"/>
  </r>
  <r>
    <n v="10544"/>
    <s v="CUST124"/>
    <d v="2025-12-07T00:00:00"/>
    <s v="Beauty"/>
    <x v="0"/>
    <n v="2"/>
    <x v="540"/>
    <n v="422.6"/>
    <s v="Net Banking"/>
    <s v="Repeat Customer"/>
  </r>
  <r>
    <n v="10545"/>
    <s v="CUST342"/>
    <d v="2025-12-19T00:00:00"/>
    <s v="Electronics"/>
    <x v="1"/>
    <n v="3"/>
    <x v="541"/>
    <n v="320.16000000000003"/>
    <s v="Wallet"/>
    <s v="Repeat Customer"/>
  </r>
  <r>
    <n v="10546"/>
    <s v="CUST151"/>
    <d v="2025-11-09T00:00:00"/>
    <s v="Sports"/>
    <x v="2"/>
    <n v="9"/>
    <x v="542"/>
    <n v="1247.76"/>
    <s v="Wallet"/>
    <s v="Repeat Customer"/>
  </r>
  <r>
    <n v="10547"/>
    <s v="CUST153"/>
    <d v="2025-06-07T00:00:00"/>
    <s v="Electronics"/>
    <x v="0"/>
    <n v="10"/>
    <x v="543"/>
    <n v="632.79999999999995"/>
    <s v="Wallet"/>
    <s v="Repeat Customer"/>
  </r>
  <r>
    <n v="10548"/>
    <s v="CUST201"/>
    <d v="2025-09-15T00:00:00"/>
    <s v="Sports"/>
    <x v="2"/>
    <n v="4"/>
    <x v="544"/>
    <n v="1560.36"/>
    <s v="Net Banking"/>
    <s v="Repeat Customer"/>
  </r>
  <r>
    <n v="10549"/>
    <s v="CUST309"/>
    <d v="2024-10-29T00:00:00"/>
    <s v="Beauty"/>
    <x v="2"/>
    <n v="3"/>
    <x v="545"/>
    <n v="73.53"/>
    <s v="Wallet"/>
    <s v="Repeat Customer"/>
  </r>
  <r>
    <n v="10550"/>
    <s v="CUST269"/>
    <d v="2024-08-28T00:00:00"/>
    <s v="Electronics"/>
    <x v="0"/>
    <n v="1"/>
    <x v="546"/>
    <n v="11.31"/>
    <s v="Wallet"/>
    <s v="Repeat Customer"/>
  </r>
  <r>
    <n v="10551"/>
    <s v="CUST176"/>
    <d v="2024-04-02T00:00:00"/>
    <s v="Electronics"/>
    <x v="1"/>
    <n v="9"/>
    <x v="547"/>
    <n v="379.35"/>
    <s v="UPI"/>
    <s v="Repeat Customer"/>
  </r>
  <r>
    <n v="10552"/>
    <s v="CUST333"/>
    <d v="2024-10-30T00:00:00"/>
    <s v="Electronics"/>
    <x v="2"/>
    <n v="5"/>
    <x v="548"/>
    <n v="1174.0999999999999"/>
    <s v="Credit Card"/>
    <s v="Repeat Customer"/>
  </r>
  <r>
    <n v="10553"/>
    <s v="CUST248"/>
    <d v="2025-01-03T00:00:00"/>
    <s v="Electronics"/>
    <x v="0"/>
    <n v="6"/>
    <x v="549"/>
    <n v="1295.22"/>
    <s v="Credit Card"/>
    <s v="Repeat Customer"/>
  </r>
  <r>
    <n v="10554"/>
    <s v="CUST104"/>
    <d v="2024-05-21T00:00:00"/>
    <s v="Beauty"/>
    <x v="1"/>
    <n v="3"/>
    <x v="550"/>
    <n v="503.07"/>
    <s v="Credit Card"/>
    <s v="Repeat Customer"/>
  </r>
  <r>
    <n v="10555"/>
    <s v="CUST290"/>
    <d v="2024-12-16T00:00:00"/>
    <s v="Beauty"/>
    <x v="3"/>
    <n v="3"/>
    <x v="551"/>
    <n v="184.05"/>
    <s v="Net Banking"/>
    <s v="Repeat Customer"/>
  </r>
  <r>
    <n v="10556"/>
    <s v="CUST297"/>
    <d v="2025-12-07T00:00:00"/>
    <s v="Fashion"/>
    <x v="0"/>
    <n v="8"/>
    <x v="552"/>
    <n v="3207.6"/>
    <s v="UPI"/>
    <s v="Repeat Customer"/>
  </r>
  <r>
    <n v="10557"/>
    <s v="CUST130"/>
    <d v="2024-06-12T00:00:00"/>
    <s v="Sports"/>
    <x v="3"/>
    <n v="2"/>
    <x v="553"/>
    <n v="421.86"/>
    <s v="Wallet"/>
    <s v="Repeat Customer"/>
  </r>
  <r>
    <n v="10558"/>
    <s v="CUST192"/>
    <d v="2025-09-17T00:00:00"/>
    <s v="Sports"/>
    <x v="0"/>
    <n v="7"/>
    <x v="361"/>
    <n v="2734.83"/>
    <s v="UPI"/>
    <s v="Repeat Customer"/>
  </r>
  <r>
    <n v="10559"/>
    <s v="CUST347"/>
    <d v="2025-05-14T00:00:00"/>
    <s v="Beauty"/>
    <x v="0"/>
    <n v="2"/>
    <x v="554"/>
    <n v="888.72"/>
    <s v="Credit Card"/>
    <s v="Repeat Customer"/>
  </r>
  <r>
    <n v="10560"/>
    <s v="CUST233"/>
    <d v="2025-11-01T00:00:00"/>
    <s v="Sports"/>
    <x v="2"/>
    <n v="6"/>
    <x v="555"/>
    <n v="66.72"/>
    <s v="Net Banking"/>
    <s v="Repeat Customer"/>
  </r>
  <r>
    <n v="10561"/>
    <s v="CUST365"/>
    <d v="2025-06-19T00:00:00"/>
    <s v="Fashion"/>
    <x v="3"/>
    <n v="10"/>
    <x v="556"/>
    <n v="521.4"/>
    <s v="Net Banking"/>
    <s v="Repeat Customer"/>
  </r>
  <r>
    <n v="10562"/>
    <s v="CUST297"/>
    <d v="2024-06-01T00:00:00"/>
    <s v="Sports"/>
    <x v="0"/>
    <n v="9"/>
    <x v="557"/>
    <n v="4019.13"/>
    <s v="Credit Card"/>
    <s v="Repeat Customer"/>
  </r>
  <r>
    <n v="10563"/>
    <s v="CUST180"/>
    <d v="2025-06-01T00:00:00"/>
    <s v="Fashion"/>
    <x v="0"/>
    <n v="8"/>
    <x v="558"/>
    <n v="3413.44"/>
    <s v="Wallet"/>
    <s v="Repeat Customer"/>
  </r>
  <r>
    <n v="10564"/>
    <s v="CUST264"/>
    <d v="2024-09-03T00:00:00"/>
    <s v="Electronics"/>
    <x v="2"/>
    <n v="6"/>
    <x v="559"/>
    <n v="2911.32"/>
    <s v="Wallet"/>
    <s v="Repeat Customer"/>
  </r>
  <r>
    <n v="10565"/>
    <s v="CUST306"/>
    <d v="2024-08-28T00:00:00"/>
    <s v="Sports"/>
    <x v="3"/>
    <n v="2"/>
    <x v="560"/>
    <n v="464.5"/>
    <s v="Credit Card"/>
    <s v="Repeat Customer"/>
  </r>
  <r>
    <n v="10566"/>
    <s v="CUST355"/>
    <d v="2025-04-02T00:00:00"/>
    <s v="Beauty"/>
    <x v="0"/>
    <n v="6"/>
    <x v="561"/>
    <n v="382.56"/>
    <s v="Credit Card"/>
    <s v="Repeat Customer"/>
  </r>
  <r>
    <n v="10567"/>
    <s v="CUST306"/>
    <d v="2025-02-26T00:00:00"/>
    <s v="Electronics"/>
    <x v="0"/>
    <n v="1"/>
    <x v="562"/>
    <n v="280.77999999999997"/>
    <s v="Net Banking"/>
    <s v="Repeat Customer"/>
  </r>
  <r>
    <n v="10568"/>
    <s v="CUST360"/>
    <d v="2025-07-29T00:00:00"/>
    <s v="Beauty"/>
    <x v="1"/>
    <n v="4"/>
    <x v="563"/>
    <n v="1316.12"/>
    <s v="Net Banking"/>
    <s v="Repeat Customer"/>
  </r>
  <r>
    <n v="10569"/>
    <s v="CUST127"/>
    <d v="2024-08-16T00:00:00"/>
    <s v="Sports"/>
    <x v="3"/>
    <n v="8"/>
    <x v="564"/>
    <n v="1354.64"/>
    <s v="Net Banking"/>
    <s v="Repeat Customer"/>
  </r>
  <r>
    <n v="10570"/>
    <s v="CUST331"/>
    <d v="2024-04-26T00:00:00"/>
    <s v="Fashion"/>
    <x v="0"/>
    <n v="2"/>
    <x v="565"/>
    <n v="761.72"/>
    <s v="Net Banking"/>
    <s v="Repeat Customer"/>
  </r>
  <r>
    <n v="10571"/>
    <s v="CUST281"/>
    <d v="2025-10-10T00:00:00"/>
    <s v="Home"/>
    <x v="0"/>
    <n v="5"/>
    <x v="566"/>
    <n v="1380.55"/>
    <s v="Credit Card"/>
    <s v="Repeat Customer"/>
  </r>
  <r>
    <n v="10572"/>
    <s v="CUST184"/>
    <d v="2025-05-19T00:00:00"/>
    <s v="Beauty"/>
    <x v="0"/>
    <n v="3"/>
    <x v="567"/>
    <n v="1235.43"/>
    <s v="Net Banking"/>
    <s v="Repeat Customer"/>
  </r>
  <r>
    <n v="10573"/>
    <s v="CUST200"/>
    <d v="2024-07-11T00:00:00"/>
    <s v="Beauty"/>
    <x v="2"/>
    <n v="2"/>
    <x v="568"/>
    <n v="930.92"/>
    <s v="Wallet"/>
    <s v="Repeat Customer"/>
  </r>
  <r>
    <n v="10574"/>
    <s v="CUST197"/>
    <d v="2024-12-12T00:00:00"/>
    <s v="Electronics"/>
    <x v="0"/>
    <n v="2"/>
    <x v="569"/>
    <n v="759.58"/>
    <s v="Wallet"/>
    <s v="Repeat Customer"/>
  </r>
  <r>
    <n v="10575"/>
    <s v="CUST334"/>
    <d v="2025-11-05T00:00:00"/>
    <s v="Fashion"/>
    <x v="3"/>
    <n v="10"/>
    <x v="570"/>
    <n v="4783.1000000000004"/>
    <s v="Credit Card"/>
    <s v="Repeat Customer"/>
  </r>
  <r>
    <n v="10576"/>
    <s v="CUST371"/>
    <d v="2024-02-19T00:00:00"/>
    <s v="Sports"/>
    <x v="3"/>
    <n v="9"/>
    <x v="571"/>
    <n v="4211.82"/>
    <s v="UPI"/>
    <s v="Repeat Customer"/>
  </r>
  <r>
    <n v="10577"/>
    <s v="CUST396"/>
    <d v="2024-06-26T00:00:00"/>
    <s v="Sports"/>
    <x v="1"/>
    <n v="3"/>
    <x v="572"/>
    <n v="168.78"/>
    <s v="Wallet"/>
    <s v="Repeat Customer"/>
  </r>
  <r>
    <n v="10578"/>
    <s v="CUST314"/>
    <d v="2025-09-15T00:00:00"/>
    <s v="Home"/>
    <x v="1"/>
    <n v="4"/>
    <x v="573"/>
    <n v="561.72"/>
    <s v="Wallet"/>
    <s v="Repeat Customer"/>
  </r>
  <r>
    <n v="10579"/>
    <s v="CUST168"/>
    <d v="2024-05-21T00:00:00"/>
    <s v="Sports"/>
    <x v="1"/>
    <n v="7"/>
    <x v="574"/>
    <n v="2122.75"/>
    <s v="Net Banking"/>
    <s v="Repeat Customer"/>
  </r>
  <r>
    <n v="10580"/>
    <s v="CUST383"/>
    <d v="2025-10-09T00:00:00"/>
    <s v="Sports"/>
    <x v="1"/>
    <n v="4"/>
    <x v="575"/>
    <n v="417.76"/>
    <s v="Net Banking"/>
    <s v="Repeat Customer"/>
  </r>
  <r>
    <n v="10581"/>
    <s v="CUST167"/>
    <d v="2025-12-28T00:00:00"/>
    <s v="Home"/>
    <x v="0"/>
    <n v="3"/>
    <x v="576"/>
    <n v="763.29"/>
    <s v="Net Banking"/>
    <s v="Repeat Customer"/>
  </r>
  <r>
    <n v="10582"/>
    <s v="CUST387"/>
    <d v="2025-05-06T00:00:00"/>
    <s v="Beauty"/>
    <x v="1"/>
    <n v="10"/>
    <x v="577"/>
    <n v="2874.7"/>
    <s v="Wallet"/>
    <s v="Repeat Customer"/>
  </r>
  <r>
    <n v="10583"/>
    <s v="CUST106"/>
    <d v="2025-06-19T00:00:00"/>
    <s v="Fashion"/>
    <x v="0"/>
    <n v="2"/>
    <x v="578"/>
    <n v="35.020000000000003"/>
    <s v="Credit Card"/>
    <s v="Repeat Customer"/>
  </r>
  <r>
    <n v="10584"/>
    <s v="CUST202"/>
    <d v="2024-09-30T00:00:00"/>
    <s v="Home"/>
    <x v="2"/>
    <n v="3"/>
    <x v="579"/>
    <n v="1475.55"/>
    <s v="Credit Card"/>
    <s v="Repeat Customer"/>
  </r>
  <r>
    <n v="10585"/>
    <s v="CUST251"/>
    <d v="2024-07-27T00:00:00"/>
    <s v="Beauty"/>
    <x v="0"/>
    <n v="9"/>
    <x v="580"/>
    <n v="188.91"/>
    <s v="UPI"/>
    <s v="Repeat Customer"/>
  </r>
  <r>
    <n v="10586"/>
    <s v="CUST387"/>
    <d v="2025-02-02T00:00:00"/>
    <s v="Home"/>
    <x v="0"/>
    <n v="4"/>
    <x v="581"/>
    <n v="1031.6400000000001"/>
    <s v="Wallet"/>
    <s v="Repeat Customer"/>
  </r>
  <r>
    <n v="10587"/>
    <s v="CUST298"/>
    <d v="2025-03-02T00:00:00"/>
    <s v="Electronics"/>
    <x v="0"/>
    <n v="6"/>
    <x v="582"/>
    <n v="2898.54"/>
    <s v="Net Banking"/>
    <s v="Repeat Customer"/>
  </r>
  <r>
    <n v="10588"/>
    <s v="CUST203"/>
    <d v="2025-09-27T00:00:00"/>
    <s v="Home"/>
    <x v="2"/>
    <n v="8"/>
    <x v="583"/>
    <n v="3326.72"/>
    <s v="UPI"/>
    <s v="Repeat Customer"/>
  </r>
  <r>
    <n v="10589"/>
    <s v="CUST250"/>
    <d v="2025-04-04T00:00:00"/>
    <s v="Electronics"/>
    <x v="2"/>
    <n v="3"/>
    <x v="584"/>
    <n v="1475.43"/>
    <s v="UPI"/>
    <s v="Repeat Customer"/>
  </r>
  <r>
    <n v="10590"/>
    <s v="CUST363"/>
    <d v="2024-05-02T00:00:00"/>
    <s v="Home"/>
    <x v="1"/>
    <n v="7"/>
    <x v="585"/>
    <n v="175.77"/>
    <s v="UPI"/>
    <s v="Repeat Customer"/>
  </r>
  <r>
    <n v="10591"/>
    <s v="CUST182"/>
    <d v="2025-08-21T00:00:00"/>
    <s v="Beauty"/>
    <x v="2"/>
    <n v="5"/>
    <x v="586"/>
    <n v="38.950000000000003"/>
    <s v="Credit Card"/>
    <s v="Repeat Customer"/>
  </r>
  <r>
    <n v="10592"/>
    <s v="CUST178"/>
    <d v="2024-11-26T00:00:00"/>
    <s v="Sports"/>
    <x v="1"/>
    <n v="10"/>
    <x v="587"/>
    <n v="301.7"/>
    <s v="Wallet"/>
    <s v="Repeat Customer"/>
  </r>
  <r>
    <n v="10593"/>
    <s v="CUST393"/>
    <d v="2025-07-17T00:00:00"/>
    <s v="Home"/>
    <x v="2"/>
    <n v="6"/>
    <x v="588"/>
    <n v="246.48"/>
    <s v="UPI"/>
    <s v="Repeat Customer"/>
  </r>
  <r>
    <n v="10594"/>
    <s v="CUST366"/>
    <d v="2024-03-10T00:00:00"/>
    <s v="Sports"/>
    <x v="3"/>
    <n v="9"/>
    <x v="589"/>
    <n v="755.01"/>
    <s v="Credit Card"/>
    <s v="Repeat Customer"/>
  </r>
  <r>
    <n v="10595"/>
    <s v="CUST278"/>
    <d v="2024-08-14T00:00:00"/>
    <s v="Home"/>
    <x v="1"/>
    <n v="4"/>
    <x v="590"/>
    <n v="1333.4"/>
    <s v="Net Banking"/>
    <s v="Repeat Customer"/>
  </r>
  <r>
    <n v="10596"/>
    <s v="CUST211"/>
    <d v="2025-09-25T00:00:00"/>
    <s v="Sports"/>
    <x v="0"/>
    <n v="9"/>
    <x v="591"/>
    <n v="2160.4499999999998"/>
    <s v="Credit Card"/>
    <s v="Repeat Customer"/>
  </r>
  <r>
    <n v="10597"/>
    <s v="CUST277"/>
    <d v="2025-04-01T00:00:00"/>
    <s v="Sports"/>
    <x v="2"/>
    <n v="4"/>
    <x v="592"/>
    <n v="1810.92"/>
    <s v="Credit Card"/>
    <s v="Repeat Customer"/>
  </r>
  <r>
    <n v="10598"/>
    <s v="CUST264"/>
    <d v="2025-01-25T00:00:00"/>
    <s v="Sports"/>
    <x v="1"/>
    <n v="2"/>
    <x v="593"/>
    <n v="392.02"/>
    <s v="Credit Card"/>
    <s v="Repeat Customer"/>
  </r>
  <r>
    <n v="10599"/>
    <s v="CUST364"/>
    <d v="2025-01-18T00:00:00"/>
    <s v="Beauty"/>
    <x v="3"/>
    <n v="9"/>
    <x v="594"/>
    <n v="3621.51"/>
    <s v="Credit Card"/>
    <s v="Repeat Customer"/>
  </r>
  <r>
    <n v="10600"/>
    <s v="CUST251"/>
    <d v="2025-10-29T00:00:00"/>
    <s v="Electronics"/>
    <x v="0"/>
    <n v="4"/>
    <x v="595"/>
    <n v="654.20000000000005"/>
    <s v="UPI"/>
    <s v="Repeat Customer"/>
  </r>
  <r>
    <n v="10601"/>
    <s v="CUST375"/>
    <d v="2025-06-30T00:00:00"/>
    <s v="Fashion"/>
    <x v="2"/>
    <n v="1"/>
    <x v="596"/>
    <n v="315.33"/>
    <s v="Wallet"/>
    <s v="Repeat Customer"/>
  </r>
  <r>
    <n v="10602"/>
    <s v="CUST153"/>
    <d v="2024-07-29T00:00:00"/>
    <s v="Beauty"/>
    <x v="0"/>
    <n v="9"/>
    <x v="597"/>
    <n v="3737.07"/>
    <s v="UPI"/>
    <s v="Repeat Customer"/>
  </r>
  <r>
    <n v="10603"/>
    <s v="CUST112"/>
    <d v="2025-04-15T00:00:00"/>
    <s v="Electronics"/>
    <x v="0"/>
    <n v="6"/>
    <x v="598"/>
    <n v="142.5"/>
    <s v="UPI"/>
    <s v="Repeat Customer"/>
  </r>
  <r>
    <n v="10604"/>
    <s v="CUST228"/>
    <d v="2025-07-25T00:00:00"/>
    <s v="Fashion"/>
    <x v="1"/>
    <n v="2"/>
    <x v="599"/>
    <n v="579.22"/>
    <s v="Wallet"/>
    <s v="Repeat Customer"/>
  </r>
  <r>
    <n v="10605"/>
    <s v="CUST298"/>
    <d v="2025-04-06T00:00:00"/>
    <s v="Electronics"/>
    <x v="3"/>
    <n v="7"/>
    <x v="600"/>
    <n v="1535.45"/>
    <s v="Credit Card"/>
    <s v="Repeat Customer"/>
  </r>
  <r>
    <n v="10606"/>
    <s v="CUST373"/>
    <d v="2024-01-07T00:00:00"/>
    <s v="Sports"/>
    <x v="0"/>
    <n v="10"/>
    <x v="601"/>
    <n v="363"/>
    <s v="Credit Card"/>
    <s v="Repeat Customer"/>
  </r>
  <r>
    <n v="10607"/>
    <s v="CUST283"/>
    <d v="2025-05-29T00:00:00"/>
    <s v="Home"/>
    <x v="0"/>
    <n v="2"/>
    <x v="602"/>
    <n v="296.94"/>
    <s v="Net Banking"/>
    <s v="Repeat Customer"/>
  </r>
  <r>
    <n v="10608"/>
    <s v="CUST324"/>
    <d v="2025-01-25T00:00:00"/>
    <s v="Electronics"/>
    <x v="3"/>
    <n v="7"/>
    <x v="603"/>
    <n v="2883.65"/>
    <s v="UPI"/>
    <s v="Repeat Customer"/>
  </r>
  <r>
    <n v="10609"/>
    <s v="CUST373"/>
    <d v="2024-08-13T00:00:00"/>
    <s v="Sports"/>
    <x v="1"/>
    <n v="3"/>
    <x v="604"/>
    <n v="1123.92"/>
    <s v="UPI"/>
    <s v="Repeat Customer"/>
  </r>
  <r>
    <n v="10610"/>
    <s v="CUST252"/>
    <d v="2025-11-24T00:00:00"/>
    <s v="Electronics"/>
    <x v="2"/>
    <n v="6"/>
    <x v="605"/>
    <n v="2873.46"/>
    <s v="Credit Card"/>
    <s v="Repeat Customer"/>
  </r>
  <r>
    <n v="10611"/>
    <s v="CUST121"/>
    <d v="2024-01-06T00:00:00"/>
    <s v="Sports"/>
    <x v="0"/>
    <n v="10"/>
    <x v="606"/>
    <n v="3003.4"/>
    <s v="Net Banking"/>
    <s v="Repeat Customer"/>
  </r>
  <r>
    <n v="10612"/>
    <s v="CUST207"/>
    <d v="2024-12-18T00:00:00"/>
    <s v="Sports"/>
    <x v="2"/>
    <n v="4"/>
    <x v="607"/>
    <n v="837.04"/>
    <s v="UPI"/>
    <s v="Repeat Customer"/>
  </r>
  <r>
    <n v="10613"/>
    <s v="CUST194"/>
    <d v="2024-08-14T00:00:00"/>
    <s v="Fashion"/>
    <x v="0"/>
    <n v="10"/>
    <x v="608"/>
    <n v="4182"/>
    <s v="UPI"/>
    <s v="Repeat Customer"/>
  </r>
  <r>
    <n v="10614"/>
    <s v="CUST390"/>
    <d v="2024-02-25T00:00:00"/>
    <s v="Sports"/>
    <x v="0"/>
    <n v="9"/>
    <x v="609"/>
    <n v="2099.9699999999998"/>
    <s v="Net Banking"/>
    <s v="Repeat Customer"/>
  </r>
  <r>
    <n v="10615"/>
    <s v="CUST134"/>
    <d v="2024-09-13T00:00:00"/>
    <s v="Sports"/>
    <x v="3"/>
    <n v="2"/>
    <x v="610"/>
    <n v="205.44"/>
    <s v="Net Banking"/>
    <s v="Repeat Customer"/>
  </r>
  <r>
    <n v="10616"/>
    <s v="CUST282"/>
    <d v="2024-05-11T00:00:00"/>
    <s v="Sports"/>
    <x v="0"/>
    <n v="4"/>
    <x v="611"/>
    <n v="218.08"/>
    <s v="UPI"/>
    <s v="Repeat Customer"/>
  </r>
  <r>
    <n v="10617"/>
    <s v="CUST262"/>
    <d v="2025-05-12T00:00:00"/>
    <s v="Home"/>
    <x v="2"/>
    <n v="8"/>
    <x v="612"/>
    <n v="1340.24"/>
    <s v="Net Banking"/>
    <s v="Repeat Customer"/>
  </r>
  <r>
    <n v="10618"/>
    <s v="CUST261"/>
    <d v="2025-03-14T00:00:00"/>
    <s v="Fashion"/>
    <x v="2"/>
    <n v="3"/>
    <x v="613"/>
    <n v="22.17"/>
    <s v="Wallet"/>
    <s v="Repeat Customer"/>
  </r>
  <r>
    <n v="10619"/>
    <s v="CUST241"/>
    <d v="2025-01-03T00:00:00"/>
    <s v="Home"/>
    <x v="3"/>
    <n v="3"/>
    <x v="614"/>
    <n v="1024.17"/>
    <s v="Wallet"/>
    <s v="Repeat Customer"/>
  </r>
  <r>
    <n v="10620"/>
    <s v="CUST328"/>
    <d v="2025-01-02T00:00:00"/>
    <s v="Electronics"/>
    <x v="2"/>
    <n v="5"/>
    <x v="615"/>
    <n v="1230.25"/>
    <s v="Credit Card"/>
    <s v="Repeat Customer"/>
  </r>
  <r>
    <n v="10621"/>
    <s v="CUST243"/>
    <d v="2024-05-23T00:00:00"/>
    <s v="Electronics"/>
    <x v="0"/>
    <n v="9"/>
    <x v="616"/>
    <n v="920.07"/>
    <s v="Credit Card"/>
    <s v="Repeat Customer"/>
  </r>
  <r>
    <n v="10622"/>
    <s v="CUST359"/>
    <d v="2025-10-08T00:00:00"/>
    <s v="Sports"/>
    <x v="3"/>
    <n v="1"/>
    <x v="617"/>
    <n v="407.26"/>
    <s v="UPI"/>
    <s v="Repeat Customer"/>
  </r>
  <r>
    <n v="10623"/>
    <s v="CUST118"/>
    <d v="2025-07-18T00:00:00"/>
    <s v="Sports"/>
    <x v="3"/>
    <n v="5"/>
    <x v="618"/>
    <n v="1370.1"/>
    <s v="UPI"/>
    <s v="Repeat Customer"/>
  </r>
  <r>
    <n v="10624"/>
    <s v="CUST287"/>
    <d v="2025-02-05T00:00:00"/>
    <s v="Sports"/>
    <x v="1"/>
    <n v="4"/>
    <x v="619"/>
    <n v="1785.04"/>
    <s v="UPI"/>
    <s v="Repeat Customer"/>
  </r>
  <r>
    <n v="10625"/>
    <s v="CUST337"/>
    <d v="2025-05-28T00:00:00"/>
    <s v="Home"/>
    <x v="0"/>
    <n v="9"/>
    <x v="620"/>
    <n v="448.38"/>
    <s v="UPI"/>
    <s v="Repeat Customer"/>
  </r>
  <r>
    <n v="10626"/>
    <s v="CUST184"/>
    <d v="2025-06-10T00:00:00"/>
    <s v="Fashion"/>
    <x v="2"/>
    <n v="3"/>
    <x v="621"/>
    <n v="677.64"/>
    <s v="Wallet"/>
    <s v="Repeat Customer"/>
  </r>
  <r>
    <n v="10627"/>
    <s v="CUST283"/>
    <d v="2024-02-11T00:00:00"/>
    <s v="Fashion"/>
    <x v="0"/>
    <n v="4"/>
    <x v="622"/>
    <n v="1527.72"/>
    <s v="Net Banking"/>
    <s v="Repeat Customer"/>
  </r>
  <r>
    <n v="10628"/>
    <s v="CUST289"/>
    <d v="2024-08-27T00:00:00"/>
    <s v="Sports"/>
    <x v="1"/>
    <n v="1"/>
    <x v="623"/>
    <n v="335.95"/>
    <s v="Wallet"/>
    <s v="Repeat Customer"/>
  </r>
  <r>
    <n v="10629"/>
    <s v="CUST340"/>
    <d v="2025-04-10T00:00:00"/>
    <s v="Home"/>
    <x v="0"/>
    <n v="1"/>
    <x v="624"/>
    <n v="24.75"/>
    <s v="Net Banking"/>
    <s v="Repeat Customer"/>
  </r>
  <r>
    <n v="10630"/>
    <s v="CUST234"/>
    <d v="2025-08-15T00:00:00"/>
    <s v="Beauty"/>
    <x v="3"/>
    <n v="9"/>
    <x v="625"/>
    <n v="2585.0700000000002"/>
    <s v="Net Banking"/>
    <s v="New Customer"/>
  </r>
  <r>
    <n v="10631"/>
    <s v="CUST139"/>
    <d v="2025-06-13T00:00:00"/>
    <s v="Fashion"/>
    <x v="3"/>
    <n v="5"/>
    <x v="626"/>
    <n v="956.4"/>
    <s v="Net Banking"/>
    <s v="Repeat Customer"/>
  </r>
  <r>
    <n v="10632"/>
    <s v="CUST276"/>
    <d v="2025-05-13T00:00:00"/>
    <s v="Electronics"/>
    <x v="2"/>
    <n v="8"/>
    <x v="627"/>
    <n v="3553.2"/>
    <s v="Wallet"/>
    <s v="Repeat Customer"/>
  </r>
  <r>
    <n v="10633"/>
    <s v="CUST184"/>
    <d v="2024-08-23T00:00:00"/>
    <s v="Home"/>
    <x v="2"/>
    <n v="2"/>
    <x v="628"/>
    <n v="519.4"/>
    <s v="UPI"/>
    <s v="Repeat Customer"/>
  </r>
  <r>
    <n v="10634"/>
    <s v="CUST195"/>
    <d v="2024-06-10T00:00:00"/>
    <s v="Electronics"/>
    <x v="2"/>
    <n v="6"/>
    <x v="629"/>
    <n v="1818"/>
    <s v="Wallet"/>
    <s v="Repeat Customer"/>
  </r>
  <r>
    <n v="10635"/>
    <s v="CUST269"/>
    <d v="2024-04-26T00:00:00"/>
    <s v="Beauty"/>
    <x v="2"/>
    <n v="8"/>
    <x v="630"/>
    <n v="2713.92"/>
    <s v="UPI"/>
    <s v="Repeat Customer"/>
  </r>
  <r>
    <n v="10636"/>
    <s v="CUST310"/>
    <d v="2024-01-23T00:00:00"/>
    <s v="Sports"/>
    <x v="2"/>
    <n v="4"/>
    <x v="631"/>
    <n v="105.44"/>
    <s v="UPI"/>
    <s v="Repeat Customer"/>
  </r>
  <r>
    <n v="10637"/>
    <s v="CUST362"/>
    <d v="2024-02-10T00:00:00"/>
    <s v="Fashion"/>
    <x v="1"/>
    <n v="10"/>
    <x v="632"/>
    <n v="777"/>
    <s v="UPI"/>
    <s v="Repeat Customer"/>
  </r>
  <r>
    <n v="10638"/>
    <s v="CUST364"/>
    <d v="2025-02-19T00:00:00"/>
    <s v="Electronics"/>
    <x v="1"/>
    <n v="10"/>
    <x v="633"/>
    <n v="4847.8"/>
    <s v="Credit Card"/>
    <s v="Repeat Customer"/>
  </r>
  <r>
    <n v="10639"/>
    <s v="CUST210"/>
    <d v="2025-04-04T00:00:00"/>
    <s v="Beauty"/>
    <x v="2"/>
    <n v="10"/>
    <x v="634"/>
    <n v="4964.2"/>
    <s v="UPI"/>
    <s v="Repeat Customer"/>
  </r>
  <r>
    <n v="10640"/>
    <s v="CUST310"/>
    <d v="2025-09-07T00:00:00"/>
    <s v="Fashion"/>
    <x v="1"/>
    <n v="3"/>
    <x v="635"/>
    <n v="1194.99"/>
    <s v="UPI"/>
    <s v="Repeat Customer"/>
  </r>
  <r>
    <n v="10641"/>
    <s v="CUST275"/>
    <d v="2025-04-09T00:00:00"/>
    <s v="Fashion"/>
    <x v="3"/>
    <n v="10"/>
    <x v="636"/>
    <n v="2973.5"/>
    <s v="Wallet"/>
    <s v="Repeat Customer"/>
  </r>
  <r>
    <n v="10642"/>
    <s v="CUST167"/>
    <d v="2024-04-21T00:00:00"/>
    <s v="Sports"/>
    <x v="3"/>
    <n v="1"/>
    <x v="637"/>
    <n v="105.16"/>
    <s v="UPI"/>
    <s v="Repeat Customer"/>
  </r>
  <r>
    <n v="10643"/>
    <s v="CUST149"/>
    <d v="2024-06-30T00:00:00"/>
    <s v="Sports"/>
    <x v="0"/>
    <n v="8"/>
    <x v="638"/>
    <n v="3610.4"/>
    <s v="Credit Card"/>
    <s v="Repeat Customer"/>
  </r>
  <r>
    <n v="10644"/>
    <s v="CUST147"/>
    <d v="2025-05-08T00:00:00"/>
    <s v="Sports"/>
    <x v="0"/>
    <n v="3"/>
    <x v="639"/>
    <n v="1354.44"/>
    <s v="Wallet"/>
    <s v="Repeat Customer"/>
  </r>
  <r>
    <n v="10645"/>
    <s v="CUST367"/>
    <d v="2025-03-06T00:00:00"/>
    <s v="Sports"/>
    <x v="3"/>
    <n v="6"/>
    <x v="640"/>
    <n v="2628.24"/>
    <s v="UPI"/>
    <s v="Repeat Customer"/>
  </r>
  <r>
    <n v="10646"/>
    <s v="CUST346"/>
    <d v="2025-01-25T00:00:00"/>
    <s v="Sports"/>
    <x v="0"/>
    <n v="6"/>
    <x v="641"/>
    <n v="1779.48"/>
    <s v="Wallet"/>
    <s v="Repeat Customer"/>
  </r>
  <r>
    <n v="10647"/>
    <s v="CUST168"/>
    <d v="2024-09-17T00:00:00"/>
    <s v="Electronics"/>
    <x v="1"/>
    <n v="8"/>
    <x v="642"/>
    <n v="3072.8"/>
    <s v="Wallet"/>
    <s v="Repeat Customer"/>
  </r>
  <r>
    <n v="10648"/>
    <s v="CUST231"/>
    <d v="2024-07-12T00:00:00"/>
    <s v="Electronics"/>
    <x v="0"/>
    <n v="1"/>
    <x v="643"/>
    <n v="356.03"/>
    <s v="Credit Card"/>
    <s v="Repeat Customer"/>
  </r>
  <r>
    <n v="10649"/>
    <s v="CUST292"/>
    <d v="2025-11-01T00:00:00"/>
    <s v="Home"/>
    <x v="3"/>
    <n v="4"/>
    <x v="644"/>
    <n v="1381.76"/>
    <s v="Net Banking"/>
    <s v="Repeat Customer"/>
  </r>
  <r>
    <n v="10650"/>
    <s v="CUST154"/>
    <d v="2024-06-07T00:00:00"/>
    <s v="Home"/>
    <x v="1"/>
    <n v="7"/>
    <x v="645"/>
    <n v="2292.71"/>
    <s v="Wallet"/>
    <s v="Repeat Customer"/>
  </r>
  <r>
    <n v="10651"/>
    <s v="CUST389"/>
    <d v="2025-01-09T00:00:00"/>
    <s v="Beauty"/>
    <x v="2"/>
    <n v="10"/>
    <x v="646"/>
    <n v="1414"/>
    <s v="Wallet"/>
    <s v="Repeat Customer"/>
  </r>
  <r>
    <n v="10652"/>
    <s v="CUST382"/>
    <d v="2025-07-24T00:00:00"/>
    <s v="Sports"/>
    <x v="3"/>
    <n v="8"/>
    <x v="647"/>
    <n v="747.76"/>
    <s v="Net Banking"/>
    <s v="Repeat Customer"/>
  </r>
  <r>
    <n v="10653"/>
    <s v="CUST257"/>
    <d v="2025-08-14T00:00:00"/>
    <s v="Beauty"/>
    <x v="2"/>
    <n v="6"/>
    <x v="648"/>
    <n v="2329.38"/>
    <s v="Credit Card"/>
    <s v="Repeat Customer"/>
  </r>
  <r>
    <n v="10654"/>
    <s v="CUST217"/>
    <d v="2025-04-02T00:00:00"/>
    <s v="Sports"/>
    <x v="3"/>
    <n v="3"/>
    <x v="649"/>
    <n v="163.92"/>
    <s v="Net Banking"/>
    <s v="Repeat Customer"/>
  </r>
  <r>
    <n v="10655"/>
    <s v="CUST381"/>
    <d v="2025-09-20T00:00:00"/>
    <s v="Electronics"/>
    <x v="0"/>
    <n v="1"/>
    <x v="650"/>
    <n v="84.57"/>
    <s v="UPI"/>
    <s v="Repeat Customer"/>
  </r>
  <r>
    <n v="10656"/>
    <s v="CUST341"/>
    <d v="2025-09-06T00:00:00"/>
    <s v="Home"/>
    <x v="2"/>
    <n v="7"/>
    <x v="651"/>
    <n v="340.41"/>
    <s v="Net Banking"/>
    <s v="Repeat Customer"/>
  </r>
  <r>
    <n v="10657"/>
    <s v="CUST140"/>
    <d v="2025-09-15T00:00:00"/>
    <s v="Beauty"/>
    <x v="1"/>
    <n v="1"/>
    <x v="652"/>
    <n v="363.62"/>
    <s v="Credit Card"/>
    <s v="Repeat Customer"/>
  </r>
  <r>
    <n v="10658"/>
    <s v="CUST189"/>
    <d v="2025-10-17T00:00:00"/>
    <s v="Fashion"/>
    <x v="1"/>
    <n v="8"/>
    <x v="653"/>
    <n v="1778.32"/>
    <s v="UPI"/>
    <s v="Repeat Customer"/>
  </r>
  <r>
    <n v="10659"/>
    <s v="CUST117"/>
    <d v="2025-09-05T00:00:00"/>
    <s v="Fashion"/>
    <x v="2"/>
    <n v="9"/>
    <x v="654"/>
    <n v="2342.9699999999998"/>
    <s v="Credit Card"/>
    <s v="Repeat Customer"/>
  </r>
  <r>
    <n v="10660"/>
    <s v="CUST284"/>
    <d v="2024-09-01T00:00:00"/>
    <s v="Electronics"/>
    <x v="1"/>
    <n v="1"/>
    <x v="655"/>
    <n v="487.94"/>
    <s v="Wallet"/>
    <s v="Repeat Customer"/>
  </r>
  <r>
    <n v="10661"/>
    <s v="CUST280"/>
    <d v="2025-11-16T00:00:00"/>
    <s v="Fashion"/>
    <x v="0"/>
    <n v="7"/>
    <x v="656"/>
    <n v="1439.9"/>
    <s v="Credit Card"/>
    <s v="Repeat Customer"/>
  </r>
  <r>
    <n v="10662"/>
    <s v="CUST146"/>
    <d v="2025-07-16T00:00:00"/>
    <s v="Sports"/>
    <x v="1"/>
    <n v="5"/>
    <x v="657"/>
    <n v="1822.2"/>
    <s v="Net Banking"/>
    <s v="Repeat Customer"/>
  </r>
  <r>
    <n v="10663"/>
    <s v="CUST241"/>
    <d v="2024-08-19T00:00:00"/>
    <s v="Beauty"/>
    <x v="3"/>
    <n v="10"/>
    <x v="658"/>
    <n v="4817.1000000000004"/>
    <s v="Credit Card"/>
    <s v="Repeat Customer"/>
  </r>
  <r>
    <n v="10664"/>
    <s v="CUST233"/>
    <d v="2024-06-28T00:00:00"/>
    <s v="Sports"/>
    <x v="0"/>
    <n v="7"/>
    <x v="659"/>
    <n v="1789.13"/>
    <s v="Net Banking"/>
    <s v="Repeat Customer"/>
  </r>
  <r>
    <n v="10665"/>
    <s v="CUST274"/>
    <d v="2024-04-29T00:00:00"/>
    <s v="Sports"/>
    <x v="1"/>
    <n v="9"/>
    <x v="660"/>
    <n v="4307.13"/>
    <s v="Wallet"/>
    <s v="Repeat Customer"/>
  </r>
  <r>
    <n v="10666"/>
    <s v="CUST293"/>
    <d v="2025-07-30T00:00:00"/>
    <s v="Home"/>
    <x v="3"/>
    <n v="8"/>
    <x v="661"/>
    <n v="3089.04"/>
    <s v="Wallet"/>
    <s v="Repeat Customer"/>
  </r>
  <r>
    <n v="10667"/>
    <s v="CUST114"/>
    <d v="2025-05-08T00:00:00"/>
    <s v="Beauty"/>
    <x v="2"/>
    <n v="2"/>
    <x v="662"/>
    <n v="265.24"/>
    <s v="UPI"/>
    <s v="Repeat Customer"/>
  </r>
  <r>
    <n v="10668"/>
    <s v="CUST261"/>
    <d v="2025-02-26T00:00:00"/>
    <s v="Electronics"/>
    <x v="1"/>
    <n v="6"/>
    <x v="663"/>
    <n v="1564.02"/>
    <s v="UPI"/>
    <s v="Repeat Customer"/>
  </r>
  <r>
    <n v="10669"/>
    <s v="CUST247"/>
    <d v="2024-04-05T00:00:00"/>
    <s v="Home"/>
    <x v="0"/>
    <n v="7"/>
    <x v="664"/>
    <n v="2369.36"/>
    <s v="UPI"/>
    <s v="Repeat Customer"/>
  </r>
  <r>
    <n v="10670"/>
    <s v="CUST343"/>
    <d v="2024-11-17T00:00:00"/>
    <s v="Sports"/>
    <x v="1"/>
    <n v="6"/>
    <x v="665"/>
    <n v="679.14"/>
    <s v="UPI"/>
    <s v="Repeat Customer"/>
  </r>
  <r>
    <n v="10671"/>
    <s v="CUST197"/>
    <d v="2025-05-25T00:00:00"/>
    <s v="Fashion"/>
    <x v="1"/>
    <n v="4"/>
    <x v="666"/>
    <n v="485.04"/>
    <s v="UPI"/>
    <s v="Repeat Customer"/>
  </r>
  <r>
    <n v="10672"/>
    <s v="CUST217"/>
    <d v="2024-07-26T00:00:00"/>
    <s v="Home"/>
    <x v="2"/>
    <n v="4"/>
    <x v="667"/>
    <n v="1675.96"/>
    <s v="Credit Card"/>
    <s v="Repeat Customer"/>
  </r>
  <r>
    <n v="10673"/>
    <s v="CUST161"/>
    <d v="2024-03-21T00:00:00"/>
    <s v="Sports"/>
    <x v="0"/>
    <n v="8"/>
    <x v="668"/>
    <n v="2470.7199999999998"/>
    <s v="Wallet"/>
    <s v="Repeat Customer"/>
  </r>
  <r>
    <n v="10674"/>
    <s v="CUST290"/>
    <d v="2025-09-27T00:00:00"/>
    <s v="Sports"/>
    <x v="1"/>
    <n v="6"/>
    <x v="669"/>
    <n v="1492.26"/>
    <s v="Wallet"/>
    <s v="Repeat Customer"/>
  </r>
  <r>
    <n v="10675"/>
    <s v="CUST193"/>
    <d v="2025-06-07T00:00:00"/>
    <s v="Sports"/>
    <x v="2"/>
    <n v="5"/>
    <x v="670"/>
    <n v="1009.75"/>
    <s v="Credit Card"/>
    <s v="Repeat Customer"/>
  </r>
  <r>
    <n v="10676"/>
    <s v="CUST369"/>
    <d v="2025-03-09T00:00:00"/>
    <s v="Electronics"/>
    <x v="1"/>
    <n v="8"/>
    <x v="671"/>
    <n v="3761.04"/>
    <s v="Wallet"/>
    <s v="Repeat Customer"/>
  </r>
  <r>
    <n v="10677"/>
    <s v="CUST189"/>
    <d v="2025-04-13T00:00:00"/>
    <s v="Beauty"/>
    <x v="1"/>
    <n v="2"/>
    <x v="672"/>
    <n v="701.26"/>
    <s v="Credit Card"/>
    <s v="Repeat Customer"/>
  </r>
  <r>
    <n v="10678"/>
    <s v="CUST106"/>
    <d v="2025-11-21T00:00:00"/>
    <s v="Electronics"/>
    <x v="1"/>
    <n v="4"/>
    <x v="673"/>
    <n v="771.28"/>
    <s v="Net Banking"/>
    <s v="Repeat Customer"/>
  </r>
  <r>
    <n v="10679"/>
    <s v="CUST232"/>
    <d v="2024-07-10T00:00:00"/>
    <s v="Home"/>
    <x v="3"/>
    <n v="9"/>
    <x v="674"/>
    <n v="1215.99"/>
    <s v="Net Banking"/>
    <s v="Repeat Customer"/>
  </r>
  <r>
    <n v="10680"/>
    <s v="CUST287"/>
    <d v="2024-07-07T00:00:00"/>
    <s v="Beauty"/>
    <x v="1"/>
    <n v="8"/>
    <x v="675"/>
    <n v="1718.8"/>
    <s v="Net Banking"/>
    <s v="Repeat Customer"/>
  </r>
  <r>
    <n v="10681"/>
    <s v="CUST305"/>
    <d v="2024-10-13T00:00:00"/>
    <s v="Fashion"/>
    <x v="2"/>
    <n v="8"/>
    <x v="676"/>
    <n v="752.4"/>
    <s v="Credit Card"/>
    <s v="Repeat Customer"/>
  </r>
  <r>
    <n v="10682"/>
    <s v="CUST238"/>
    <d v="2024-08-29T00:00:00"/>
    <s v="Beauty"/>
    <x v="2"/>
    <n v="9"/>
    <x v="677"/>
    <n v="1970.55"/>
    <s v="UPI"/>
    <s v="Repeat Customer"/>
  </r>
  <r>
    <n v="10683"/>
    <s v="CUST176"/>
    <d v="2025-04-29T00:00:00"/>
    <s v="Beauty"/>
    <x v="2"/>
    <n v="1"/>
    <x v="678"/>
    <n v="92.42"/>
    <s v="Net Banking"/>
    <s v="Repeat Customer"/>
  </r>
  <r>
    <n v="10684"/>
    <s v="CUST349"/>
    <d v="2024-11-03T00:00:00"/>
    <s v="Sports"/>
    <x v="0"/>
    <n v="5"/>
    <x v="679"/>
    <n v="1416.3"/>
    <s v="Wallet"/>
    <s v="Repeat Customer"/>
  </r>
  <r>
    <n v="10685"/>
    <s v="CUST150"/>
    <d v="2025-12-08T00:00:00"/>
    <s v="Home"/>
    <x v="3"/>
    <n v="3"/>
    <x v="680"/>
    <n v="104.16"/>
    <s v="Credit Card"/>
    <s v="Repeat Customer"/>
  </r>
  <r>
    <n v="10686"/>
    <s v="CUST330"/>
    <d v="2024-12-08T00:00:00"/>
    <s v="Sports"/>
    <x v="1"/>
    <n v="5"/>
    <x v="681"/>
    <n v="918.4"/>
    <s v="Net Banking"/>
    <s v="Repeat Customer"/>
  </r>
  <r>
    <n v="10687"/>
    <s v="CUST110"/>
    <d v="2025-02-25T00:00:00"/>
    <s v="Sports"/>
    <x v="2"/>
    <n v="2"/>
    <x v="682"/>
    <n v="357.58"/>
    <s v="UPI"/>
    <s v="Repeat Customer"/>
  </r>
  <r>
    <n v="10688"/>
    <s v="CUST245"/>
    <d v="2024-12-29T00:00:00"/>
    <s v="Beauty"/>
    <x v="3"/>
    <n v="6"/>
    <x v="683"/>
    <n v="2029.38"/>
    <s v="Credit Card"/>
    <s v="Repeat Customer"/>
  </r>
  <r>
    <n v="10689"/>
    <s v="CUST295"/>
    <d v="2025-09-20T00:00:00"/>
    <s v="Fashion"/>
    <x v="2"/>
    <n v="5"/>
    <x v="684"/>
    <n v="1172.8"/>
    <s v="Net Banking"/>
    <s v="Repeat Customer"/>
  </r>
  <r>
    <n v="10690"/>
    <s v="CUST315"/>
    <d v="2025-10-08T00:00:00"/>
    <s v="Electronics"/>
    <x v="0"/>
    <n v="10"/>
    <x v="685"/>
    <n v="2879.6"/>
    <s v="UPI"/>
    <s v="Repeat Customer"/>
  </r>
  <r>
    <n v="10691"/>
    <s v="CUST275"/>
    <d v="2024-08-21T00:00:00"/>
    <s v="Home"/>
    <x v="1"/>
    <n v="6"/>
    <x v="686"/>
    <n v="971.1"/>
    <s v="Wallet"/>
    <s v="Repeat Customer"/>
  </r>
  <r>
    <n v="10692"/>
    <s v="CUST238"/>
    <d v="2025-03-31T00:00:00"/>
    <s v="Sports"/>
    <x v="3"/>
    <n v="6"/>
    <x v="687"/>
    <n v="2251.2600000000002"/>
    <s v="Wallet"/>
    <s v="Repeat Customer"/>
  </r>
  <r>
    <n v="10693"/>
    <s v="CUST185"/>
    <d v="2024-07-07T00:00:00"/>
    <s v="Fashion"/>
    <x v="1"/>
    <n v="1"/>
    <x v="688"/>
    <n v="66.89"/>
    <s v="Credit Card"/>
    <s v="Repeat Customer"/>
  </r>
  <r>
    <n v="10694"/>
    <s v="CUST207"/>
    <d v="2024-06-19T00:00:00"/>
    <s v="Electronics"/>
    <x v="3"/>
    <n v="7"/>
    <x v="689"/>
    <n v="391.93"/>
    <s v="Credit Card"/>
    <s v="Repeat Customer"/>
  </r>
  <r>
    <n v="10695"/>
    <s v="CUST113"/>
    <d v="2025-02-10T00:00:00"/>
    <s v="Electronics"/>
    <x v="0"/>
    <n v="9"/>
    <x v="690"/>
    <n v="3453.03"/>
    <s v="Net Banking"/>
    <s v="Repeat Customer"/>
  </r>
  <r>
    <n v="10696"/>
    <s v="CUST179"/>
    <d v="2024-03-27T00:00:00"/>
    <s v="Fashion"/>
    <x v="1"/>
    <n v="7"/>
    <x v="691"/>
    <n v="1106.98"/>
    <s v="Wallet"/>
    <s v="Repeat Customer"/>
  </r>
  <r>
    <n v="10697"/>
    <s v="CUST164"/>
    <d v="2024-05-14T00:00:00"/>
    <s v="Electronics"/>
    <x v="0"/>
    <n v="9"/>
    <x v="692"/>
    <n v="3780.63"/>
    <s v="Net Banking"/>
    <s v="Repeat Customer"/>
  </r>
  <r>
    <n v="10698"/>
    <s v="CUST266"/>
    <d v="2025-05-02T00:00:00"/>
    <s v="Sports"/>
    <x v="1"/>
    <n v="8"/>
    <x v="693"/>
    <n v="3900.96"/>
    <s v="Wallet"/>
    <s v="Repeat Customer"/>
  </r>
  <r>
    <n v="10699"/>
    <s v="CUST169"/>
    <d v="2025-12-15T00:00:00"/>
    <s v="Sports"/>
    <x v="3"/>
    <n v="9"/>
    <x v="694"/>
    <n v="833.67"/>
    <s v="Wallet"/>
    <s v="Repeat Customer"/>
  </r>
  <r>
    <n v="10700"/>
    <s v="CUST368"/>
    <d v="2025-10-17T00:00:00"/>
    <s v="Home"/>
    <x v="3"/>
    <n v="9"/>
    <x v="695"/>
    <n v="1424.52"/>
    <s v="UPI"/>
    <s v="Repeat Customer"/>
  </r>
  <r>
    <n v="10701"/>
    <s v="CUST145"/>
    <d v="2025-03-28T00:00:00"/>
    <s v="Home"/>
    <x v="2"/>
    <n v="5"/>
    <x v="696"/>
    <n v="930.3"/>
    <s v="Net Banking"/>
    <s v="Repeat Customer"/>
  </r>
  <r>
    <n v="10702"/>
    <s v="CUST105"/>
    <d v="2024-01-01T00:00:00"/>
    <s v="Fashion"/>
    <x v="1"/>
    <n v="9"/>
    <x v="697"/>
    <n v="3677.49"/>
    <s v="Net Banking"/>
    <s v="Repeat Customer"/>
  </r>
  <r>
    <n v="10703"/>
    <s v="CUST340"/>
    <d v="2025-07-01T00:00:00"/>
    <s v="Beauty"/>
    <x v="3"/>
    <n v="1"/>
    <x v="698"/>
    <n v="345.45"/>
    <s v="Net Banking"/>
    <s v="Repeat Customer"/>
  </r>
  <r>
    <n v="10704"/>
    <s v="CUST104"/>
    <d v="2025-03-16T00:00:00"/>
    <s v="Electronics"/>
    <x v="1"/>
    <n v="5"/>
    <x v="699"/>
    <n v="1502.6"/>
    <s v="UPI"/>
    <s v="Repeat Customer"/>
  </r>
  <r>
    <n v="10705"/>
    <s v="CUST310"/>
    <d v="2025-07-28T00:00:00"/>
    <s v="Fashion"/>
    <x v="3"/>
    <n v="7"/>
    <x v="700"/>
    <n v="1402.8"/>
    <s v="Wallet"/>
    <s v="Repeat Customer"/>
  </r>
  <r>
    <n v="10706"/>
    <s v="CUST212"/>
    <d v="2024-09-26T00:00:00"/>
    <s v="Fashion"/>
    <x v="1"/>
    <n v="2"/>
    <x v="701"/>
    <n v="428.02"/>
    <s v="Net Banking"/>
    <s v="Repeat Customer"/>
  </r>
  <r>
    <n v="10707"/>
    <s v="CUST372"/>
    <d v="2024-10-02T00:00:00"/>
    <s v="Electronics"/>
    <x v="2"/>
    <n v="7"/>
    <x v="702"/>
    <n v="686.42"/>
    <s v="UPI"/>
    <s v="Repeat Customer"/>
  </r>
  <r>
    <n v="10708"/>
    <s v="CUST248"/>
    <d v="2024-04-23T00:00:00"/>
    <s v="Home"/>
    <x v="3"/>
    <n v="8"/>
    <x v="703"/>
    <n v="2486.2399999999998"/>
    <s v="UPI"/>
    <s v="Repeat Customer"/>
  </r>
  <r>
    <n v="10709"/>
    <s v="CUST264"/>
    <d v="2024-01-20T00:00:00"/>
    <s v="Sports"/>
    <x v="0"/>
    <n v="3"/>
    <x v="485"/>
    <n v="88.71"/>
    <s v="UPI"/>
    <s v="Repeat Customer"/>
  </r>
  <r>
    <n v="10710"/>
    <s v="CUST152"/>
    <d v="2024-10-15T00:00:00"/>
    <s v="Beauty"/>
    <x v="0"/>
    <n v="5"/>
    <x v="688"/>
    <n v="334.45"/>
    <s v="UPI"/>
    <s v="Repeat Customer"/>
  </r>
  <r>
    <n v="10711"/>
    <s v="CUST146"/>
    <d v="2024-06-03T00:00:00"/>
    <s v="Home"/>
    <x v="3"/>
    <n v="1"/>
    <x v="704"/>
    <n v="249.32"/>
    <s v="Net Banking"/>
    <s v="Repeat Customer"/>
  </r>
  <r>
    <n v="10712"/>
    <s v="CUST355"/>
    <d v="2025-01-15T00:00:00"/>
    <s v="Electronics"/>
    <x v="1"/>
    <n v="8"/>
    <x v="705"/>
    <n v="2799.84"/>
    <s v="Credit Card"/>
    <s v="Repeat Customer"/>
  </r>
  <r>
    <n v="10713"/>
    <s v="CUST174"/>
    <d v="2024-02-27T00:00:00"/>
    <s v="Electronics"/>
    <x v="3"/>
    <n v="5"/>
    <x v="706"/>
    <n v="1944.75"/>
    <s v="UPI"/>
    <s v="Repeat Customer"/>
  </r>
  <r>
    <n v="10714"/>
    <s v="CUST198"/>
    <d v="2024-09-13T00:00:00"/>
    <s v="Electronics"/>
    <x v="2"/>
    <n v="7"/>
    <x v="707"/>
    <n v="2904.86"/>
    <s v="Wallet"/>
    <s v="Repeat Customer"/>
  </r>
  <r>
    <n v="10715"/>
    <s v="CUST326"/>
    <d v="2024-09-10T00:00:00"/>
    <s v="Electronics"/>
    <x v="2"/>
    <n v="1"/>
    <x v="708"/>
    <n v="103.59"/>
    <s v="Wallet"/>
    <s v="Repeat Customer"/>
  </r>
  <r>
    <n v="10716"/>
    <s v="CUST299"/>
    <d v="2025-11-28T00:00:00"/>
    <s v="Fashion"/>
    <x v="0"/>
    <n v="5"/>
    <x v="709"/>
    <n v="2342.15"/>
    <s v="Credit Card"/>
    <s v="Repeat Customer"/>
  </r>
  <r>
    <n v="10717"/>
    <s v="CUST229"/>
    <d v="2025-05-07T00:00:00"/>
    <s v="Electronics"/>
    <x v="2"/>
    <n v="5"/>
    <x v="710"/>
    <n v="516.85"/>
    <s v="Credit Card"/>
    <s v="Repeat Customer"/>
  </r>
  <r>
    <n v="10718"/>
    <s v="CUST220"/>
    <d v="2025-10-10T00:00:00"/>
    <s v="Fashion"/>
    <x v="1"/>
    <n v="7"/>
    <x v="711"/>
    <n v="1159.4100000000001"/>
    <s v="Credit Card"/>
    <s v="Repeat Customer"/>
  </r>
  <r>
    <n v="10719"/>
    <s v="CUST302"/>
    <d v="2024-09-05T00:00:00"/>
    <s v="Sports"/>
    <x v="3"/>
    <n v="1"/>
    <x v="712"/>
    <n v="484.57"/>
    <s v="UPI"/>
    <s v="Repeat Customer"/>
  </r>
  <r>
    <n v="10720"/>
    <s v="CUST290"/>
    <d v="2024-04-01T00:00:00"/>
    <s v="Electronics"/>
    <x v="1"/>
    <n v="4"/>
    <x v="713"/>
    <n v="332.24"/>
    <s v="Credit Card"/>
    <s v="Repeat Customer"/>
  </r>
  <r>
    <n v="10721"/>
    <s v="CUST130"/>
    <d v="2024-12-30T00:00:00"/>
    <s v="Electronics"/>
    <x v="2"/>
    <n v="3"/>
    <x v="714"/>
    <n v="1056.48"/>
    <s v="Wallet"/>
    <s v="Repeat Customer"/>
  </r>
  <r>
    <n v="10722"/>
    <s v="CUST219"/>
    <d v="2024-11-20T00:00:00"/>
    <s v="Home"/>
    <x v="3"/>
    <n v="9"/>
    <x v="715"/>
    <n v="3558.06"/>
    <s v="UPI"/>
    <s v="Repeat Customer"/>
  </r>
  <r>
    <n v="10723"/>
    <s v="CUST110"/>
    <d v="2025-12-06T00:00:00"/>
    <s v="Fashion"/>
    <x v="1"/>
    <n v="7"/>
    <x v="716"/>
    <n v="1276.03"/>
    <s v="Credit Card"/>
    <s v="Repeat Customer"/>
  </r>
  <r>
    <n v="10724"/>
    <s v="CUST348"/>
    <d v="2025-12-24T00:00:00"/>
    <s v="Sports"/>
    <x v="3"/>
    <n v="8"/>
    <x v="717"/>
    <n v="2253.7600000000002"/>
    <s v="UPI"/>
    <s v="Repeat Customer"/>
  </r>
  <r>
    <n v="10725"/>
    <s v="CUST390"/>
    <d v="2024-07-10T00:00:00"/>
    <s v="Beauty"/>
    <x v="1"/>
    <n v="9"/>
    <x v="718"/>
    <n v="1593.81"/>
    <s v="UPI"/>
    <s v="Repeat Customer"/>
  </r>
  <r>
    <n v="10726"/>
    <s v="CUST135"/>
    <d v="2025-06-27T00:00:00"/>
    <s v="Home"/>
    <x v="1"/>
    <n v="3"/>
    <x v="719"/>
    <n v="682.35"/>
    <s v="Wallet"/>
    <s v="Repeat Customer"/>
  </r>
  <r>
    <n v="10727"/>
    <s v="CUST100"/>
    <d v="2025-10-15T00:00:00"/>
    <s v="Fashion"/>
    <x v="0"/>
    <n v="9"/>
    <x v="720"/>
    <n v="1733.67"/>
    <s v="Net Banking"/>
    <s v="Repeat Customer"/>
  </r>
  <r>
    <n v="10728"/>
    <s v="CUST222"/>
    <d v="2024-11-24T00:00:00"/>
    <s v="Sports"/>
    <x v="3"/>
    <n v="2"/>
    <x v="721"/>
    <n v="661.7"/>
    <s v="UPI"/>
    <s v="Repeat Customer"/>
  </r>
  <r>
    <n v="10729"/>
    <s v="CUST368"/>
    <d v="2025-11-30T00:00:00"/>
    <s v="Fashion"/>
    <x v="1"/>
    <n v="8"/>
    <x v="722"/>
    <n v="3072.32"/>
    <s v="Net Banking"/>
    <s v="Repeat Customer"/>
  </r>
  <r>
    <n v="10730"/>
    <s v="CUST309"/>
    <d v="2025-10-18T00:00:00"/>
    <s v="Sports"/>
    <x v="0"/>
    <n v="6"/>
    <x v="723"/>
    <n v="358.08"/>
    <s v="Credit Card"/>
    <s v="Repeat Customer"/>
  </r>
  <r>
    <n v="10731"/>
    <s v="CUST166"/>
    <d v="2024-07-01T00:00:00"/>
    <s v="Beauty"/>
    <x v="2"/>
    <n v="1"/>
    <x v="724"/>
    <n v="105.03"/>
    <s v="Credit Card"/>
    <s v="New Customer"/>
  </r>
  <r>
    <n v="10732"/>
    <s v="CUST116"/>
    <d v="2025-08-07T00:00:00"/>
    <s v="Sports"/>
    <x v="1"/>
    <n v="7"/>
    <x v="725"/>
    <n v="2314.69"/>
    <s v="Credit Card"/>
    <s v="Repeat Customer"/>
  </r>
  <r>
    <n v="10733"/>
    <s v="CUST287"/>
    <d v="2024-08-14T00:00:00"/>
    <s v="Electronics"/>
    <x v="2"/>
    <n v="10"/>
    <x v="726"/>
    <n v="3603.3"/>
    <s v="Wallet"/>
    <s v="Repeat Customer"/>
  </r>
  <r>
    <n v="10734"/>
    <s v="CUST140"/>
    <d v="2025-04-24T00:00:00"/>
    <s v="Beauty"/>
    <x v="1"/>
    <n v="1"/>
    <x v="727"/>
    <n v="183.66"/>
    <s v="Credit Card"/>
    <s v="Repeat Customer"/>
  </r>
  <r>
    <n v="10735"/>
    <s v="CUST236"/>
    <d v="2025-06-25T00:00:00"/>
    <s v="Home"/>
    <x v="0"/>
    <n v="1"/>
    <x v="728"/>
    <n v="368.48"/>
    <s v="UPI"/>
    <s v="Repeat Customer"/>
  </r>
  <r>
    <n v="10736"/>
    <s v="CUST365"/>
    <d v="2024-04-09T00:00:00"/>
    <s v="Sports"/>
    <x v="3"/>
    <n v="2"/>
    <x v="729"/>
    <n v="727.92"/>
    <s v="UPI"/>
    <s v="Repeat Customer"/>
  </r>
  <r>
    <n v="10737"/>
    <s v="CUST198"/>
    <d v="2025-06-22T00:00:00"/>
    <s v="Fashion"/>
    <x v="3"/>
    <n v="4"/>
    <x v="730"/>
    <n v="1148.6400000000001"/>
    <s v="Credit Card"/>
    <s v="Repeat Customer"/>
  </r>
  <r>
    <n v="10738"/>
    <s v="CUST395"/>
    <d v="2025-01-01T00:00:00"/>
    <s v="Beauty"/>
    <x v="0"/>
    <n v="8"/>
    <x v="731"/>
    <n v="2822.08"/>
    <s v="UPI"/>
    <s v="Repeat Customer"/>
  </r>
  <r>
    <n v="10739"/>
    <s v="CUST192"/>
    <d v="2025-07-17T00:00:00"/>
    <s v="Fashion"/>
    <x v="3"/>
    <n v="7"/>
    <x v="732"/>
    <n v="1783.74"/>
    <s v="Net Banking"/>
    <s v="Repeat Customer"/>
  </r>
  <r>
    <n v="10740"/>
    <s v="CUST261"/>
    <d v="2025-07-17T00:00:00"/>
    <s v="Beauty"/>
    <x v="3"/>
    <n v="6"/>
    <x v="733"/>
    <n v="2539.1999999999998"/>
    <s v="Net Banking"/>
    <s v="Repeat Customer"/>
  </r>
  <r>
    <n v="10741"/>
    <s v="CUST223"/>
    <d v="2025-07-30T00:00:00"/>
    <s v="Sports"/>
    <x v="1"/>
    <n v="9"/>
    <x v="734"/>
    <n v="998.01"/>
    <s v="Net Banking"/>
    <s v="Repeat Customer"/>
  </r>
  <r>
    <n v="10742"/>
    <s v="CUST331"/>
    <d v="2025-04-03T00:00:00"/>
    <s v="Electronics"/>
    <x v="1"/>
    <n v="7"/>
    <x v="735"/>
    <n v="35.700000000000003"/>
    <s v="Credit Card"/>
    <s v="Repeat Customer"/>
  </r>
  <r>
    <n v="10743"/>
    <s v="CUST365"/>
    <d v="2024-05-18T00:00:00"/>
    <s v="Fashion"/>
    <x v="2"/>
    <n v="5"/>
    <x v="736"/>
    <n v="41.25"/>
    <s v="Net Banking"/>
    <s v="Repeat Customer"/>
  </r>
  <r>
    <n v="10744"/>
    <s v="CUST111"/>
    <d v="2025-12-07T00:00:00"/>
    <s v="Sports"/>
    <x v="2"/>
    <n v="5"/>
    <x v="737"/>
    <n v="2299.8000000000002"/>
    <s v="Credit Card"/>
    <s v="Repeat Customer"/>
  </r>
  <r>
    <n v="10745"/>
    <s v="CUST119"/>
    <d v="2025-04-16T00:00:00"/>
    <s v="Home"/>
    <x v="1"/>
    <n v="6"/>
    <x v="738"/>
    <n v="493.62"/>
    <s v="UPI"/>
    <s v="Repeat Customer"/>
  </r>
  <r>
    <n v="10746"/>
    <s v="CUST219"/>
    <d v="2024-09-19T00:00:00"/>
    <s v="Beauty"/>
    <x v="2"/>
    <n v="5"/>
    <x v="739"/>
    <n v="252.45"/>
    <s v="Credit Card"/>
    <s v="Repeat Customer"/>
  </r>
  <r>
    <n v="10747"/>
    <s v="CUST266"/>
    <d v="2025-05-09T00:00:00"/>
    <s v="Sports"/>
    <x v="0"/>
    <n v="3"/>
    <x v="740"/>
    <n v="740.1"/>
    <s v="Net Banking"/>
    <s v="Repeat Customer"/>
  </r>
  <r>
    <n v="10748"/>
    <s v="CUST119"/>
    <d v="2025-08-13T00:00:00"/>
    <s v="Electronics"/>
    <x v="1"/>
    <n v="7"/>
    <x v="741"/>
    <n v="306.95"/>
    <s v="Net Banking"/>
    <s v="Repeat Customer"/>
  </r>
  <r>
    <n v="10749"/>
    <s v="CUST322"/>
    <d v="2025-03-02T00:00:00"/>
    <s v="Fashion"/>
    <x v="0"/>
    <n v="2"/>
    <x v="742"/>
    <n v="871.08"/>
    <s v="Wallet"/>
    <s v="Repeat Customer"/>
  </r>
  <r>
    <n v="10750"/>
    <s v="CUST127"/>
    <d v="2024-11-08T00:00:00"/>
    <s v="Sports"/>
    <x v="2"/>
    <n v="9"/>
    <x v="743"/>
    <n v="228.51"/>
    <s v="Net Banking"/>
    <s v="Repeat Customer"/>
  </r>
  <r>
    <n v="10751"/>
    <s v="CUST357"/>
    <d v="2025-12-15T00:00:00"/>
    <s v="Beauty"/>
    <x v="3"/>
    <n v="4"/>
    <x v="744"/>
    <n v="323.32"/>
    <s v="Credit Card"/>
    <s v="Repeat Customer"/>
  </r>
  <r>
    <n v="10752"/>
    <s v="CUST213"/>
    <d v="2025-03-18T00:00:00"/>
    <s v="Fashion"/>
    <x v="2"/>
    <n v="5"/>
    <x v="745"/>
    <n v="1971.25"/>
    <s v="Net Banking"/>
    <s v="Repeat Customer"/>
  </r>
  <r>
    <n v="10753"/>
    <s v="CUST142"/>
    <d v="2025-05-02T00:00:00"/>
    <s v="Sports"/>
    <x v="3"/>
    <n v="10"/>
    <x v="746"/>
    <n v="3739.3"/>
    <s v="Net Banking"/>
    <s v="Repeat Customer"/>
  </r>
  <r>
    <n v="10754"/>
    <s v="CUST143"/>
    <d v="2025-02-12T00:00:00"/>
    <s v="Fashion"/>
    <x v="2"/>
    <n v="9"/>
    <x v="747"/>
    <n v="1980.63"/>
    <s v="Wallet"/>
    <s v="Repeat Customer"/>
  </r>
  <r>
    <n v="10755"/>
    <s v="CUST386"/>
    <d v="2024-07-21T00:00:00"/>
    <s v="Sports"/>
    <x v="2"/>
    <n v="8"/>
    <x v="748"/>
    <n v="1605.44"/>
    <s v="UPI"/>
    <s v="Repeat Customer"/>
  </r>
  <r>
    <n v="10756"/>
    <s v="CUST224"/>
    <d v="2024-03-14T00:00:00"/>
    <s v="Home"/>
    <x v="0"/>
    <n v="5"/>
    <x v="749"/>
    <n v="1947.5"/>
    <s v="Credit Card"/>
    <s v="Repeat Customer"/>
  </r>
  <r>
    <n v="10757"/>
    <s v="CUST311"/>
    <d v="2025-03-09T00:00:00"/>
    <s v="Home"/>
    <x v="1"/>
    <n v="6"/>
    <x v="750"/>
    <n v="1064.46"/>
    <s v="Credit Card"/>
    <s v="Repeat Customer"/>
  </r>
  <r>
    <n v="10758"/>
    <s v="CUST256"/>
    <d v="2024-06-22T00:00:00"/>
    <s v="Beauty"/>
    <x v="2"/>
    <n v="6"/>
    <x v="751"/>
    <n v="1860.18"/>
    <s v="Wallet"/>
    <s v="Repeat Customer"/>
  </r>
  <r>
    <n v="10759"/>
    <s v="CUST122"/>
    <d v="2024-08-27T00:00:00"/>
    <s v="Fashion"/>
    <x v="0"/>
    <n v="4"/>
    <x v="752"/>
    <n v="1377"/>
    <s v="Credit Card"/>
    <s v="Repeat Customer"/>
  </r>
  <r>
    <n v="10760"/>
    <s v="CUST127"/>
    <d v="2024-09-05T00:00:00"/>
    <s v="Home"/>
    <x v="0"/>
    <n v="10"/>
    <x v="753"/>
    <n v="4637.3"/>
    <s v="Net Banking"/>
    <s v="Repeat Customer"/>
  </r>
  <r>
    <n v="10761"/>
    <s v="CUST156"/>
    <d v="2024-11-08T00:00:00"/>
    <s v="Home"/>
    <x v="2"/>
    <n v="8"/>
    <x v="754"/>
    <n v="1905.92"/>
    <s v="UPI"/>
    <s v="Repeat Customer"/>
  </r>
  <r>
    <n v="10762"/>
    <s v="CUST204"/>
    <d v="2025-07-13T00:00:00"/>
    <s v="Sports"/>
    <x v="3"/>
    <n v="9"/>
    <x v="755"/>
    <n v="3387.87"/>
    <s v="UPI"/>
    <s v="Repeat Customer"/>
  </r>
  <r>
    <n v="10763"/>
    <s v="CUST109"/>
    <d v="2025-01-20T00:00:00"/>
    <s v="Sports"/>
    <x v="0"/>
    <n v="10"/>
    <x v="756"/>
    <n v="4534.8999999999996"/>
    <s v="Net Banking"/>
    <s v="Repeat Customer"/>
  </r>
  <r>
    <n v="10764"/>
    <s v="CUST187"/>
    <d v="2024-03-02T00:00:00"/>
    <s v="Sports"/>
    <x v="1"/>
    <n v="5"/>
    <x v="757"/>
    <n v="521.70000000000005"/>
    <s v="Credit Card"/>
    <s v="Repeat Customer"/>
  </r>
  <r>
    <n v="10765"/>
    <s v="CUST338"/>
    <d v="2025-11-01T00:00:00"/>
    <s v="Home"/>
    <x v="1"/>
    <n v="1"/>
    <x v="758"/>
    <n v="37.97"/>
    <s v="Credit Card"/>
    <s v="Repeat Customer"/>
  </r>
  <r>
    <n v="10766"/>
    <s v="CUST109"/>
    <d v="2024-10-26T00:00:00"/>
    <s v="Beauty"/>
    <x v="0"/>
    <n v="7"/>
    <x v="759"/>
    <n v="836.01"/>
    <s v="Net Banking"/>
    <s v="Repeat Customer"/>
  </r>
  <r>
    <n v="10767"/>
    <s v="CUST348"/>
    <d v="2025-09-03T00:00:00"/>
    <s v="Fashion"/>
    <x v="3"/>
    <n v="9"/>
    <x v="760"/>
    <n v="437.13"/>
    <s v="Credit Card"/>
    <s v="Repeat Customer"/>
  </r>
  <r>
    <n v="10768"/>
    <s v="CUST120"/>
    <d v="2024-09-10T00:00:00"/>
    <s v="Beauty"/>
    <x v="3"/>
    <n v="9"/>
    <x v="761"/>
    <n v="1403.46"/>
    <s v="UPI"/>
    <s v="Repeat Customer"/>
  </r>
  <r>
    <n v="10769"/>
    <s v="CUST109"/>
    <d v="2024-12-21T00:00:00"/>
    <s v="Home"/>
    <x v="2"/>
    <n v="6"/>
    <x v="762"/>
    <n v="1085.46"/>
    <s v="Net Banking"/>
    <s v="Repeat Customer"/>
  </r>
  <r>
    <n v="10770"/>
    <s v="CUST131"/>
    <d v="2025-10-02T00:00:00"/>
    <s v="Electronics"/>
    <x v="1"/>
    <n v="5"/>
    <x v="763"/>
    <n v="2199.75"/>
    <s v="UPI"/>
    <s v="Repeat Customer"/>
  </r>
  <r>
    <n v="10771"/>
    <s v="CUST177"/>
    <d v="2024-12-15T00:00:00"/>
    <s v="Electronics"/>
    <x v="3"/>
    <n v="7"/>
    <x v="764"/>
    <n v="2311.2600000000002"/>
    <s v="UPI"/>
    <s v="Repeat Customer"/>
  </r>
  <r>
    <n v="10772"/>
    <s v="CUST313"/>
    <d v="2024-09-03T00:00:00"/>
    <s v="Home"/>
    <x v="1"/>
    <n v="10"/>
    <x v="765"/>
    <n v="806.1"/>
    <s v="Wallet"/>
    <s v="Repeat Customer"/>
  </r>
  <r>
    <n v="10773"/>
    <s v="CUST377"/>
    <d v="2024-05-14T00:00:00"/>
    <s v="Sports"/>
    <x v="2"/>
    <n v="4"/>
    <x v="766"/>
    <n v="1311.88"/>
    <s v="UPI"/>
    <s v="Repeat Customer"/>
  </r>
  <r>
    <n v="10774"/>
    <s v="CUST258"/>
    <d v="2025-12-06T00:00:00"/>
    <s v="Beauty"/>
    <x v="2"/>
    <n v="9"/>
    <x v="767"/>
    <n v="4097.07"/>
    <s v="UPI"/>
    <s v="Repeat Customer"/>
  </r>
  <r>
    <n v="10775"/>
    <s v="CUST262"/>
    <d v="2024-03-10T00:00:00"/>
    <s v="Electronics"/>
    <x v="2"/>
    <n v="9"/>
    <x v="768"/>
    <n v="2419.38"/>
    <s v="Net Banking"/>
    <s v="Repeat Customer"/>
  </r>
  <r>
    <n v="10776"/>
    <s v="CUST174"/>
    <d v="2024-01-31T00:00:00"/>
    <s v="Beauty"/>
    <x v="3"/>
    <n v="6"/>
    <x v="769"/>
    <n v="2644.02"/>
    <s v="Net Banking"/>
    <s v="Repeat Customer"/>
  </r>
  <r>
    <n v="10777"/>
    <s v="CUST326"/>
    <d v="2025-10-14T00:00:00"/>
    <s v="Fashion"/>
    <x v="0"/>
    <n v="5"/>
    <x v="770"/>
    <n v="401.1"/>
    <s v="UPI"/>
    <s v="Repeat Customer"/>
  </r>
  <r>
    <n v="10778"/>
    <s v="CUST194"/>
    <d v="2024-01-27T00:00:00"/>
    <s v="Sports"/>
    <x v="2"/>
    <n v="10"/>
    <x v="771"/>
    <n v="3103.9"/>
    <s v="UPI"/>
    <s v="Repeat Customer"/>
  </r>
  <r>
    <n v="10779"/>
    <s v="CUST218"/>
    <d v="2025-12-04T00:00:00"/>
    <s v="Beauty"/>
    <x v="2"/>
    <n v="1"/>
    <x v="536"/>
    <n v="182.83"/>
    <s v="Wallet"/>
    <s v="Repeat Customer"/>
  </r>
  <r>
    <n v="10780"/>
    <s v="CUST291"/>
    <d v="2024-07-07T00:00:00"/>
    <s v="Fashion"/>
    <x v="2"/>
    <n v="7"/>
    <x v="772"/>
    <n v="1737.89"/>
    <s v="UPI"/>
    <s v="Repeat Customer"/>
  </r>
  <r>
    <n v="10781"/>
    <s v="CUST215"/>
    <d v="2024-02-03T00:00:00"/>
    <s v="Electronics"/>
    <x v="1"/>
    <n v="7"/>
    <x v="773"/>
    <n v="2684.15"/>
    <s v="Wallet"/>
    <s v="Repeat Customer"/>
  </r>
  <r>
    <n v="10782"/>
    <s v="CUST213"/>
    <d v="2025-11-18T00:00:00"/>
    <s v="Electronics"/>
    <x v="2"/>
    <n v="4"/>
    <x v="774"/>
    <n v="1520.4"/>
    <s v="Wallet"/>
    <s v="Repeat Customer"/>
  </r>
  <r>
    <n v="10783"/>
    <s v="CUST350"/>
    <d v="2025-12-05T00:00:00"/>
    <s v="Fashion"/>
    <x v="3"/>
    <n v="6"/>
    <x v="775"/>
    <n v="2604.3000000000002"/>
    <s v="Wallet"/>
    <s v="Repeat Customer"/>
  </r>
  <r>
    <n v="10784"/>
    <s v="CUST121"/>
    <d v="2025-09-14T00:00:00"/>
    <s v="Beauty"/>
    <x v="0"/>
    <n v="7"/>
    <x v="776"/>
    <n v="2530.5"/>
    <s v="Credit Card"/>
    <s v="Repeat Customer"/>
  </r>
  <r>
    <n v="10785"/>
    <s v="CUST331"/>
    <d v="2025-04-12T00:00:00"/>
    <s v="Fashion"/>
    <x v="3"/>
    <n v="1"/>
    <x v="777"/>
    <n v="439.5"/>
    <s v="Credit Card"/>
    <s v="Repeat Customer"/>
  </r>
  <r>
    <n v="10786"/>
    <s v="CUST385"/>
    <d v="2025-01-31T00:00:00"/>
    <s v="Electronics"/>
    <x v="2"/>
    <n v="9"/>
    <x v="778"/>
    <n v="3453.75"/>
    <s v="Net Banking"/>
    <s v="Repeat Customer"/>
  </r>
  <r>
    <n v="10787"/>
    <s v="CUST325"/>
    <d v="2025-02-11T00:00:00"/>
    <s v="Home"/>
    <x v="3"/>
    <n v="5"/>
    <x v="779"/>
    <n v="1939.85"/>
    <s v="UPI"/>
    <s v="Repeat Customer"/>
  </r>
  <r>
    <n v="10788"/>
    <s v="CUST316"/>
    <d v="2024-10-28T00:00:00"/>
    <s v="Sports"/>
    <x v="2"/>
    <n v="10"/>
    <x v="780"/>
    <n v="4599.2"/>
    <s v="Wallet"/>
    <s v="Repeat Customer"/>
  </r>
  <r>
    <n v="10789"/>
    <s v="CUST331"/>
    <d v="2024-04-02T00:00:00"/>
    <s v="Sports"/>
    <x v="2"/>
    <n v="9"/>
    <x v="781"/>
    <n v="549.17999999999995"/>
    <s v="Wallet"/>
    <s v="Repeat Customer"/>
  </r>
  <r>
    <n v="10790"/>
    <s v="CUST311"/>
    <d v="2024-11-27T00:00:00"/>
    <s v="Beauty"/>
    <x v="2"/>
    <n v="8"/>
    <x v="782"/>
    <n v="138.63999999999999"/>
    <s v="Wallet"/>
    <s v="Repeat Customer"/>
  </r>
  <r>
    <n v="10791"/>
    <s v="CUST146"/>
    <d v="2024-09-13T00:00:00"/>
    <s v="Fashion"/>
    <x v="0"/>
    <n v="6"/>
    <x v="783"/>
    <n v="2084.4"/>
    <s v="Credit Card"/>
    <s v="Repeat Customer"/>
  </r>
  <r>
    <n v="10792"/>
    <s v="CUST158"/>
    <d v="2025-12-24T00:00:00"/>
    <s v="Electronics"/>
    <x v="3"/>
    <n v="8"/>
    <x v="784"/>
    <n v="2550.96"/>
    <s v="UPI"/>
    <s v="Repeat Customer"/>
  </r>
  <r>
    <n v="10793"/>
    <s v="CUST293"/>
    <d v="2025-07-17T00:00:00"/>
    <s v="Fashion"/>
    <x v="1"/>
    <n v="7"/>
    <x v="785"/>
    <n v="187.11"/>
    <s v="UPI"/>
    <s v="Repeat Customer"/>
  </r>
  <r>
    <n v="10794"/>
    <s v="CUST183"/>
    <d v="2024-05-28T00:00:00"/>
    <s v="Electronics"/>
    <x v="3"/>
    <n v="3"/>
    <x v="786"/>
    <n v="1157.19"/>
    <s v="Net Banking"/>
    <s v="Repeat Customer"/>
  </r>
  <r>
    <n v="10795"/>
    <s v="CUST258"/>
    <d v="2025-04-01T00:00:00"/>
    <s v="Electronics"/>
    <x v="2"/>
    <n v="5"/>
    <x v="787"/>
    <n v="1575.45"/>
    <s v="UPI"/>
    <s v="Repeat Customer"/>
  </r>
  <r>
    <n v="10796"/>
    <s v="CUST101"/>
    <d v="2025-09-29T00:00:00"/>
    <s v="Beauty"/>
    <x v="3"/>
    <n v="5"/>
    <x v="788"/>
    <n v="55.2"/>
    <s v="Credit Card"/>
    <s v="Repeat Customer"/>
  </r>
  <r>
    <n v="10797"/>
    <s v="CUST352"/>
    <d v="2024-08-31T00:00:00"/>
    <s v="Beauty"/>
    <x v="3"/>
    <n v="4"/>
    <x v="789"/>
    <n v="1185.96"/>
    <s v="Wallet"/>
    <s v="New Customer"/>
  </r>
  <r>
    <n v="10798"/>
    <s v="CUST326"/>
    <d v="2024-03-22T00:00:00"/>
    <s v="Fashion"/>
    <x v="1"/>
    <n v="10"/>
    <x v="790"/>
    <n v="3020.5"/>
    <s v="UPI"/>
    <s v="Repeat Customer"/>
  </r>
  <r>
    <n v="10799"/>
    <s v="CUST125"/>
    <d v="2024-07-08T00:00:00"/>
    <s v="Home"/>
    <x v="0"/>
    <n v="3"/>
    <x v="791"/>
    <n v="96.78"/>
    <s v="UPI"/>
    <s v="Repeat Customer"/>
  </r>
  <r>
    <n v="10800"/>
    <s v="CUST116"/>
    <d v="2025-11-14T00:00:00"/>
    <s v="Home"/>
    <x v="1"/>
    <n v="10"/>
    <x v="792"/>
    <n v="4198.2"/>
    <s v="Credit Card"/>
    <s v="Repeat Customer"/>
  </r>
  <r>
    <n v="10801"/>
    <s v="CUST125"/>
    <d v="2024-04-21T00:00:00"/>
    <s v="Fashion"/>
    <x v="1"/>
    <n v="7"/>
    <x v="793"/>
    <n v="3478.3"/>
    <s v="UPI"/>
    <s v="Repeat Customer"/>
  </r>
  <r>
    <n v="10802"/>
    <s v="CUST333"/>
    <d v="2025-08-15T00:00:00"/>
    <s v="Electronics"/>
    <x v="1"/>
    <n v="6"/>
    <x v="794"/>
    <n v="2796.48"/>
    <s v="Net Banking"/>
    <s v="Repeat Customer"/>
  </r>
  <r>
    <n v="10803"/>
    <s v="CUST288"/>
    <d v="2025-01-23T00:00:00"/>
    <s v="Sports"/>
    <x v="0"/>
    <n v="2"/>
    <x v="795"/>
    <n v="760.86"/>
    <s v="Net Banking"/>
    <s v="Repeat Customer"/>
  </r>
  <r>
    <n v="10804"/>
    <s v="CUST341"/>
    <d v="2024-05-17T00:00:00"/>
    <s v="Home"/>
    <x v="1"/>
    <n v="2"/>
    <x v="796"/>
    <n v="697.68"/>
    <s v="Wallet"/>
    <s v="Repeat Customer"/>
  </r>
  <r>
    <n v="10805"/>
    <s v="CUST368"/>
    <d v="2024-08-02T00:00:00"/>
    <s v="Electronics"/>
    <x v="0"/>
    <n v="4"/>
    <x v="797"/>
    <n v="1231.8800000000001"/>
    <s v="Wallet"/>
    <s v="Repeat Customer"/>
  </r>
  <r>
    <n v="10806"/>
    <s v="CUST247"/>
    <d v="2025-03-13T00:00:00"/>
    <s v="Home"/>
    <x v="1"/>
    <n v="10"/>
    <x v="798"/>
    <n v="4246.6000000000004"/>
    <s v="UPI"/>
    <s v="Repeat Customer"/>
  </r>
  <r>
    <n v="10807"/>
    <s v="CUST388"/>
    <d v="2025-05-23T00:00:00"/>
    <s v="Beauty"/>
    <x v="3"/>
    <n v="9"/>
    <x v="799"/>
    <n v="3293.55"/>
    <s v="UPI"/>
    <s v="Repeat Customer"/>
  </r>
  <r>
    <n v="10808"/>
    <s v="CUST219"/>
    <d v="2025-12-26T00:00:00"/>
    <s v="Electronics"/>
    <x v="0"/>
    <n v="5"/>
    <x v="800"/>
    <n v="2448.65"/>
    <s v="Credit Card"/>
    <s v="Repeat Customer"/>
  </r>
  <r>
    <n v="10809"/>
    <s v="CUST338"/>
    <d v="2025-10-02T00:00:00"/>
    <s v="Fashion"/>
    <x v="3"/>
    <n v="2"/>
    <x v="801"/>
    <n v="740.1"/>
    <s v="Wallet"/>
    <s v="Repeat Customer"/>
  </r>
  <r>
    <n v="10810"/>
    <s v="CUST123"/>
    <d v="2024-12-07T00:00:00"/>
    <s v="Fashion"/>
    <x v="0"/>
    <n v="6"/>
    <x v="802"/>
    <n v="1694.46"/>
    <s v="UPI"/>
    <s v="Repeat Customer"/>
  </r>
  <r>
    <n v="10811"/>
    <s v="CUST244"/>
    <d v="2024-09-17T00:00:00"/>
    <s v="Sports"/>
    <x v="1"/>
    <n v="2"/>
    <x v="803"/>
    <n v="314.7"/>
    <s v="Credit Card"/>
    <s v="Repeat Customer"/>
  </r>
  <r>
    <n v="10812"/>
    <s v="CUST158"/>
    <d v="2025-12-03T00:00:00"/>
    <s v="Sports"/>
    <x v="0"/>
    <n v="6"/>
    <x v="804"/>
    <n v="1043.82"/>
    <s v="UPI"/>
    <s v="Repeat Customer"/>
  </r>
  <r>
    <n v="10813"/>
    <s v="CUST199"/>
    <d v="2024-12-04T00:00:00"/>
    <s v="Beauty"/>
    <x v="3"/>
    <n v="6"/>
    <x v="805"/>
    <n v="2769.18"/>
    <s v="Credit Card"/>
    <s v="Repeat Customer"/>
  </r>
  <r>
    <n v="10814"/>
    <s v="CUST169"/>
    <d v="2025-05-08T00:00:00"/>
    <s v="Sports"/>
    <x v="1"/>
    <n v="3"/>
    <x v="806"/>
    <n v="946.38"/>
    <s v="Wallet"/>
    <s v="Repeat Customer"/>
  </r>
  <r>
    <n v="10815"/>
    <s v="CUST311"/>
    <d v="2024-02-27T00:00:00"/>
    <s v="Home"/>
    <x v="0"/>
    <n v="9"/>
    <x v="807"/>
    <n v="1378.62"/>
    <s v="UPI"/>
    <s v="Repeat Customer"/>
  </r>
  <r>
    <n v="10816"/>
    <s v="CUST395"/>
    <d v="2025-12-02T00:00:00"/>
    <s v="Home"/>
    <x v="0"/>
    <n v="6"/>
    <x v="808"/>
    <n v="2404.62"/>
    <s v="UPI"/>
    <s v="Repeat Customer"/>
  </r>
  <r>
    <n v="10817"/>
    <s v="CUST243"/>
    <d v="2024-02-01T00:00:00"/>
    <s v="Sports"/>
    <x v="2"/>
    <n v="6"/>
    <x v="809"/>
    <n v="2951.34"/>
    <s v="Wallet"/>
    <s v="Repeat Customer"/>
  </r>
  <r>
    <n v="10818"/>
    <s v="CUST195"/>
    <d v="2025-09-01T00:00:00"/>
    <s v="Home"/>
    <x v="1"/>
    <n v="2"/>
    <x v="810"/>
    <n v="865.94"/>
    <s v="Credit Card"/>
    <s v="Repeat Customer"/>
  </r>
  <r>
    <n v="10819"/>
    <s v="CUST239"/>
    <d v="2025-02-27T00:00:00"/>
    <s v="Fashion"/>
    <x v="1"/>
    <n v="2"/>
    <x v="811"/>
    <n v="502.08"/>
    <s v="Wallet"/>
    <s v="Repeat Customer"/>
  </r>
  <r>
    <n v="10820"/>
    <s v="CUST254"/>
    <d v="2024-08-09T00:00:00"/>
    <s v="Electronics"/>
    <x v="1"/>
    <n v="9"/>
    <x v="812"/>
    <n v="1391.85"/>
    <s v="Credit Card"/>
    <s v="Repeat Customer"/>
  </r>
  <r>
    <n v="10821"/>
    <s v="CUST203"/>
    <d v="2024-04-04T00:00:00"/>
    <s v="Beauty"/>
    <x v="2"/>
    <n v="8"/>
    <x v="813"/>
    <n v="2043.76"/>
    <s v="UPI"/>
    <s v="Repeat Customer"/>
  </r>
  <r>
    <n v="10822"/>
    <s v="CUST274"/>
    <d v="2025-05-10T00:00:00"/>
    <s v="Home"/>
    <x v="2"/>
    <n v="9"/>
    <x v="814"/>
    <n v="1427.67"/>
    <s v="Credit Card"/>
    <s v="Repeat Customer"/>
  </r>
  <r>
    <n v="10823"/>
    <s v="CUST364"/>
    <d v="2025-11-23T00:00:00"/>
    <s v="Electronics"/>
    <x v="3"/>
    <n v="3"/>
    <x v="815"/>
    <n v="319.70999999999998"/>
    <s v="Wallet"/>
    <s v="Repeat Customer"/>
  </r>
  <r>
    <n v="10824"/>
    <s v="CUST367"/>
    <d v="2024-04-28T00:00:00"/>
    <s v="Electronics"/>
    <x v="0"/>
    <n v="1"/>
    <x v="816"/>
    <n v="158.94"/>
    <s v="Net Banking"/>
    <s v="Repeat Customer"/>
  </r>
  <r>
    <n v="10825"/>
    <s v="CUST339"/>
    <d v="2024-02-17T00:00:00"/>
    <s v="Home"/>
    <x v="0"/>
    <n v="2"/>
    <x v="817"/>
    <n v="525.38"/>
    <s v="Net Banking"/>
    <s v="Repeat Customer"/>
  </r>
  <r>
    <n v="10826"/>
    <s v="CUST207"/>
    <d v="2024-11-24T00:00:00"/>
    <s v="Home"/>
    <x v="1"/>
    <n v="4"/>
    <x v="818"/>
    <n v="401.24"/>
    <s v="Wallet"/>
    <s v="Repeat Customer"/>
  </r>
  <r>
    <n v="10827"/>
    <s v="CUST160"/>
    <d v="2024-10-06T00:00:00"/>
    <s v="Electronics"/>
    <x v="0"/>
    <n v="3"/>
    <x v="819"/>
    <n v="248.88"/>
    <s v="Credit Card"/>
    <s v="Repeat Customer"/>
  </r>
  <r>
    <n v="10828"/>
    <s v="CUST205"/>
    <d v="2025-07-09T00:00:00"/>
    <s v="Home"/>
    <x v="2"/>
    <n v="6"/>
    <x v="820"/>
    <n v="1661.64"/>
    <s v="Net Banking"/>
    <s v="Repeat Customer"/>
  </r>
  <r>
    <n v="10829"/>
    <s v="CUST393"/>
    <d v="2024-09-07T00:00:00"/>
    <s v="Sports"/>
    <x v="1"/>
    <n v="3"/>
    <x v="821"/>
    <n v="120.81"/>
    <s v="Wallet"/>
    <s v="Repeat Customer"/>
  </r>
  <r>
    <n v="10830"/>
    <s v="CUST125"/>
    <d v="2024-05-13T00:00:00"/>
    <s v="Electronics"/>
    <x v="0"/>
    <n v="1"/>
    <x v="822"/>
    <n v="238.01"/>
    <s v="Wallet"/>
    <s v="Repeat Customer"/>
  </r>
  <r>
    <n v="10831"/>
    <s v="CUST127"/>
    <d v="2024-03-29T00:00:00"/>
    <s v="Sports"/>
    <x v="3"/>
    <n v="7"/>
    <x v="823"/>
    <n v="1393"/>
    <s v="Net Banking"/>
    <s v="Repeat Customer"/>
  </r>
  <r>
    <n v="10832"/>
    <s v="CUST259"/>
    <d v="2024-12-06T00:00:00"/>
    <s v="Sports"/>
    <x v="0"/>
    <n v="4"/>
    <x v="824"/>
    <n v="1431.52"/>
    <s v="Wallet"/>
    <s v="Repeat Customer"/>
  </r>
  <r>
    <n v="10833"/>
    <s v="CUST390"/>
    <d v="2024-05-14T00:00:00"/>
    <s v="Beauty"/>
    <x v="0"/>
    <n v="2"/>
    <x v="825"/>
    <n v="814.72"/>
    <s v="Wallet"/>
    <s v="Repeat Customer"/>
  </r>
  <r>
    <n v="10834"/>
    <s v="CUST258"/>
    <d v="2025-12-01T00:00:00"/>
    <s v="Fashion"/>
    <x v="2"/>
    <n v="8"/>
    <x v="826"/>
    <n v="1903.36"/>
    <s v="Net Banking"/>
    <s v="Repeat Customer"/>
  </r>
  <r>
    <n v="10835"/>
    <s v="CUST286"/>
    <d v="2025-02-05T00:00:00"/>
    <s v="Home"/>
    <x v="1"/>
    <n v="3"/>
    <x v="827"/>
    <n v="1053.93"/>
    <s v="Wallet"/>
    <s v="Repeat Customer"/>
  </r>
  <r>
    <n v="10836"/>
    <s v="CUST349"/>
    <d v="2024-01-31T00:00:00"/>
    <s v="Home"/>
    <x v="3"/>
    <n v="2"/>
    <x v="828"/>
    <n v="480.58"/>
    <s v="Wallet"/>
    <s v="Repeat Customer"/>
  </r>
  <r>
    <n v="10837"/>
    <s v="CUST187"/>
    <d v="2024-10-16T00:00:00"/>
    <s v="Fashion"/>
    <x v="0"/>
    <n v="6"/>
    <x v="829"/>
    <n v="1825.2"/>
    <s v="Wallet"/>
    <s v="Repeat Customer"/>
  </r>
  <r>
    <n v="10838"/>
    <s v="CUST154"/>
    <d v="2024-11-29T00:00:00"/>
    <s v="Home"/>
    <x v="3"/>
    <n v="9"/>
    <x v="830"/>
    <n v="2938.32"/>
    <s v="Wallet"/>
    <s v="Repeat Customer"/>
  </r>
  <r>
    <n v="10839"/>
    <s v="CUST311"/>
    <d v="2024-09-01T00:00:00"/>
    <s v="Fashion"/>
    <x v="3"/>
    <n v="10"/>
    <x v="831"/>
    <n v="1256.3"/>
    <s v="Wallet"/>
    <s v="Repeat Customer"/>
  </r>
  <r>
    <n v="10840"/>
    <s v="CUST133"/>
    <d v="2024-12-14T00:00:00"/>
    <s v="Sports"/>
    <x v="3"/>
    <n v="4"/>
    <x v="832"/>
    <n v="1631.56"/>
    <s v="Wallet"/>
    <s v="Repeat Customer"/>
  </r>
  <r>
    <n v="10841"/>
    <s v="CUST390"/>
    <d v="2024-12-16T00:00:00"/>
    <s v="Fashion"/>
    <x v="0"/>
    <n v="9"/>
    <x v="833"/>
    <n v="3137.4"/>
    <s v="Wallet"/>
    <s v="Repeat Customer"/>
  </r>
  <r>
    <n v="10842"/>
    <s v="CUST158"/>
    <d v="2025-08-29T00:00:00"/>
    <s v="Sports"/>
    <x v="0"/>
    <n v="10"/>
    <x v="834"/>
    <n v="2341.4"/>
    <s v="Wallet"/>
    <s v="Repeat Customer"/>
  </r>
  <r>
    <n v="10843"/>
    <s v="CUST190"/>
    <d v="2024-11-11T00:00:00"/>
    <s v="Electronics"/>
    <x v="3"/>
    <n v="7"/>
    <x v="835"/>
    <n v="276.22000000000003"/>
    <s v="Net Banking"/>
    <s v="Repeat Customer"/>
  </r>
  <r>
    <n v="10844"/>
    <s v="CUST353"/>
    <d v="2025-10-22T00:00:00"/>
    <s v="Fashion"/>
    <x v="0"/>
    <n v="1"/>
    <x v="836"/>
    <n v="49.81"/>
    <s v="UPI"/>
    <s v="New Customer"/>
  </r>
  <r>
    <n v="10845"/>
    <s v="CUST176"/>
    <d v="2025-04-08T00:00:00"/>
    <s v="Sports"/>
    <x v="3"/>
    <n v="9"/>
    <x v="837"/>
    <n v="1343.61"/>
    <s v="UPI"/>
    <s v="Repeat Customer"/>
  </r>
  <r>
    <n v="10846"/>
    <s v="CUST205"/>
    <d v="2025-11-28T00:00:00"/>
    <s v="Home"/>
    <x v="3"/>
    <n v="6"/>
    <x v="838"/>
    <n v="920.22"/>
    <s v="Net Banking"/>
    <s v="Repeat Customer"/>
  </r>
  <r>
    <n v="10847"/>
    <s v="CUST145"/>
    <d v="2025-08-19T00:00:00"/>
    <s v="Sports"/>
    <x v="3"/>
    <n v="1"/>
    <x v="839"/>
    <n v="307.69"/>
    <s v="UPI"/>
    <s v="Repeat Customer"/>
  </r>
  <r>
    <n v="10848"/>
    <s v="CUST250"/>
    <d v="2024-03-04T00:00:00"/>
    <s v="Electronics"/>
    <x v="0"/>
    <n v="6"/>
    <x v="840"/>
    <n v="2706.18"/>
    <s v="Net Banking"/>
    <s v="Repeat Customer"/>
  </r>
  <r>
    <n v="10849"/>
    <s v="CUST156"/>
    <d v="2024-10-15T00:00:00"/>
    <s v="Sports"/>
    <x v="3"/>
    <n v="1"/>
    <x v="841"/>
    <n v="121.44"/>
    <s v="Net Banking"/>
    <s v="Repeat Customer"/>
  </r>
  <r>
    <n v="10850"/>
    <s v="CUST295"/>
    <d v="2025-02-19T00:00:00"/>
    <s v="Fashion"/>
    <x v="2"/>
    <n v="7"/>
    <x v="842"/>
    <n v="1542.94"/>
    <s v="Wallet"/>
    <s v="Repeat Customer"/>
  </r>
  <r>
    <n v="10851"/>
    <s v="CUST171"/>
    <d v="2024-07-11T00:00:00"/>
    <s v="Home"/>
    <x v="3"/>
    <n v="9"/>
    <x v="843"/>
    <n v="1758.33"/>
    <s v="UPI"/>
    <s v="Repeat Customer"/>
  </r>
  <r>
    <n v="10852"/>
    <s v="CUST247"/>
    <d v="2025-11-17T00:00:00"/>
    <s v="Electronics"/>
    <x v="0"/>
    <n v="3"/>
    <x v="844"/>
    <n v="214.41"/>
    <s v="UPI"/>
    <s v="Repeat Customer"/>
  </r>
  <r>
    <n v="10853"/>
    <s v="CUST349"/>
    <d v="2025-11-04T00:00:00"/>
    <s v="Fashion"/>
    <x v="0"/>
    <n v="7"/>
    <x v="845"/>
    <n v="3413.27"/>
    <s v="UPI"/>
    <s v="Repeat Customer"/>
  </r>
  <r>
    <n v="10854"/>
    <s v="CUST312"/>
    <d v="2025-04-11T00:00:00"/>
    <s v="Sports"/>
    <x v="2"/>
    <n v="10"/>
    <x v="846"/>
    <n v="4655"/>
    <s v="Wallet"/>
    <s v="Repeat Customer"/>
  </r>
  <r>
    <n v="10855"/>
    <s v="CUST360"/>
    <d v="2025-03-10T00:00:00"/>
    <s v="Beauty"/>
    <x v="1"/>
    <n v="9"/>
    <x v="847"/>
    <n v="3698.46"/>
    <s v="UPI"/>
    <s v="Repeat Customer"/>
  </r>
  <r>
    <n v="10856"/>
    <s v="CUST195"/>
    <d v="2025-03-10T00:00:00"/>
    <s v="Beauty"/>
    <x v="2"/>
    <n v="10"/>
    <x v="848"/>
    <n v="86.8"/>
    <s v="Net Banking"/>
    <s v="Repeat Customer"/>
  </r>
  <r>
    <n v="10857"/>
    <s v="CUST310"/>
    <d v="2025-07-13T00:00:00"/>
    <s v="Electronics"/>
    <x v="3"/>
    <n v="10"/>
    <x v="849"/>
    <n v="1866.5"/>
    <s v="Net Banking"/>
    <s v="Repeat Customer"/>
  </r>
  <r>
    <n v="10858"/>
    <s v="CUST157"/>
    <d v="2025-08-17T00:00:00"/>
    <s v="Electronics"/>
    <x v="2"/>
    <n v="8"/>
    <x v="850"/>
    <n v="3848.48"/>
    <s v="Net Banking"/>
    <s v="Repeat Customer"/>
  </r>
  <r>
    <n v="10859"/>
    <s v="CUST338"/>
    <d v="2025-06-13T00:00:00"/>
    <s v="Sports"/>
    <x v="0"/>
    <n v="2"/>
    <x v="851"/>
    <n v="528.12"/>
    <s v="UPI"/>
    <s v="Repeat Customer"/>
  </r>
  <r>
    <n v="10860"/>
    <s v="CUST341"/>
    <d v="2025-10-07T00:00:00"/>
    <s v="Sports"/>
    <x v="1"/>
    <n v="2"/>
    <x v="852"/>
    <n v="687.24"/>
    <s v="Credit Card"/>
    <s v="Repeat Customer"/>
  </r>
  <r>
    <n v="10861"/>
    <s v="CUST275"/>
    <d v="2025-07-01T00:00:00"/>
    <s v="Sports"/>
    <x v="3"/>
    <n v="1"/>
    <x v="853"/>
    <n v="237.09"/>
    <s v="Net Banking"/>
    <s v="Repeat Customer"/>
  </r>
  <r>
    <n v="10862"/>
    <s v="CUST315"/>
    <d v="2024-12-27T00:00:00"/>
    <s v="Electronics"/>
    <x v="1"/>
    <n v="5"/>
    <x v="854"/>
    <n v="740.8"/>
    <s v="Net Banking"/>
    <s v="Repeat Customer"/>
  </r>
  <r>
    <n v="10863"/>
    <s v="CUST131"/>
    <d v="2025-10-06T00:00:00"/>
    <s v="Sports"/>
    <x v="0"/>
    <n v="8"/>
    <x v="855"/>
    <n v="2329.44"/>
    <s v="Net Banking"/>
    <s v="Repeat Customer"/>
  </r>
  <r>
    <n v="10864"/>
    <s v="CUST113"/>
    <d v="2024-10-20T00:00:00"/>
    <s v="Sports"/>
    <x v="0"/>
    <n v="8"/>
    <x v="856"/>
    <n v="366.72"/>
    <s v="Net Banking"/>
    <s v="Repeat Customer"/>
  </r>
  <r>
    <n v="10865"/>
    <s v="CUST229"/>
    <d v="2024-05-15T00:00:00"/>
    <s v="Home"/>
    <x v="0"/>
    <n v="10"/>
    <x v="857"/>
    <n v="1440.8"/>
    <s v="Credit Card"/>
    <s v="Repeat Customer"/>
  </r>
  <r>
    <n v="10866"/>
    <s v="CUST189"/>
    <d v="2025-08-28T00:00:00"/>
    <s v="Home"/>
    <x v="2"/>
    <n v="3"/>
    <x v="858"/>
    <n v="993.84"/>
    <s v="Net Banking"/>
    <s v="Repeat Customer"/>
  </r>
  <r>
    <n v="10867"/>
    <s v="CUST220"/>
    <d v="2025-05-11T00:00:00"/>
    <s v="Electronics"/>
    <x v="1"/>
    <n v="3"/>
    <x v="859"/>
    <n v="1202.07"/>
    <s v="Credit Card"/>
    <s v="Repeat Customer"/>
  </r>
  <r>
    <n v="10868"/>
    <s v="CUST174"/>
    <d v="2025-09-01T00:00:00"/>
    <s v="Beauty"/>
    <x v="3"/>
    <n v="3"/>
    <x v="860"/>
    <n v="1258.8599999999999"/>
    <s v="UPI"/>
    <s v="Repeat Customer"/>
  </r>
  <r>
    <n v="10869"/>
    <s v="CUST325"/>
    <d v="2025-10-14T00:00:00"/>
    <s v="Home"/>
    <x v="0"/>
    <n v="3"/>
    <x v="861"/>
    <n v="328.11"/>
    <s v="Net Banking"/>
    <s v="Repeat Customer"/>
  </r>
  <r>
    <n v="10870"/>
    <s v="CUST159"/>
    <d v="2024-02-23T00:00:00"/>
    <s v="Beauty"/>
    <x v="1"/>
    <n v="3"/>
    <x v="862"/>
    <n v="704.07"/>
    <s v="Wallet"/>
    <s v="Repeat Customer"/>
  </r>
  <r>
    <n v="10871"/>
    <s v="CUST372"/>
    <d v="2024-08-27T00:00:00"/>
    <s v="Beauty"/>
    <x v="3"/>
    <n v="7"/>
    <x v="863"/>
    <n v="2403.38"/>
    <s v="Net Banking"/>
    <s v="Repeat Customer"/>
  </r>
  <r>
    <n v="10872"/>
    <s v="CUST174"/>
    <d v="2025-06-27T00:00:00"/>
    <s v="Beauty"/>
    <x v="3"/>
    <n v="7"/>
    <x v="864"/>
    <n v="76.09"/>
    <s v="Net Banking"/>
    <s v="Repeat Customer"/>
  </r>
  <r>
    <n v="10873"/>
    <s v="CUST371"/>
    <d v="2025-11-30T00:00:00"/>
    <s v="Sports"/>
    <x v="1"/>
    <n v="1"/>
    <x v="865"/>
    <n v="53.2"/>
    <s v="Wallet"/>
    <s v="Repeat Customer"/>
  </r>
  <r>
    <n v="10874"/>
    <s v="CUST239"/>
    <d v="2024-12-09T00:00:00"/>
    <s v="Electronics"/>
    <x v="1"/>
    <n v="5"/>
    <x v="866"/>
    <n v="686.05"/>
    <s v="Wallet"/>
    <s v="Repeat Customer"/>
  </r>
  <r>
    <n v="10875"/>
    <s v="CUST336"/>
    <d v="2025-11-22T00:00:00"/>
    <s v="Sports"/>
    <x v="2"/>
    <n v="4"/>
    <x v="867"/>
    <n v="1473.96"/>
    <s v="Net Banking"/>
    <s v="Repeat Customer"/>
  </r>
  <r>
    <n v="10876"/>
    <s v="CUST192"/>
    <d v="2024-11-16T00:00:00"/>
    <s v="Electronics"/>
    <x v="0"/>
    <n v="9"/>
    <x v="868"/>
    <n v="92.16"/>
    <s v="Credit Card"/>
    <s v="Repeat Customer"/>
  </r>
  <r>
    <n v="10877"/>
    <s v="CUST310"/>
    <d v="2024-04-10T00:00:00"/>
    <s v="Beauty"/>
    <x v="1"/>
    <n v="9"/>
    <x v="869"/>
    <n v="507.87"/>
    <s v="UPI"/>
    <s v="Repeat Customer"/>
  </r>
  <r>
    <n v="10878"/>
    <s v="CUST245"/>
    <d v="2024-09-14T00:00:00"/>
    <s v="Sports"/>
    <x v="0"/>
    <n v="4"/>
    <x v="870"/>
    <n v="87.4"/>
    <s v="Credit Card"/>
    <s v="Repeat Customer"/>
  </r>
  <r>
    <n v="10879"/>
    <s v="CUST211"/>
    <d v="2025-09-05T00:00:00"/>
    <s v="Electronics"/>
    <x v="0"/>
    <n v="2"/>
    <x v="871"/>
    <n v="711"/>
    <s v="UPI"/>
    <s v="Repeat Customer"/>
  </r>
  <r>
    <n v="10880"/>
    <s v="CUST292"/>
    <d v="2025-11-03T00:00:00"/>
    <s v="Fashion"/>
    <x v="0"/>
    <n v="10"/>
    <x v="872"/>
    <n v="4025.8"/>
    <s v="UPI"/>
    <s v="Repeat Customer"/>
  </r>
  <r>
    <n v="10881"/>
    <s v="CUST229"/>
    <d v="2024-10-28T00:00:00"/>
    <s v="Electronics"/>
    <x v="3"/>
    <n v="8"/>
    <x v="873"/>
    <n v="2655.52"/>
    <s v="Net Banking"/>
    <s v="Repeat Customer"/>
  </r>
  <r>
    <n v="10882"/>
    <s v="CUST318"/>
    <d v="2025-12-09T00:00:00"/>
    <s v="Electronics"/>
    <x v="1"/>
    <n v="6"/>
    <x v="337"/>
    <n v="794.28"/>
    <s v="Credit Card"/>
    <s v="Repeat Customer"/>
  </r>
  <r>
    <n v="10883"/>
    <s v="CUST295"/>
    <d v="2025-02-01T00:00:00"/>
    <s v="Home"/>
    <x v="1"/>
    <n v="6"/>
    <x v="874"/>
    <n v="2988"/>
    <s v="UPI"/>
    <s v="Repeat Customer"/>
  </r>
  <r>
    <n v="10884"/>
    <s v="CUST325"/>
    <d v="2024-03-12T00:00:00"/>
    <s v="Fashion"/>
    <x v="3"/>
    <n v="8"/>
    <x v="875"/>
    <n v="3918.48"/>
    <s v="UPI"/>
    <s v="Repeat Customer"/>
  </r>
  <r>
    <n v="10885"/>
    <s v="CUST351"/>
    <d v="2024-04-21T00:00:00"/>
    <s v="Beauty"/>
    <x v="2"/>
    <n v="3"/>
    <x v="876"/>
    <n v="817.83"/>
    <s v="Credit Card"/>
    <s v="Repeat Customer"/>
  </r>
  <r>
    <n v="10886"/>
    <s v="CUST326"/>
    <d v="2024-09-22T00:00:00"/>
    <s v="Electronics"/>
    <x v="1"/>
    <n v="2"/>
    <x v="877"/>
    <n v="44.52"/>
    <s v="Wallet"/>
    <s v="Repeat Customer"/>
  </r>
  <r>
    <n v="10887"/>
    <s v="CUST109"/>
    <d v="2025-05-24T00:00:00"/>
    <s v="Electronics"/>
    <x v="0"/>
    <n v="3"/>
    <x v="878"/>
    <n v="984.51"/>
    <s v="Wallet"/>
    <s v="Repeat Customer"/>
  </r>
  <r>
    <n v="10888"/>
    <s v="CUST236"/>
    <d v="2024-06-04T00:00:00"/>
    <s v="Sports"/>
    <x v="0"/>
    <n v="6"/>
    <x v="879"/>
    <n v="2716.74"/>
    <s v="Wallet"/>
    <s v="Repeat Customer"/>
  </r>
  <r>
    <n v="10889"/>
    <s v="CUST344"/>
    <d v="2025-03-22T00:00:00"/>
    <s v="Electronics"/>
    <x v="2"/>
    <n v="7"/>
    <x v="880"/>
    <n v="2959.6"/>
    <s v="Credit Card"/>
    <s v="Repeat Customer"/>
  </r>
  <r>
    <n v="10890"/>
    <s v="CUST296"/>
    <d v="2025-12-06T00:00:00"/>
    <s v="Sports"/>
    <x v="1"/>
    <n v="8"/>
    <x v="881"/>
    <n v="520"/>
    <s v="Net Banking"/>
    <s v="Repeat Customer"/>
  </r>
  <r>
    <n v="10891"/>
    <s v="CUST255"/>
    <d v="2025-02-14T00:00:00"/>
    <s v="Electronics"/>
    <x v="1"/>
    <n v="1"/>
    <x v="882"/>
    <n v="317.97000000000003"/>
    <s v="Net Banking"/>
    <s v="Repeat Customer"/>
  </r>
  <r>
    <n v="10892"/>
    <s v="CUST141"/>
    <d v="2025-04-15T00:00:00"/>
    <s v="Fashion"/>
    <x v="0"/>
    <n v="5"/>
    <x v="883"/>
    <n v="1628.3"/>
    <s v="Wallet"/>
    <s v="Repeat Customer"/>
  </r>
  <r>
    <n v="10893"/>
    <s v="CUST197"/>
    <d v="2024-11-02T00:00:00"/>
    <s v="Home"/>
    <x v="3"/>
    <n v="7"/>
    <x v="884"/>
    <n v="3141.25"/>
    <s v="Credit Card"/>
    <s v="Repeat Customer"/>
  </r>
  <r>
    <n v="10894"/>
    <s v="CUST324"/>
    <d v="2024-07-13T00:00:00"/>
    <s v="Electronics"/>
    <x v="2"/>
    <n v="3"/>
    <x v="885"/>
    <n v="68.010000000000005"/>
    <s v="Wallet"/>
    <s v="Repeat Customer"/>
  </r>
  <r>
    <n v="10895"/>
    <s v="CUST299"/>
    <d v="2024-03-05T00:00:00"/>
    <s v="Beauty"/>
    <x v="3"/>
    <n v="9"/>
    <x v="886"/>
    <n v="2911.41"/>
    <s v="Credit Card"/>
    <s v="Repeat Customer"/>
  </r>
  <r>
    <n v="10896"/>
    <s v="CUST118"/>
    <d v="2024-12-13T00:00:00"/>
    <s v="Electronics"/>
    <x v="3"/>
    <n v="1"/>
    <x v="887"/>
    <n v="172.17"/>
    <s v="Credit Card"/>
    <s v="Repeat Customer"/>
  </r>
  <r>
    <n v="10897"/>
    <s v="CUST208"/>
    <d v="2025-10-31T00:00:00"/>
    <s v="Sports"/>
    <x v="2"/>
    <n v="9"/>
    <x v="888"/>
    <n v="2087.0100000000002"/>
    <s v="UPI"/>
    <s v="Repeat Customer"/>
  </r>
  <r>
    <n v="10898"/>
    <s v="CUST136"/>
    <d v="2024-02-07T00:00:00"/>
    <s v="Electronics"/>
    <x v="3"/>
    <n v="3"/>
    <x v="889"/>
    <n v="741"/>
    <s v="Credit Card"/>
    <s v="Repeat Customer"/>
  </r>
  <r>
    <n v="10899"/>
    <s v="CUST224"/>
    <d v="2025-12-19T00:00:00"/>
    <s v="Electronics"/>
    <x v="1"/>
    <n v="3"/>
    <x v="890"/>
    <n v="36.33"/>
    <s v="Credit Card"/>
    <s v="Repeat Customer"/>
  </r>
  <r>
    <n v="10900"/>
    <s v="CUST333"/>
    <d v="2025-09-17T00:00:00"/>
    <s v="Electronics"/>
    <x v="0"/>
    <n v="3"/>
    <x v="891"/>
    <n v="1255.5"/>
    <s v="Credit Card"/>
    <s v="Repeat Customer"/>
  </r>
  <r>
    <n v="10901"/>
    <s v="CUST354"/>
    <d v="2025-09-01T00:00:00"/>
    <s v="Fashion"/>
    <x v="3"/>
    <n v="10"/>
    <x v="892"/>
    <n v="1141.8"/>
    <s v="Net Banking"/>
    <s v="Repeat Customer"/>
  </r>
  <r>
    <n v="10902"/>
    <s v="CUST305"/>
    <d v="2024-11-28T00:00:00"/>
    <s v="Sports"/>
    <x v="2"/>
    <n v="2"/>
    <x v="472"/>
    <n v="976.1"/>
    <s v="Net Banking"/>
    <s v="Repeat Customer"/>
  </r>
  <r>
    <n v="10903"/>
    <s v="CUST209"/>
    <d v="2024-02-16T00:00:00"/>
    <s v="Electronics"/>
    <x v="0"/>
    <n v="10"/>
    <x v="893"/>
    <n v="908.6"/>
    <s v="Net Banking"/>
    <s v="Repeat Customer"/>
  </r>
  <r>
    <n v="10904"/>
    <s v="CUST172"/>
    <d v="2025-03-01T00:00:00"/>
    <s v="Sports"/>
    <x v="2"/>
    <n v="3"/>
    <x v="894"/>
    <n v="1049.01"/>
    <s v="Wallet"/>
    <s v="Repeat Customer"/>
  </r>
  <r>
    <n v="10905"/>
    <s v="CUST224"/>
    <d v="2025-08-18T00:00:00"/>
    <s v="Sports"/>
    <x v="3"/>
    <n v="1"/>
    <x v="895"/>
    <n v="71.02"/>
    <s v="UPI"/>
    <s v="Repeat Customer"/>
  </r>
  <r>
    <n v="10906"/>
    <s v="CUST108"/>
    <d v="2025-05-13T00:00:00"/>
    <s v="Fashion"/>
    <x v="0"/>
    <n v="2"/>
    <x v="896"/>
    <n v="16.28"/>
    <s v="Net Banking"/>
    <s v="Repeat Customer"/>
  </r>
  <r>
    <n v="10907"/>
    <s v="CUST313"/>
    <d v="2025-12-11T00:00:00"/>
    <s v="Fashion"/>
    <x v="2"/>
    <n v="8"/>
    <x v="897"/>
    <n v="2781.76"/>
    <s v="Net Banking"/>
    <s v="Repeat Customer"/>
  </r>
  <r>
    <n v="10908"/>
    <s v="CUST367"/>
    <d v="2025-04-06T00:00:00"/>
    <s v="Fashion"/>
    <x v="0"/>
    <n v="7"/>
    <x v="898"/>
    <n v="864.01"/>
    <s v="UPI"/>
    <s v="Repeat Customer"/>
  </r>
  <r>
    <n v="10909"/>
    <s v="CUST355"/>
    <d v="2025-09-18T00:00:00"/>
    <s v="Home"/>
    <x v="1"/>
    <n v="2"/>
    <x v="806"/>
    <n v="630.91999999999996"/>
    <s v="Wallet"/>
    <s v="Repeat Customer"/>
  </r>
  <r>
    <n v="10910"/>
    <s v="CUST102"/>
    <d v="2025-07-25T00:00:00"/>
    <s v="Sports"/>
    <x v="0"/>
    <n v="4"/>
    <x v="899"/>
    <n v="399.96"/>
    <s v="Net Banking"/>
    <s v="Repeat Customer"/>
  </r>
  <r>
    <n v="10911"/>
    <s v="CUST376"/>
    <d v="2025-06-03T00:00:00"/>
    <s v="Fashion"/>
    <x v="1"/>
    <n v="4"/>
    <x v="900"/>
    <n v="939.16"/>
    <s v="Credit Card"/>
    <s v="Repeat Customer"/>
  </r>
  <r>
    <n v="10912"/>
    <s v="CUST199"/>
    <d v="2024-04-25T00:00:00"/>
    <s v="Beauty"/>
    <x v="3"/>
    <n v="3"/>
    <x v="901"/>
    <n v="1032.5999999999999"/>
    <s v="UPI"/>
    <s v="Repeat Customer"/>
  </r>
  <r>
    <n v="10913"/>
    <s v="CUST181"/>
    <d v="2025-11-17T00:00:00"/>
    <s v="Home"/>
    <x v="1"/>
    <n v="1"/>
    <x v="902"/>
    <n v="31.74"/>
    <s v="UPI"/>
    <s v="Repeat Customer"/>
  </r>
  <r>
    <n v="10914"/>
    <s v="CUST322"/>
    <d v="2024-09-14T00:00:00"/>
    <s v="Beauty"/>
    <x v="0"/>
    <n v="6"/>
    <x v="903"/>
    <n v="1861.98"/>
    <s v="Credit Card"/>
    <s v="Repeat Customer"/>
  </r>
  <r>
    <n v="10915"/>
    <s v="CUST126"/>
    <d v="2025-07-04T00:00:00"/>
    <s v="Electronics"/>
    <x v="3"/>
    <n v="3"/>
    <x v="904"/>
    <n v="249.69"/>
    <s v="Credit Card"/>
    <s v="Repeat Customer"/>
  </r>
  <r>
    <n v="10916"/>
    <s v="CUST136"/>
    <d v="2024-08-28T00:00:00"/>
    <s v="Home"/>
    <x v="3"/>
    <n v="8"/>
    <x v="905"/>
    <n v="2387.12"/>
    <s v="UPI"/>
    <s v="Repeat Customer"/>
  </r>
  <r>
    <n v="10917"/>
    <s v="CUST266"/>
    <d v="2024-08-23T00:00:00"/>
    <s v="Electronics"/>
    <x v="2"/>
    <n v="2"/>
    <x v="906"/>
    <n v="332.88"/>
    <s v="Wallet"/>
    <s v="Repeat Customer"/>
  </r>
  <r>
    <n v="10918"/>
    <s v="CUST202"/>
    <d v="2025-01-19T00:00:00"/>
    <s v="Sports"/>
    <x v="3"/>
    <n v="4"/>
    <x v="907"/>
    <n v="165.6"/>
    <s v="Credit Card"/>
    <s v="Repeat Customer"/>
  </r>
  <r>
    <n v="10919"/>
    <s v="CUST323"/>
    <d v="2024-05-28T00:00:00"/>
    <s v="Beauty"/>
    <x v="2"/>
    <n v="4"/>
    <x v="908"/>
    <n v="1857.2"/>
    <s v="Wallet"/>
    <s v="Repeat Customer"/>
  </r>
  <r>
    <n v="10920"/>
    <s v="CUST291"/>
    <d v="2024-05-19T00:00:00"/>
    <s v="Home"/>
    <x v="1"/>
    <n v="8"/>
    <x v="909"/>
    <n v="2890.48"/>
    <s v="UPI"/>
    <s v="Repeat Customer"/>
  </r>
  <r>
    <n v="10921"/>
    <s v="CUST271"/>
    <d v="2024-05-10T00:00:00"/>
    <s v="Electronics"/>
    <x v="1"/>
    <n v="1"/>
    <x v="910"/>
    <n v="347.64"/>
    <s v="UPI"/>
    <s v="Repeat Customer"/>
  </r>
  <r>
    <n v="10922"/>
    <s v="CUST156"/>
    <d v="2025-04-21T00:00:00"/>
    <s v="Home"/>
    <x v="2"/>
    <n v="8"/>
    <x v="911"/>
    <n v="1696.16"/>
    <s v="Net Banking"/>
    <s v="Repeat Customer"/>
  </r>
  <r>
    <n v="10923"/>
    <s v="CUST180"/>
    <d v="2025-10-15T00:00:00"/>
    <s v="Sports"/>
    <x v="2"/>
    <n v="10"/>
    <x v="912"/>
    <n v="4532.6000000000004"/>
    <s v="Credit Card"/>
    <s v="Repeat Customer"/>
  </r>
  <r>
    <n v="10924"/>
    <s v="CUST310"/>
    <d v="2025-06-18T00:00:00"/>
    <s v="Fashion"/>
    <x v="3"/>
    <n v="8"/>
    <x v="913"/>
    <n v="3454.32"/>
    <s v="Wallet"/>
    <s v="Repeat Customer"/>
  </r>
  <r>
    <n v="10925"/>
    <s v="CUST242"/>
    <d v="2024-01-15T00:00:00"/>
    <s v="Fashion"/>
    <x v="2"/>
    <n v="7"/>
    <x v="914"/>
    <n v="2585.87"/>
    <s v="Net Banking"/>
    <s v="Repeat Customer"/>
  </r>
  <r>
    <n v="10926"/>
    <s v="CUST322"/>
    <d v="2025-08-16T00:00:00"/>
    <s v="Sports"/>
    <x v="2"/>
    <n v="4"/>
    <x v="915"/>
    <n v="1785.8"/>
    <s v="Credit Card"/>
    <s v="Repeat Customer"/>
  </r>
  <r>
    <n v="10927"/>
    <s v="CUST313"/>
    <d v="2024-02-15T00:00:00"/>
    <s v="Sports"/>
    <x v="0"/>
    <n v="1"/>
    <x v="916"/>
    <n v="495.68"/>
    <s v="Wallet"/>
    <s v="Repeat Customer"/>
  </r>
  <r>
    <n v="10928"/>
    <s v="CUST371"/>
    <d v="2025-02-07T00:00:00"/>
    <s v="Electronics"/>
    <x v="3"/>
    <n v="8"/>
    <x v="917"/>
    <n v="3246.48"/>
    <s v="Wallet"/>
    <s v="Repeat Customer"/>
  </r>
  <r>
    <n v="10929"/>
    <s v="CUST223"/>
    <d v="2024-03-26T00:00:00"/>
    <s v="Beauty"/>
    <x v="2"/>
    <n v="9"/>
    <x v="918"/>
    <n v="3399.93"/>
    <s v="UPI"/>
    <s v="Repeat Customer"/>
  </r>
  <r>
    <n v="10930"/>
    <s v="CUST283"/>
    <d v="2024-10-29T00:00:00"/>
    <s v="Electronics"/>
    <x v="0"/>
    <n v="4"/>
    <x v="919"/>
    <n v="1302.32"/>
    <s v="Wallet"/>
    <s v="Repeat Customer"/>
  </r>
  <r>
    <n v="10931"/>
    <s v="CUST256"/>
    <d v="2024-06-14T00:00:00"/>
    <s v="Sports"/>
    <x v="0"/>
    <n v="8"/>
    <x v="920"/>
    <n v="3437.36"/>
    <s v="Wallet"/>
    <s v="Repeat Customer"/>
  </r>
  <r>
    <n v="10932"/>
    <s v="CUST337"/>
    <d v="2024-05-21T00:00:00"/>
    <s v="Home"/>
    <x v="3"/>
    <n v="7"/>
    <x v="921"/>
    <n v="675.85"/>
    <s v="Credit Card"/>
    <s v="Repeat Customer"/>
  </r>
  <r>
    <n v="10933"/>
    <s v="CUST136"/>
    <d v="2025-01-29T00:00:00"/>
    <s v="Home"/>
    <x v="3"/>
    <n v="6"/>
    <x v="922"/>
    <n v="1606.86"/>
    <s v="Net Banking"/>
    <s v="Repeat Customer"/>
  </r>
  <r>
    <n v="10934"/>
    <s v="CUST377"/>
    <d v="2025-08-12T00:00:00"/>
    <s v="Electronics"/>
    <x v="1"/>
    <n v="4"/>
    <x v="923"/>
    <n v="1579.64"/>
    <s v="Credit Card"/>
    <s v="Repeat Customer"/>
  </r>
  <r>
    <n v="10935"/>
    <s v="CUST363"/>
    <d v="2025-11-21T00:00:00"/>
    <s v="Electronics"/>
    <x v="3"/>
    <n v="6"/>
    <x v="924"/>
    <n v="2667.3"/>
    <s v="Net Banking"/>
    <s v="Repeat Customer"/>
  </r>
  <r>
    <n v="10936"/>
    <s v="CUST338"/>
    <d v="2025-09-25T00:00:00"/>
    <s v="Fashion"/>
    <x v="0"/>
    <n v="1"/>
    <x v="925"/>
    <n v="185.96"/>
    <s v="UPI"/>
    <s v="Repeat Customer"/>
  </r>
  <r>
    <n v="10937"/>
    <s v="CUST170"/>
    <d v="2024-12-08T00:00:00"/>
    <s v="Beauty"/>
    <x v="2"/>
    <n v="4"/>
    <x v="926"/>
    <n v="1088.48"/>
    <s v="UPI"/>
    <s v="Repeat Customer"/>
  </r>
  <r>
    <n v="10938"/>
    <s v="CUST264"/>
    <d v="2024-12-27T00:00:00"/>
    <s v="Beauty"/>
    <x v="1"/>
    <n v="5"/>
    <x v="927"/>
    <n v="1271.3499999999999"/>
    <s v="Credit Card"/>
    <s v="Repeat Customer"/>
  </r>
  <r>
    <n v="10939"/>
    <s v="CUST132"/>
    <d v="2025-01-16T00:00:00"/>
    <s v="Sports"/>
    <x v="0"/>
    <n v="6"/>
    <x v="928"/>
    <n v="1373.64"/>
    <s v="Wallet"/>
    <s v="Repeat Customer"/>
  </r>
  <r>
    <n v="10940"/>
    <s v="CUST372"/>
    <d v="2025-11-25T00:00:00"/>
    <s v="Beauty"/>
    <x v="1"/>
    <n v="9"/>
    <x v="929"/>
    <n v="4052.07"/>
    <s v="Credit Card"/>
    <s v="Repeat Customer"/>
  </r>
  <r>
    <n v="10941"/>
    <s v="CUST196"/>
    <d v="2025-04-13T00:00:00"/>
    <s v="Fashion"/>
    <x v="1"/>
    <n v="2"/>
    <x v="930"/>
    <n v="89.36"/>
    <s v="Credit Card"/>
    <s v="Repeat Customer"/>
  </r>
  <r>
    <n v="10942"/>
    <s v="CUST155"/>
    <d v="2024-06-17T00:00:00"/>
    <s v="Fashion"/>
    <x v="3"/>
    <n v="5"/>
    <x v="931"/>
    <n v="302.25"/>
    <s v="UPI"/>
    <s v="Repeat Customer"/>
  </r>
  <r>
    <n v="10943"/>
    <s v="CUST204"/>
    <d v="2025-06-17T00:00:00"/>
    <s v="Sports"/>
    <x v="2"/>
    <n v="1"/>
    <x v="932"/>
    <n v="150.12"/>
    <s v="Wallet"/>
    <s v="Repeat Customer"/>
  </r>
  <r>
    <n v="10944"/>
    <s v="CUST277"/>
    <d v="2025-03-06T00:00:00"/>
    <s v="Electronics"/>
    <x v="1"/>
    <n v="8"/>
    <x v="933"/>
    <n v="2961.36"/>
    <s v="UPI"/>
    <s v="Repeat Customer"/>
  </r>
  <r>
    <n v="10945"/>
    <s v="CUST132"/>
    <d v="2024-01-23T00:00:00"/>
    <s v="Sports"/>
    <x v="1"/>
    <n v="4"/>
    <x v="934"/>
    <n v="1673.2"/>
    <s v="Wallet"/>
    <s v="Repeat Customer"/>
  </r>
  <r>
    <n v="10946"/>
    <s v="CUST396"/>
    <d v="2024-12-17T00:00:00"/>
    <s v="Sports"/>
    <x v="3"/>
    <n v="6"/>
    <x v="935"/>
    <n v="1473.84"/>
    <s v="Wallet"/>
    <s v="Repeat Customer"/>
  </r>
  <r>
    <n v="10947"/>
    <s v="CUST255"/>
    <d v="2025-08-03T00:00:00"/>
    <s v="Home"/>
    <x v="2"/>
    <n v="3"/>
    <x v="936"/>
    <n v="1348.95"/>
    <s v="Net Banking"/>
    <s v="Repeat Customer"/>
  </r>
  <r>
    <n v="10948"/>
    <s v="CUST216"/>
    <d v="2025-05-10T00:00:00"/>
    <s v="Electronics"/>
    <x v="2"/>
    <n v="6"/>
    <x v="937"/>
    <n v="2913.06"/>
    <s v="Net Banking"/>
    <s v="Repeat Customer"/>
  </r>
  <r>
    <n v="10949"/>
    <s v="CUST245"/>
    <d v="2025-04-11T00:00:00"/>
    <s v="Fashion"/>
    <x v="1"/>
    <n v="3"/>
    <x v="938"/>
    <n v="933.66"/>
    <s v="UPI"/>
    <s v="Repeat Customer"/>
  </r>
  <r>
    <n v="10950"/>
    <s v="CUST189"/>
    <d v="2025-12-26T00:00:00"/>
    <s v="Electronics"/>
    <x v="0"/>
    <n v="3"/>
    <x v="939"/>
    <n v="254.46"/>
    <s v="Net Banking"/>
    <s v="Repeat Customer"/>
  </r>
  <r>
    <n v="10951"/>
    <s v="CUST394"/>
    <d v="2024-05-09T00:00:00"/>
    <s v="Fashion"/>
    <x v="2"/>
    <n v="8"/>
    <x v="940"/>
    <n v="1071.2"/>
    <s v="Credit Card"/>
    <s v="Repeat Customer"/>
  </r>
  <r>
    <n v="10952"/>
    <s v="CUST262"/>
    <d v="2024-12-18T00:00:00"/>
    <s v="Sports"/>
    <x v="2"/>
    <n v="3"/>
    <x v="941"/>
    <n v="568.77"/>
    <s v="Net Banking"/>
    <s v="Repeat Customer"/>
  </r>
  <r>
    <n v="10953"/>
    <s v="CUST162"/>
    <d v="2024-01-26T00:00:00"/>
    <s v="Fashion"/>
    <x v="3"/>
    <n v="7"/>
    <x v="942"/>
    <n v="3261.16"/>
    <s v="Net Banking"/>
    <s v="Repeat Customer"/>
  </r>
  <r>
    <n v="10954"/>
    <s v="CUST179"/>
    <d v="2024-01-05T00:00:00"/>
    <s v="Home"/>
    <x v="1"/>
    <n v="9"/>
    <x v="943"/>
    <n v="4391.28"/>
    <s v="Wallet"/>
    <s v="Repeat Customer"/>
  </r>
  <r>
    <n v="10955"/>
    <s v="CUST248"/>
    <d v="2025-08-10T00:00:00"/>
    <s v="Beauty"/>
    <x v="1"/>
    <n v="3"/>
    <x v="944"/>
    <n v="1202.3699999999999"/>
    <s v="Credit Card"/>
    <s v="Repeat Customer"/>
  </r>
  <r>
    <n v="10956"/>
    <s v="CUST345"/>
    <d v="2024-02-11T00:00:00"/>
    <s v="Electronics"/>
    <x v="1"/>
    <n v="3"/>
    <x v="945"/>
    <n v="1021.83"/>
    <s v="Credit Card"/>
    <s v="Repeat Customer"/>
  </r>
  <r>
    <n v="10957"/>
    <s v="CUST305"/>
    <d v="2025-09-24T00:00:00"/>
    <s v="Electronics"/>
    <x v="1"/>
    <n v="4"/>
    <x v="946"/>
    <n v="903.04"/>
    <s v="Credit Card"/>
    <s v="Repeat Customer"/>
  </r>
  <r>
    <n v="10958"/>
    <s v="CUST199"/>
    <d v="2025-08-20T00:00:00"/>
    <s v="Home"/>
    <x v="2"/>
    <n v="9"/>
    <x v="947"/>
    <n v="1034.6400000000001"/>
    <s v="Credit Card"/>
    <s v="Repeat Customer"/>
  </r>
  <r>
    <n v="10959"/>
    <s v="CUST142"/>
    <d v="2025-07-05T00:00:00"/>
    <s v="Electronics"/>
    <x v="3"/>
    <n v="8"/>
    <x v="948"/>
    <n v="2721.2"/>
    <s v="UPI"/>
    <s v="Repeat Customer"/>
  </r>
  <r>
    <n v="10960"/>
    <s v="CUST351"/>
    <d v="2024-11-21T00:00:00"/>
    <s v="Electronics"/>
    <x v="1"/>
    <n v="10"/>
    <x v="949"/>
    <n v="3045.1"/>
    <s v="Wallet"/>
    <s v="Repeat Customer"/>
  </r>
  <r>
    <n v="10961"/>
    <s v="CUST175"/>
    <d v="2025-03-13T00:00:00"/>
    <s v="Electronics"/>
    <x v="1"/>
    <n v="6"/>
    <x v="950"/>
    <n v="1176.78"/>
    <s v="Net Banking"/>
    <s v="Repeat Customer"/>
  </r>
  <r>
    <n v="10962"/>
    <s v="CUST279"/>
    <d v="2024-11-11T00:00:00"/>
    <s v="Electronics"/>
    <x v="2"/>
    <n v="8"/>
    <x v="951"/>
    <n v="3502.24"/>
    <s v="Wallet"/>
    <s v="Repeat Customer"/>
  </r>
  <r>
    <n v="10963"/>
    <s v="CUST312"/>
    <d v="2025-03-29T00:00:00"/>
    <s v="Beauty"/>
    <x v="3"/>
    <n v="5"/>
    <x v="952"/>
    <n v="430.4"/>
    <s v="UPI"/>
    <s v="Repeat Customer"/>
  </r>
  <r>
    <n v="10964"/>
    <s v="CUST144"/>
    <d v="2024-05-27T00:00:00"/>
    <s v="Sports"/>
    <x v="1"/>
    <n v="4"/>
    <x v="953"/>
    <n v="620.4"/>
    <s v="Credit Card"/>
    <s v="Repeat Customer"/>
  </r>
  <r>
    <n v="10965"/>
    <s v="CUST292"/>
    <d v="2024-03-31T00:00:00"/>
    <s v="Home"/>
    <x v="3"/>
    <n v="1"/>
    <x v="954"/>
    <n v="207.68"/>
    <s v="UPI"/>
    <s v="Repeat Customer"/>
  </r>
  <r>
    <n v="10966"/>
    <s v="CUST384"/>
    <d v="2025-04-18T00:00:00"/>
    <s v="Fashion"/>
    <x v="2"/>
    <n v="10"/>
    <x v="955"/>
    <n v="3788.5"/>
    <s v="UPI"/>
    <s v="Repeat Customer"/>
  </r>
  <r>
    <n v="10967"/>
    <s v="CUST295"/>
    <d v="2024-10-23T00:00:00"/>
    <s v="Home"/>
    <x v="1"/>
    <n v="9"/>
    <x v="956"/>
    <n v="2230.56"/>
    <s v="Wallet"/>
    <s v="Repeat Customer"/>
  </r>
  <r>
    <n v="10968"/>
    <s v="CUST386"/>
    <d v="2025-04-19T00:00:00"/>
    <s v="Electronics"/>
    <x v="2"/>
    <n v="4"/>
    <x v="957"/>
    <n v="73.16"/>
    <s v="Net Banking"/>
    <s v="Repeat Customer"/>
  </r>
  <r>
    <n v="10969"/>
    <s v="CUST253"/>
    <d v="2025-10-17T00:00:00"/>
    <s v="Home"/>
    <x v="3"/>
    <n v="8"/>
    <x v="958"/>
    <n v="531.76"/>
    <s v="UPI"/>
    <s v="Repeat Customer"/>
  </r>
  <r>
    <n v="10970"/>
    <s v="CUST351"/>
    <d v="2025-12-05T00:00:00"/>
    <s v="Home"/>
    <x v="3"/>
    <n v="4"/>
    <x v="959"/>
    <n v="76.319999999999993"/>
    <s v="Credit Card"/>
    <s v="Repeat Customer"/>
  </r>
  <r>
    <n v="10971"/>
    <s v="CUST285"/>
    <d v="2025-08-18T00:00:00"/>
    <s v="Home"/>
    <x v="3"/>
    <n v="8"/>
    <x v="960"/>
    <n v="2279.6799999999998"/>
    <s v="Credit Card"/>
    <s v="Repeat Customer"/>
  </r>
  <r>
    <n v="10972"/>
    <s v="CUST291"/>
    <d v="2025-06-08T00:00:00"/>
    <s v="Home"/>
    <x v="2"/>
    <n v="10"/>
    <x v="961"/>
    <n v="136.80000000000001"/>
    <s v="Credit Card"/>
    <s v="Repeat Customer"/>
  </r>
  <r>
    <n v="10973"/>
    <s v="CUST174"/>
    <d v="2024-11-23T00:00:00"/>
    <s v="Fashion"/>
    <x v="1"/>
    <n v="8"/>
    <x v="962"/>
    <n v="3518.16"/>
    <s v="UPI"/>
    <s v="Repeat Customer"/>
  </r>
  <r>
    <n v="10974"/>
    <s v="CUST127"/>
    <d v="2024-10-06T00:00:00"/>
    <s v="Home"/>
    <x v="0"/>
    <n v="6"/>
    <x v="963"/>
    <n v="1275.96"/>
    <s v="Net Banking"/>
    <s v="Repeat Customer"/>
  </r>
  <r>
    <n v="10975"/>
    <s v="CUST249"/>
    <d v="2025-06-26T00:00:00"/>
    <s v="Fashion"/>
    <x v="0"/>
    <n v="2"/>
    <x v="964"/>
    <n v="518.72"/>
    <s v="UPI"/>
    <s v="Repeat Customer"/>
  </r>
  <r>
    <n v="10976"/>
    <s v="CUST378"/>
    <d v="2024-11-26T00:00:00"/>
    <s v="Home"/>
    <x v="1"/>
    <n v="6"/>
    <x v="965"/>
    <n v="2485.6799999999998"/>
    <s v="Net Banking"/>
    <s v="Repeat Customer"/>
  </r>
  <r>
    <n v="10977"/>
    <s v="CUST149"/>
    <d v="2025-07-01T00:00:00"/>
    <s v="Fashion"/>
    <x v="0"/>
    <n v="10"/>
    <x v="966"/>
    <n v="1790.6"/>
    <s v="UPI"/>
    <s v="Repeat Customer"/>
  </r>
  <r>
    <n v="10978"/>
    <s v="CUST365"/>
    <d v="2024-10-15T00:00:00"/>
    <s v="Beauty"/>
    <x v="1"/>
    <n v="6"/>
    <x v="967"/>
    <n v="2343.06"/>
    <s v="UPI"/>
    <s v="Repeat Customer"/>
  </r>
  <r>
    <n v="10979"/>
    <s v="CUST152"/>
    <d v="2024-08-11T00:00:00"/>
    <s v="Fashion"/>
    <x v="0"/>
    <n v="3"/>
    <x v="968"/>
    <n v="762.51"/>
    <s v="Wallet"/>
    <s v="Repeat Customer"/>
  </r>
  <r>
    <n v="10980"/>
    <s v="CUST335"/>
    <d v="2024-03-19T00:00:00"/>
    <s v="Electronics"/>
    <x v="3"/>
    <n v="2"/>
    <x v="969"/>
    <n v="820.66"/>
    <s v="Net Banking"/>
    <s v="Repeat Customer"/>
  </r>
  <r>
    <n v="10981"/>
    <s v="CUST259"/>
    <d v="2025-12-08T00:00:00"/>
    <s v="Beauty"/>
    <x v="1"/>
    <n v="6"/>
    <x v="970"/>
    <n v="442.86"/>
    <s v="UPI"/>
    <s v="Repeat Customer"/>
  </r>
  <r>
    <n v="10982"/>
    <s v="CUST255"/>
    <d v="2024-01-30T00:00:00"/>
    <s v="Fashion"/>
    <x v="2"/>
    <n v="2"/>
    <x v="971"/>
    <n v="230.14"/>
    <s v="Net Banking"/>
    <s v="Repeat Customer"/>
  </r>
  <r>
    <n v="10983"/>
    <s v="CUST164"/>
    <d v="2024-08-02T00:00:00"/>
    <s v="Beauty"/>
    <x v="0"/>
    <n v="3"/>
    <x v="972"/>
    <n v="1471.95"/>
    <s v="Credit Card"/>
    <s v="Repeat Customer"/>
  </r>
  <r>
    <n v="10984"/>
    <s v="CUST109"/>
    <d v="2025-05-10T00:00:00"/>
    <s v="Electronics"/>
    <x v="0"/>
    <n v="7"/>
    <x v="973"/>
    <n v="182.35"/>
    <s v="Credit Card"/>
    <s v="Repeat Customer"/>
  </r>
  <r>
    <n v="10985"/>
    <s v="CUST340"/>
    <d v="2024-05-01T00:00:00"/>
    <s v="Home"/>
    <x v="0"/>
    <n v="5"/>
    <x v="974"/>
    <n v="132.1"/>
    <s v="Credit Card"/>
    <s v="Repeat Customer"/>
  </r>
  <r>
    <n v="10986"/>
    <s v="CUST163"/>
    <d v="2025-09-08T00:00:00"/>
    <s v="Fashion"/>
    <x v="2"/>
    <n v="4"/>
    <x v="975"/>
    <n v="1183.44"/>
    <s v="Net Banking"/>
    <s v="Repeat Customer"/>
  </r>
  <r>
    <n v="10987"/>
    <s v="CUST114"/>
    <d v="2024-04-02T00:00:00"/>
    <s v="Home"/>
    <x v="1"/>
    <n v="3"/>
    <x v="976"/>
    <n v="1271.0999999999999"/>
    <s v="Net Banking"/>
    <s v="Repeat Customer"/>
  </r>
  <r>
    <n v="10988"/>
    <s v="CUST182"/>
    <d v="2025-05-27T00:00:00"/>
    <s v="Sports"/>
    <x v="0"/>
    <n v="10"/>
    <x v="977"/>
    <n v="1247"/>
    <s v="Credit Card"/>
    <s v="Repeat Customer"/>
  </r>
  <r>
    <n v="10989"/>
    <s v="CUST396"/>
    <d v="2024-01-15T00:00:00"/>
    <s v="Fashion"/>
    <x v="1"/>
    <n v="9"/>
    <x v="978"/>
    <n v="1011.69"/>
    <s v="UPI"/>
    <s v="Repeat Customer"/>
  </r>
  <r>
    <n v="10990"/>
    <s v="CUST375"/>
    <d v="2024-01-05T00:00:00"/>
    <s v="Sports"/>
    <x v="3"/>
    <n v="2"/>
    <x v="979"/>
    <n v="924.98"/>
    <s v="Net Banking"/>
    <s v="Repeat Customer"/>
  </r>
  <r>
    <n v="10991"/>
    <s v="CUST194"/>
    <d v="2025-03-26T00:00:00"/>
    <s v="Home"/>
    <x v="3"/>
    <n v="2"/>
    <x v="980"/>
    <n v="189.04"/>
    <s v="Wallet"/>
    <s v="Repeat Customer"/>
  </r>
  <r>
    <n v="10992"/>
    <s v="CUST209"/>
    <d v="2025-06-10T00:00:00"/>
    <s v="Home"/>
    <x v="0"/>
    <n v="4"/>
    <x v="981"/>
    <n v="827"/>
    <s v="Wallet"/>
    <s v="Repeat Customer"/>
  </r>
  <r>
    <n v="10993"/>
    <s v="CUST156"/>
    <d v="2025-06-16T00:00:00"/>
    <s v="Home"/>
    <x v="1"/>
    <n v="3"/>
    <x v="982"/>
    <n v="751.29"/>
    <s v="Credit Card"/>
    <s v="Repeat Customer"/>
  </r>
  <r>
    <n v="10994"/>
    <s v="CUST142"/>
    <d v="2024-12-01T00:00:00"/>
    <s v="Home"/>
    <x v="3"/>
    <n v="8"/>
    <x v="983"/>
    <n v="498.24"/>
    <s v="Net Banking"/>
    <s v="Repeat Customer"/>
  </r>
  <r>
    <n v="10995"/>
    <s v="CUST327"/>
    <d v="2024-08-19T00:00:00"/>
    <s v="Beauty"/>
    <x v="2"/>
    <n v="9"/>
    <x v="984"/>
    <n v="1859.4"/>
    <s v="Credit Card"/>
    <s v="Repeat Customer"/>
  </r>
  <r>
    <n v="10996"/>
    <s v="CUST343"/>
    <d v="2025-11-26T00:00:00"/>
    <s v="Beauty"/>
    <x v="0"/>
    <n v="6"/>
    <x v="985"/>
    <n v="562.5"/>
    <s v="Wallet"/>
    <s v="Repeat Customer"/>
  </r>
  <r>
    <n v="10997"/>
    <s v="CUST324"/>
    <d v="2025-06-19T00:00:00"/>
    <s v="Beauty"/>
    <x v="3"/>
    <n v="2"/>
    <x v="986"/>
    <n v="128.02000000000001"/>
    <s v="Credit Card"/>
    <s v="Repeat Customer"/>
  </r>
  <r>
    <n v="10998"/>
    <s v="CUST186"/>
    <d v="2024-03-07T00:00:00"/>
    <s v="Home"/>
    <x v="2"/>
    <n v="6"/>
    <x v="987"/>
    <n v="2926.38"/>
    <s v="Wallet"/>
    <s v="Repeat Customer"/>
  </r>
  <r>
    <n v="10999"/>
    <s v="CUST162"/>
    <d v="2024-08-26T00:00:00"/>
    <s v="Home"/>
    <x v="1"/>
    <n v="7"/>
    <x v="988"/>
    <n v="2547.79"/>
    <s v="Wallet"/>
    <s v="Repeat Customer"/>
  </r>
  <r>
    <n v="11000"/>
    <s v="CUST282"/>
    <d v="2025-05-02T00:00:00"/>
    <s v="Beauty"/>
    <x v="1"/>
    <n v="10"/>
    <x v="989"/>
    <n v="4753.2"/>
    <s v="UPI"/>
    <s v="Repeat Customer"/>
  </r>
  <r>
    <n v="11001"/>
    <s v="CUST332"/>
    <d v="2024-04-20T00:00:00"/>
    <s v="Beauty"/>
    <x v="2"/>
    <n v="2"/>
    <x v="990"/>
    <n v="258.18"/>
    <s v="UPI"/>
    <s v="Repeat Customer"/>
  </r>
  <r>
    <n v="11002"/>
    <s v="CUST115"/>
    <d v="2024-04-11T00:00:00"/>
    <s v="Beauty"/>
    <x v="0"/>
    <n v="1"/>
    <x v="991"/>
    <n v="416"/>
    <s v="UPI"/>
    <s v="Repeat Customer"/>
  </r>
  <r>
    <n v="11003"/>
    <s v="CUST295"/>
    <d v="2025-09-11T00:00:00"/>
    <s v="Sports"/>
    <x v="0"/>
    <n v="6"/>
    <x v="992"/>
    <n v="483.6"/>
    <s v="Credit Card"/>
    <s v="Repeat Customer"/>
  </r>
  <r>
    <n v="11004"/>
    <s v="CUST366"/>
    <d v="2025-05-19T00:00:00"/>
    <s v="Beauty"/>
    <x v="3"/>
    <n v="8"/>
    <x v="993"/>
    <n v="839.68"/>
    <s v="Net Banking"/>
    <s v="Repeat Customer"/>
  </r>
  <r>
    <n v="11005"/>
    <s v="CUST377"/>
    <d v="2024-12-17T00:00:00"/>
    <s v="Electronics"/>
    <x v="3"/>
    <n v="9"/>
    <x v="994"/>
    <n v="2480.2199999999998"/>
    <s v="Credit Card"/>
    <s v="Repeat Customer"/>
  </r>
  <r>
    <n v="11006"/>
    <s v="CUST296"/>
    <d v="2025-04-05T00:00:00"/>
    <s v="Beauty"/>
    <x v="3"/>
    <n v="6"/>
    <x v="995"/>
    <n v="2563.02"/>
    <s v="Credit Card"/>
    <s v="Repeat Customer"/>
  </r>
  <r>
    <n v="11007"/>
    <s v="CUST116"/>
    <d v="2024-06-30T00:00:00"/>
    <s v="Home"/>
    <x v="2"/>
    <n v="9"/>
    <x v="996"/>
    <n v="2982.69"/>
    <s v="Wallet"/>
    <s v="Repeat Customer"/>
  </r>
  <r>
    <n v="11008"/>
    <s v="CUST320"/>
    <d v="2024-05-17T00:00:00"/>
    <s v="Beauty"/>
    <x v="0"/>
    <n v="5"/>
    <x v="997"/>
    <n v="1796.4"/>
    <s v="Wallet"/>
    <s v="Repeat Customer"/>
  </r>
  <r>
    <n v="11009"/>
    <s v="CUST383"/>
    <d v="2025-12-02T00:00:00"/>
    <s v="Beauty"/>
    <x v="2"/>
    <n v="9"/>
    <x v="998"/>
    <n v="2594.16"/>
    <s v="Credit Card"/>
    <s v="Repeat Customer"/>
  </r>
  <r>
    <n v="11010"/>
    <s v="CUST300"/>
    <d v="2024-09-26T00:00:00"/>
    <s v="Beauty"/>
    <x v="1"/>
    <n v="8"/>
    <x v="999"/>
    <n v="2380.56"/>
    <s v="Net Banking"/>
    <s v="Repeat Customer"/>
  </r>
  <r>
    <n v="11011"/>
    <s v="CUST264"/>
    <d v="2024-03-03T00:00:00"/>
    <s v="Fashion"/>
    <x v="1"/>
    <n v="1"/>
    <x v="1000"/>
    <n v="297.27999999999997"/>
    <s v="Net Banking"/>
    <s v="Repeat Customer"/>
  </r>
  <r>
    <n v="11012"/>
    <s v="CUST398"/>
    <d v="2024-01-28T00:00:00"/>
    <s v="Beauty"/>
    <x v="1"/>
    <n v="6"/>
    <x v="1001"/>
    <n v="1160.28"/>
    <s v="Net Banking"/>
    <s v="Repeat Customer"/>
  </r>
  <r>
    <n v="11013"/>
    <s v="CUST310"/>
    <d v="2024-12-25T00:00:00"/>
    <s v="Fashion"/>
    <x v="2"/>
    <n v="1"/>
    <x v="1002"/>
    <n v="332.31"/>
    <s v="Net Banking"/>
    <s v="Repeat Customer"/>
  </r>
  <r>
    <n v="11014"/>
    <s v="CUST143"/>
    <d v="2025-12-05T00:00:00"/>
    <s v="Electronics"/>
    <x v="1"/>
    <n v="2"/>
    <x v="1003"/>
    <n v="870.26"/>
    <s v="UPI"/>
    <s v="Repeat Customer"/>
  </r>
  <r>
    <n v="11015"/>
    <s v="CUST110"/>
    <d v="2025-07-05T00:00:00"/>
    <s v="Beauty"/>
    <x v="3"/>
    <n v="6"/>
    <x v="1004"/>
    <n v="141"/>
    <s v="Net Banking"/>
    <s v="Repeat Customer"/>
  </r>
  <r>
    <n v="11016"/>
    <s v="CUST110"/>
    <d v="2025-12-13T00:00:00"/>
    <s v="Home"/>
    <x v="3"/>
    <n v="8"/>
    <x v="1005"/>
    <n v="2368.4"/>
    <s v="Wallet"/>
    <s v="Repeat Customer"/>
  </r>
  <r>
    <n v="11017"/>
    <s v="CUST265"/>
    <d v="2025-08-09T00:00:00"/>
    <s v="Electronics"/>
    <x v="2"/>
    <n v="2"/>
    <x v="1006"/>
    <n v="810.24"/>
    <s v="Net Banking"/>
    <s v="New Customer"/>
  </r>
  <r>
    <n v="11018"/>
    <s v="CUST354"/>
    <d v="2025-05-29T00:00:00"/>
    <s v="Home"/>
    <x v="1"/>
    <n v="6"/>
    <x v="1007"/>
    <n v="524.88"/>
    <s v="Wallet"/>
    <s v="Repeat Customer"/>
  </r>
  <r>
    <n v="11019"/>
    <s v="CUST203"/>
    <d v="2025-05-23T00:00:00"/>
    <s v="Sports"/>
    <x v="2"/>
    <n v="2"/>
    <x v="1008"/>
    <n v="841.98"/>
    <s v="Net Banking"/>
    <s v="Repeat Customer"/>
  </r>
  <r>
    <n v="11020"/>
    <s v="CUST235"/>
    <d v="2024-02-18T00:00:00"/>
    <s v="Beauty"/>
    <x v="2"/>
    <n v="5"/>
    <x v="1009"/>
    <n v="2490.65"/>
    <s v="Credit Card"/>
    <s v="Repeat Customer"/>
  </r>
  <r>
    <n v="11021"/>
    <s v="CUST396"/>
    <d v="2024-04-07T00:00:00"/>
    <s v="Electronics"/>
    <x v="3"/>
    <n v="10"/>
    <x v="1010"/>
    <n v="1717.3"/>
    <s v="Wallet"/>
    <s v="Repeat Customer"/>
  </r>
  <r>
    <n v="11022"/>
    <s v="CUST207"/>
    <d v="2024-12-21T00:00:00"/>
    <s v="Home"/>
    <x v="1"/>
    <n v="2"/>
    <x v="1011"/>
    <n v="655.02"/>
    <s v="Wallet"/>
    <s v="Repeat Customer"/>
  </r>
  <r>
    <n v="11023"/>
    <s v="CUST376"/>
    <d v="2024-11-16T00:00:00"/>
    <s v="Home"/>
    <x v="3"/>
    <n v="4"/>
    <x v="1012"/>
    <n v="840.36"/>
    <s v="UPI"/>
    <s v="Repeat Customer"/>
  </r>
  <r>
    <n v="11024"/>
    <s v="CUST109"/>
    <d v="2025-10-04T00:00:00"/>
    <s v="Sports"/>
    <x v="3"/>
    <n v="9"/>
    <x v="1013"/>
    <n v="3888.36"/>
    <s v="UPI"/>
    <s v="Repeat Customer"/>
  </r>
  <r>
    <n v="11025"/>
    <s v="CUST339"/>
    <d v="2024-10-01T00:00:00"/>
    <s v="Beauty"/>
    <x v="0"/>
    <n v="9"/>
    <x v="1014"/>
    <n v="3648.78"/>
    <s v="UPI"/>
    <s v="Repeat Customer"/>
  </r>
  <r>
    <n v="11026"/>
    <s v="CUST286"/>
    <d v="2025-04-18T00:00:00"/>
    <s v="Home"/>
    <x v="3"/>
    <n v="3"/>
    <x v="1015"/>
    <n v="371.97"/>
    <s v="Wallet"/>
    <s v="Repeat Customer"/>
  </r>
  <r>
    <n v="11027"/>
    <s v="CUST263"/>
    <d v="2024-03-06T00:00:00"/>
    <s v="Home"/>
    <x v="1"/>
    <n v="4"/>
    <x v="1016"/>
    <n v="1695"/>
    <s v="UPI"/>
    <s v="Repeat Customer"/>
  </r>
  <r>
    <n v="11028"/>
    <s v="CUST231"/>
    <d v="2025-12-04T00:00:00"/>
    <s v="Fashion"/>
    <x v="0"/>
    <n v="10"/>
    <x v="1017"/>
    <n v="1218.8"/>
    <s v="UPI"/>
    <s v="Repeat Customer"/>
  </r>
  <r>
    <n v="11029"/>
    <s v="CUST198"/>
    <d v="2024-01-29T00:00:00"/>
    <s v="Home"/>
    <x v="3"/>
    <n v="4"/>
    <x v="1018"/>
    <n v="1598.16"/>
    <s v="Wallet"/>
    <s v="Repeat Customer"/>
  </r>
  <r>
    <n v="11030"/>
    <s v="CUST386"/>
    <d v="2025-03-22T00:00:00"/>
    <s v="Electronics"/>
    <x v="2"/>
    <n v="7"/>
    <x v="1019"/>
    <n v="2276.61"/>
    <s v="UPI"/>
    <s v="Repeat Customer"/>
  </r>
  <r>
    <n v="11031"/>
    <s v="CUST239"/>
    <d v="2024-05-19T00:00:00"/>
    <s v="Home"/>
    <x v="2"/>
    <n v="1"/>
    <x v="1020"/>
    <n v="132.91"/>
    <s v="Credit Card"/>
    <s v="Repeat Customer"/>
  </r>
  <r>
    <n v="11032"/>
    <s v="CUST348"/>
    <d v="2024-01-21T00:00:00"/>
    <s v="Electronics"/>
    <x v="1"/>
    <n v="1"/>
    <x v="1021"/>
    <n v="430.49"/>
    <s v="Net Banking"/>
    <s v="Repeat Customer"/>
  </r>
  <r>
    <n v="11033"/>
    <s v="CUST132"/>
    <d v="2025-02-20T00:00:00"/>
    <s v="Electronics"/>
    <x v="3"/>
    <n v="6"/>
    <x v="1022"/>
    <n v="2024.88"/>
    <s v="UPI"/>
    <s v="Repeat Customer"/>
  </r>
  <r>
    <n v="11034"/>
    <s v="CUST220"/>
    <d v="2024-04-24T00:00:00"/>
    <s v="Electronics"/>
    <x v="1"/>
    <n v="10"/>
    <x v="1023"/>
    <n v="3685.7"/>
    <s v="Wallet"/>
    <s v="Repeat Customer"/>
  </r>
  <r>
    <n v="11035"/>
    <s v="CUST146"/>
    <d v="2024-08-31T00:00:00"/>
    <s v="Home"/>
    <x v="1"/>
    <n v="10"/>
    <x v="1024"/>
    <n v="655.29999999999995"/>
    <s v="Wallet"/>
    <s v="Repeat Customer"/>
  </r>
  <r>
    <n v="11036"/>
    <s v="CUST220"/>
    <d v="2025-03-09T00:00:00"/>
    <s v="Fashion"/>
    <x v="2"/>
    <n v="4"/>
    <x v="1025"/>
    <n v="305.68"/>
    <s v="Net Banking"/>
    <s v="Repeat Customer"/>
  </r>
  <r>
    <n v="11037"/>
    <s v="CUST325"/>
    <d v="2025-02-22T00:00:00"/>
    <s v="Electronics"/>
    <x v="3"/>
    <n v="5"/>
    <x v="1026"/>
    <n v="2160.6999999999998"/>
    <s v="Net Banking"/>
    <s v="Repeat Customer"/>
  </r>
  <r>
    <n v="11038"/>
    <s v="CUST157"/>
    <d v="2024-11-20T00:00:00"/>
    <s v="Fashion"/>
    <x v="1"/>
    <n v="9"/>
    <x v="1027"/>
    <n v="1932.93"/>
    <s v="UPI"/>
    <s v="Repeat Customer"/>
  </r>
  <r>
    <n v="11039"/>
    <s v="CUST285"/>
    <d v="2025-05-01T00:00:00"/>
    <s v="Electronics"/>
    <x v="0"/>
    <n v="6"/>
    <x v="1028"/>
    <n v="2469.48"/>
    <s v="Credit Card"/>
    <s v="Repeat Customer"/>
  </r>
  <r>
    <n v="11040"/>
    <s v="CUST222"/>
    <d v="2024-09-16T00:00:00"/>
    <s v="Home"/>
    <x v="0"/>
    <n v="9"/>
    <x v="1029"/>
    <n v="1758.78"/>
    <s v="UPI"/>
    <s v="Repeat Customer"/>
  </r>
  <r>
    <n v="11041"/>
    <s v="CUST326"/>
    <d v="2025-02-01T00:00:00"/>
    <s v="Beauty"/>
    <x v="1"/>
    <n v="1"/>
    <x v="1030"/>
    <n v="455.35"/>
    <s v="Net Banking"/>
    <s v="Repeat Customer"/>
  </r>
  <r>
    <n v="11042"/>
    <s v="CUST146"/>
    <d v="2024-08-29T00:00:00"/>
    <s v="Fashion"/>
    <x v="3"/>
    <n v="5"/>
    <x v="1031"/>
    <n v="545.70000000000005"/>
    <s v="Net Banking"/>
    <s v="Repeat Customer"/>
  </r>
  <r>
    <n v="11043"/>
    <s v="CUST308"/>
    <d v="2024-02-04T00:00:00"/>
    <s v="Beauty"/>
    <x v="3"/>
    <n v="5"/>
    <x v="1032"/>
    <n v="2169.4499999999998"/>
    <s v="Wallet"/>
    <s v="Repeat Customer"/>
  </r>
  <r>
    <n v="11044"/>
    <s v="CUST270"/>
    <d v="2025-03-08T00:00:00"/>
    <s v="Home"/>
    <x v="0"/>
    <n v="2"/>
    <x v="1033"/>
    <n v="826.16"/>
    <s v="Net Banking"/>
    <s v="Repeat Customer"/>
  </r>
  <r>
    <n v="11045"/>
    <s v="CUST315"/>
    <d v="2025-09-08T00:00:00"/>
    <s v="Beauty"/>
    <x v="0"/>
    <n v="9"/>
    <x v="1034"/>
    <n v="3331.8"/>
    <s v="Credit Card"/>
    <s v="Repeat Customer"/>
  </r>
  <r>
    <n v="11046"/>
    <s v="CUST194"/>
    <d v="2025-10-07T00:00:00"/>
    <s v="Fashion"/>
    <x v="0"/>
    <n v="8"/>
    <x v="1035"/>
    <n v="3172.4"/>
    <s v="Wallet"/>
    <s v="Repeat Customer"/>
  </r>
  <r>
    <n v="11047"/>
    <s v="CUST202"/>
    <d v="2025-10-05T00:00:00"/>
    <s v="Electronics"/>
    <x v="0"/>
    <n v="5"/>
    <x v="1036"/>
    <n v="801.45"/>
    <s v="UPI"/>
    <s v="Repeat Customer"/>
  </r>
  <r>
    <n v="11048"/>
    <s v="CUST227"/>
    <d v="2025-06-12T00:00:00"/>
    <s v="Beauty"/>
    <x v="1"/>
    <n v="3"/>
    <x v="1037"/>
    <n v="1272.75"/>
    <s v="Wallet"/>
    <s v="Repeat Customer"/>
  </r>
  <r>
    <n v="11049"/>
    <s v="CUST344"/>
    <d v="2024-05-16T00:00:00"/>
    <s v="Sports"/>
    <x v="1"/>
    <n v="5"/>
    <x v="1038"/>
    <n v="454.35"/>
    <s v="Net Banking"/>
    <s v="Repeat Customer"/>
  </r>
  <r>
    <n v="11050"/>
    <s v="CUST201"/>
    <d v="2024-03-27T00:00:00"/>
    <s v="Beauty"/>
    <x v="3"/>
    <n v="7"/>
    <x v="1039"/>
    <n v="1308.72"/>
    <s v="UPI"/>
    <s v="Repeat Customer"/>
  </r>
  <r>
    <n v="11051"/>
    <s v="CUST110"/>
    <d v="2024-01-24T00:00:00"/>
    <s v="Fashion"/>
    <x v="0"/>
    <n v="9"/>
    <x v="1040"/>
    <n v="2927.88"/>
    <s v="Wallet"/>
    <s v="Repeat Customer"/>
  </r>
  <r>
    <n v="11052"/>
    <s v="CUST201"/>
    <d v="2024-09-25T00:00:00"/>
    <s v="Sports"/>
    <x v="3"/>
    <n v="3"/>
    <x v="1041"/>
    <n v="88.92"/>
    <s v="Net Banking"/>
    <s v="Repeat Customer"/>
  </r>
  <r>
    <n v="11053"/>
    <s v="CUST176"/>
    <d v="2024-04-01T00:00:00"/>
    <s v="Sports"/>
    <x v="0"/>
    <n v="6"/>
    <x v="1042"/>
    <n v="535.26"/>
    <s v="Credit Card"/>
    <s v="Repeat Customer"/>
  </r>
  <r>
    <n v="11054"/>
    <s v="CUST369"/>
    <d v="2025-03-21T00:00:00"/>
    <s v="Beauty"/>
    <x v="0"/>
    <n v="8"/>
    <x v="1043"/>
    <n v="3315.92"/>
    <s v="UPI"/>
    <s v="Repeat Customer"/>
  </r>
  <r>
    <n v="11055"/>
    <s v="CUST204"/>
    <d v="2024-07-14T00:00:00"/>
    <s v="Beauty"/>
    <x v="3"/>
    <n v="5"/>
    <x v="1044"/>
    <n v="737.7"/>
    <s v="UPI"/>
    <s v="Repeat Customer"/>
  </r>
  <r>
    <n v="11056"/>
    <s v="CUST320"/>
    <d v="2024-07-30T00:00:00"/>
    <s v="Home"/>
    <x v="2"/>
    <n v="10"/>
    <x v="1045"/>
    <n v="1117.0999999999999"/>
    <s v="Wallet"/>
    <s v="Repeat Customer"/>
  </r>
  <r>
    <n v="11057"/>
    <s v="CUST192"/>
    <d v="2025-02-22T00:00:00"/>
    <s v="Home"/>
    <x v="2"/>
    <n v="3"/>
    <x v="1046"/>
    <n v="57.72"/>
    <s v="Wallet"/>
    <s v="Repeat Customer"/>
  </r>
  <r>
    <n v="11058"/>
    <s v="CUST227"/>
    <d v="2025-01-13T00:00:00"/>
    <s v="Beauty"/>
    <x v="0"/>
    <n v="10"/>
    <x v="1047"/>
    <n v="3437.1"/>
    <s v="Credit Card"/>
    <s v="Repeat Customer"/>
  </r>
  <r>
    <n v="11059"/>
    <s v="CUST340"/>
    <d v="2024-05-16T00:00:00"/>
    <s v="Beauty"/>
    <x v="2"/>
    <n v="6"/>
    <x v="484"/>
    <n v="2923.98"/>
    <s v="Wallet"/>
    <s v="Repeat Customer"/>
  </r>
  <r>
    <n v="11060"/>
    <s v="CUST316"/>
    <d v="2025-09-03T00:00:00"/>
    <s v="Sports"/>
    <x v="0"/>
    <n v="5"/>
    <x v="1048"/>
    <n v="205.8"/>
    <s v="Credit Card"/>
    <s v="Repeat Customer"/>
  </r>
  <r>
    <n v="11061"/>
    <s v="CUST270"/>
    <d v="2024-08-28T00:00:00"/>
    <s v="Sports"/>
    <x v="0"/>
    <n v="8"/>
    <x v="1049"/>
    <n v="3636.56"/>
    <s v="Credit Card"/>
    <s v="Repeat Customer"/>
  </r>
  <r>
    <n v="11062"/>
    <s v="CUST229"/>
    <d v="2025-05-31T00:00:00"/>
    <s v="Beauty"/>
    <x v="1"/>
    <n v="10"/>
    <x v="1050"/>
    <n v="1935.6"/>
    <s v="UPI"/>
    <s v="Repeat Customer"/>
  </r>
  <r>
    <n v="11063"/>
    <s v="CUST386"/>
    <d v="2024-02-12T00:00:00"/>
    <s v="Fashion"/>
    <x v="3"/>
    <n v="10"/>
    <x v="1051"/>
    <n v="937.9"/>
    <s v="Net Banking"/>
    <s v="Repeat Customer"/>
  </r>
  <r>
    <n v="11064"/>
    <s v="CUST339"/>
    <d v="2024-05-15T00:00:00"/>
    <s v="Sports"/>
    <x v="3"/>
    <n v="2"/>
    <x v="1052"/>
    <n v="324.14"/>
    <s v="UPI"/>
    <s v="Repeat Customer"/>
  </r>
  <r>
    <n v="11065"/>
    <s v="CUST233"/>
    <d v="2024-04-29T00:00:00"/>
    <s v="Fashion"/>
    <x v="3"/>
    <n v="6"/>
    <x v="1053"/>
    <n v="161.16"/>
    <s v="Net Banking"/>
    <s v="Repeat Customer"/>
  </r>
  <r>
    <n v="11066"/>
    <s v="CUST284"/>
    <d v="2025-03-16T00:00:00"/>
    <s v="Home"/>
    <x v="1"/>
    <n v="5"/>
    <x v="1054"/>
    <n v="2259.4"/>
    <s v="Net Banking"/>
    <s v="Repeat Customer"/>
  </r>
  <r>
    <n v="11067"/>
    <s v="CUST323"/>
    <d v="2024-06-17T00:00:00"/>
    <s v="Beauty"/>
    <x v="2"/>
    <n v="6"/>
    <x v="1055"/>
    <n v="2218.5"/>
    <s v="Wallet"/>
    <s v="Repeat Customer"/>
  </r>
  <r>
    <n v="11068"/>
    <s v="CUST127"/>
    <d v="2024-07-12T00:00:00"/>
    <s v="Fashion"/>
    <x v="0"/>
    <n v="3"/>
    <x v="1056"/>
    <n v="96.03"/>
    <s v="Wallet"/>
    <s v="Repeat Customer"/>
  </r>
  <r>
    <n v="11069"/>
    <s v="CUST233"/>
    <d v="2024-06-16T00:00:00"/>
    <s v="Beauty"/>
    <x v="0"/>
    <n v="8"/>
    <x v="1057"/>
    <n v="1768.24"/>
    <s v="Wallet"/>
    <s v="Repeat Customer"/>
  </r>
  <r>
    <n v="11070"/>
    <s v="CUST282"/>
    <d v="2025-12-27T00:00:00"/>
    <s v="Beauty"/>
    <x v="0"/>
    <n v="9"/>
    <x v="1058"/>
    <n v="2206.5300000000002"/>
    <s v="UPI"/>
    <s v="Repeat Customer"/>
  </r>
  <r>
    <n v="11071"/>
    <s v="CUST163"/>
    <d v="2024-12-23T00:00:00"/>
    <s v="Home"/>
    <x v="2"/>
    <n v="2"/>
    <x v="1059"/>
    <n v="211.7"/>
    <s v="UPI"/>
    <s v="Repeat Customer"/>
  </r>
  <r>
    <n v="11072"/>
    <s v="CUST360"/>
    <d v="2024-10-06T00:00:00"/>
    <s v="Sports"/>
    <x v="2"/>
    <n v="10"/>
    <x v="1060"/>
    <n v="4459.8999999999996"/>
    <s v="Credit Card"/>
    <s v="Repeat Customer"/>
  </r>
  <r>
    <n v="11073"/>
    <s v="CUST369"/>
    <d v="2025-08-07T00:00:00"/>
    <s v="Electronics"/>
    <x v="2"/>
    <n v="3"/>
    <x v="1061"/>
    <n v="633.39"/>
    <s v="Wallet"/>
    <s v="Repeat Customer"/>
  </r>
  <r>
    <n v="11074"/>
    <s v="CUST148"/>
    <d v="2024-12-02T00:00:00"/>
    <s v="Electronics"/>
    <x v="3"/>
    <n v="1"/>
    <x v="1062"/>
    <n v="145.72"/>
    <s v="Net Banking"/>
    <s v="Repeat Customer"/>
  </r>
  <r>
    <n v="11075"/>
    <s v="CUST154"/>
    <d v="2024-11-27T00:00:00"/>
    <s v="Beauty"/>
    <x v="3"/>
    <n v="3"/>
    <x v="1063"/>
    <n v="57.87"/>
    <s v="Wallet"/>
    <s v="Repeat Customer"/>
  </r>
  <r>
    <n v="11076"/>
    <s v="CUST237"/>
    <d v="2025-08-31T00:00:00"/>
    <s v="Electronics"/>
    <x v="3"/>
    <n v="1"/>
    <x v="1064"/>
    <n v="168.07"/>
    <s v="Net Banking"/>
    <s v="Repeat Customer"/>
  </r>
  <r>
    <n v="11077"/>
    <s v="CUST391"/>
    <d v="2024-05-12T00:00:00"/>
    <s v="Home"/>
    <x v="1"/>
    <n v="4"/>
    <x v="1065"/>
    <n v="1729.28"/>
    <s v="Credit Card"/>
    <s v="Repeat Customer"/>
  </r>
  <r>
    <n v="11078"/>
    <s v="CUST136"/>
    <d v="2025-07-14T00:00:00"/>
    <s v="Beauty"/>
    <x v="1"/>
    <n v="10"/>
    <x v="1066"/>
    <n v="1937.9"/>
    <s v="UPI"/>
    <s v="Repeat Customer"/>
  </r>
  <r>
    <n v="11079"/>
    <s v="CUST222"/>
    <d v="2025-02-12T00:00:00"/>
    <s v="Fashion"/>
    <x v="2"/>
    <n v="2"/>
    <x v="1067"/>
    <n v="30.3"/>
    <s v="Wallet"/>
    <s v="Repeat Customer"/>
  </r>
  <r>
    <n v="11080"/>
    <s v="CUST306"/>
    <d v="2024-10-18T00:00:00"/>
    <s v="Beauty"/>
    <x v="3"/>
    <n v="3"/>
    <x v="1068"/>
    <n v="194.1"/>
    <s v="Net Banking"/>
    <s v="Repeat Customer"/>
  </r>
  <r>
    <n v="11081"/>
    <s v="CUST167"/>
    <d v="2025-01-02T00:00:00"/>
    <s v="Sports"/>
    <x v="2"/>
    <n v="2"/>
    <x v="1069"/>
    <n v="833.74"/>
    <s v="Wallet"/>
    <s v="Repeat Customer"/>
  </r>
  <r>
    <n v="11082"/>
    <s v="CUST328"/>
    <d v="2025-02-01T00:00:00"/>
    <s v="Sports"/>
    <x v="3"/>
    <n v="8"/>
    <x v="1070"/>
    <n v="1103.2"/>
    <s v="Credit Card"/>
    <s v="Repeat Customer"/>
  </r>
  <r>
    <n v="11083"/>
    <s v="CUST316"/>
    <d v="2025-01-12T00:00:00"/>
    <s v="Beauty"/>
    <x v="0"/>
    <n v="10"/>
    <x v="1071"/>
    <n v="972.5"/>
    <s v="Credit Card"/>
    <s v="Repeat Customer"/>
  </r>
  <r>
    <n v="11084"/>
    <s v="CUST362"/>
    <d v="2024-12-15T00:00:00"/>
    <s v="Fashion"/>
    <x v="3"/>
    <n v="8"/>
    <x v="1072"/>
    <n v="2718.72"/>
    <s v="Credit Card"/>
    <s v="Repeat Customer"/>
  </r>
  <r>
    <n v="11085"/>
    <s v="CUST248"/>
    <d v="2025-04-24T00:00:00"/>
    <s v="Beauty"/>
    <x v="1"/>
    <n v="7"/>
    <x v="1073"/>
    <n v="309.39999999999998"/>
    <s v="UPI"/>
    <s v="Repeat Customer"/>
  </r>
  <r>
    <n v="11086"/>
    <s v="CUST165"/>
    <d v="2025-12-01T00:00:00"/>
    <s v="Sports"/>
    <x v="3"/>
    <n v="5"/>
    <x v="1074"/>
    <n v="2107.8000000000002"/>
    <s v="Net Banking"/>
    <s v="Repeat Customer"/>
  </r>
  <r>
    <n v="11087"/>
    <s v="CUST391"/>
    <d v="2024-02-18T00:00:00"/>
    <s v="Electronics"/>
    <x v="0"/>
    <n v="9"/>
    <x v="1075"/>
    <n v="385.92"/>
    <s v="Wallet"/>
    <s v="Repeat Customer"/>
  </r>
  <r>
    <n v="11088"/>
    <s v="CUST311"/>
    <d v="2024-04-06T00:00:00"/>
    <s v="Sports"/>
    <x v="1"/>
    <n v="8"/>
    <x v="1076"/>
    <n v="2656.96"/>
    <s v="Net Banking"/>
    <s v="Repeat Customer"/>
  </r>
  <r>
    <n v="11089"/>
    <s v="CUST230"/>
    <d v="2025-08-22T00:00:00"/>
    <s v="Electronics"/>
    <x v="0"/>
    <n v="2"/>
    <x v="1077"/>
    <n v="770.96"/>
    <s v="Wallet"/>
    <s v="Repeat Customer"/>
  </r>
  <r>
    <n v="11090"/>
    <s v="CUST191"/>
    <d v="2024-07-05T00:00:00"/>
    <s v="Beauty"/>
    <x v="1"/>
    <n v="7"/>
    <x v="1078"/>
    <n v="191.8"/>
    <s v="Net Banking"/>
    <s v="Repeat Customer"/>
  </r>
  <r>
    <n v="11091"/>
    <s v="CUST332"/>
    <d v="2025-11-17T00:00:00"/>
    <s v="Home"/>
    <x v="1"/>
    <n v="8"/>
    <x v="1079"/>
    <n v="2510.3200000000002"/>
    <s v="UPI"/>
    <s v="Repeat Customer"/>
  </r>
  <r>
    <n v="11092"/>
    <s v="CUST208"/>
    <d v="2024-07-08T00:00:00"/>
    <s v="Sports"/>
    <x v="1"/>
    <n v="2"/>
    <x v="1080"/>
    <n v="749.56"/>
    <s v="Credit Card"/>
    <s v="Repeat Customer"/>
  </r>
  <r>
    <n v="11093"/>
    <s v="CUST322"/>
    <d v="2025-07-01T00:00:00"/>
    <s v="Electronics"/>
    <x v="0"/>
    <n v="1"/>
    <x v="1081"/>
    <n v="7.89"/>
    <s v="UPI"/>
    <s v="Repeat Customer"/>
  </r>
  <r>
    <n v="11094"/>
    <s v="CUST344"/>
    <d v="2025-04-16T00:00:00"/>
    <s v="Sports"/>
    <x v="3"/>
    <n v="7"/>
    <x v="1082"/>
    <n v="3045.35"/>
    <s v="Net Banking"/>
    <s v="Repeat Customer"/>
  </r>
  <r>
    <n v="11095"/>
    <s v="CUST284"/>
    <d v="2025-12-08T00:00:00"/>
    <s v="Electronics"/>
    <x v="2"/>
    <n v="7"/>
    <x v="1083"/>
    <n v="2823.1"/>
    <s v="UPI"/>
    <s v="Repeat Customer"/>
  </r>
  <r>
    <n v="11096"/>
    <s v="CUST107"/>
    <d v="2024-07-14T00:00:00"/>
    <s v="Fashion"/>
    <x v="0"/>
    <n v="2"/>
    <x v="1084"/>
    <n v="817.8"/>
    <s v="UPI"/>
    <s v="Repeat Customer"/>
  </r>
  <r>
    <n v="11097"/>
    <s v="CUST346"/>
    <d v="2025-10-26T00:00:00"/>
    <s v="Beauty"/>
    <x v="2"/>
    <n v="3"/>
    <x v="1085"/>
    <n v="979.86"/>
    <s v="Credit Card"/>
    <s v="Repeat Customer"/>
  </r>
  <r>
    <n v="11098"/>
    <s v="CUST254"/>
    <d v="2025-04-19T00:00:00"/>
    <s v="Electronics"/>
    <x v="0"/>
    <n v="3"/>
    <x v="1086"/>
    <n v="718.86"/>
    <s v="UPI"/>
    <s v="Repeat Customer"/>
  </r>
  <r>
    <n v="11099"/>
    <s v="CUST178"/>
    <d v="2025-12-20T00:00:00"/>
    <s v="Beauty"/>
    <x v="0"/>
    <n v="8"/>
    <x v="1087"/>
    <n v="3856.88"/>
    <s v="Wallet"/>
    <s v="Repeat Customer"/>
  </r>
  <r>
    <n v="11100"/>
    <s v="CUST399"/>
    <d v="2024-09-05T00:00:00"/>
    <s v="Beauty"/>
    <x v="0"/>
    <n v="4"/>
    <x v="1088"/>
    <n v="603.76"/>
    <s v="Net Banking"/>
    <s v="Repeat Customer"/>
  </r>
  <r>
    <n v="11101"/>
    <s v="CUST104"/>
    <d v="2024-04-15T00:00:00"/>
    <s v="Beauty"/>
    <x v="1"/>
    <n v="7"/>
    <x v="1089"/>
    <n v="3428.95"/>
    <s v="Credit Card"/>
    <s v="Repeat Customer"/>
  </r>
  <r>
    <n v="11102"/>
    <s v="CUST349"/>
    <d v="2025-02-13T00:00:00"/>
    <s v="Sports"/>
    <x v="3"/>
    <n v="8"/>
    <x v="1090"/>
    <n v="2072.88"/>
    <s v="UPI"/>
    <s v="Repeat Customer"/>
  </r>
  <r>
    <n v="11103"/>
    <s v="CUST131"/>
    <d v="2025-06-24T00:00:00"/>
    <s v="Home"/>
    <x v="0"/>
    <n v="1"/>
    <x v="1091"/>
    <n v="213.89"/>
    <s v="Net Banking"/>
    <s v="Repeat Customer"/>
  </r>
  <r>
    <n v="11104"/>
    <s v="CUST313"/>
    <d v="2025-04-29T00:00:00"/>
    <s v="Home"/>
    <x v="3"/>
    <n v="2"/>
    <x v="1092"/>
    <n v="499.84"/>
    <s v="Wallet"/>
    <s v="Repeat Customer"/>
  </r>
  <r>
    <n v="11105"/>
    <s v="CUST110"/>
    <d v="2024-06-14T00:00:00"/>
    <s v="Beauty"/>
    <x v="1"/>
    <n v="5"/>
    <x v="1093"/>
    <n v="1822.35"/>
    <s v="Wallet"/>
    <s v="Repeat Customer"/>
  </r>
  <r>
    <n v="11106"/>
    <s v="CUST218"/>
    <d v="2025-06-03T00:00:00"/>
    <s v="Home"/>
    <x v="3"/>
    <n v="4"/>
    <x v="1094"/>
    <n v="1183.56"/>
    <s v="UPI"/>
    <s v="Repeat Customer"/>
  </r>
  <r>
    <n v="11107"/>
    <s v="CUST250"/>
    <d v="2025-12-29T00:00:00"/>
    <s v="Home"/>
    <x v="3"/>
    <n v="7"/>
    <x v="1095"/>
    <n v="3360.7"/>
    <s v="UPI"/>
    <s v="Repeat Customer"/>
  </r>
  <r>
    <n v="11108"/>
    <s v="CUST206"/>
    <d v="2024-10-16T00:00:00"/>
    <s v="Fashion"/>
    <x v="2"/>
    <n v="2"/>
    <x v="1096"/>
    <n v="670.38"/>
    <s v="UPI"/>
    <s v="Repeat Customer"/>
  </r>
  <r>
    <n v="11109"/>
    <s v="CUST180"/>
    <d v="2025-09-12T00:00:00"/>
    <s v="Beauty"/>
    <x v="3"/>
    <n v="8"/>
    <x v="1097"/>
    <n v="439.6"/>
    <s v="Net Banking"/>
    <s v="Repeat Customer"/>
  </r>
  <r>
    <n v="11110"/>
    <s v="CUST220"/>
    <d v="2024-08-02T00:00:00"/>
    <s v="Electronics"/>
    <x v="1"/>
    <n v="9"/>
    <x v="1098"/>
    <n v="254.61"/>
    <s v="Net Banking"/>
    <s v="Repeat Customer"/>
  </r>
  <r>
    <n v="11111"/>
    <s v="CUST282"/>
    <d v="2025-11-24T00:00:00"/>
    <s v="Sports"/>
    <x v="0"/>
    <n v="3"/>
    <x v="1099"/>
    <n v="274.44"/>
    <s v="Credit Card"/>
    <s v="Repeat Customer"/>
  </r>
  <r>
    <n v="11112"/>
    <s v="CUST272"/>
    <d v="2025-03-16T00:00:00"/>
    <s v="Electronics"/>
    <x v="2"/>
    <n v="2"/>
    <x v="1100"/>
    <n v="621.38"/>
    <s v="Wallet"/>
    <s v="Repeat Customer"/>
  </r>
  <r>
    <n v="11113"/>
    <s v="CUST232"/>
    <d v="2024-12-14T00:00:00"/>
    <s v="Sports"/>
    <x v="1"/>
    <n v="6"/>
    <x v="1101"/>
    <n v="2315.04"/>
    <s v="UPI"/>
    <s v="Repeat Customer"/>
  </r>
  <r>
    <n v="11114"/>
    <s v="CUST363"/>
    <d v="2025-09-10T00:00:00"/>
    <s v="Beauty"/>
    <x v="3"/>
    <n v="2"/>
    <x v="1102"/>
    <n v="709.34"/>
    <s v="Credit Card"/>
    <s v="Repeat Customer"/>
  </r>
  <r>
    <n v="11115"/>
    <s v="CUST154"/>
    <d v="2025-09-17T00:00:00"/>
    <s v="Electronics"/>
    <x v="0"/>
    <n v="10"/>
    <x v="1103"/>
    <n v="3921.7"/>
    <s v="Credit Card"/>
    <s v="Repeat Customer"/>
  </r>
  <r>
    <n v="11116"/>
    <s v="CUST185"/>
    <d v="2025-10-07T00:00:00"/>
    <s v="Home"/>
    <x v="2"/>
    <n v="2"/>
    <x v="1104"/>
    <n v="872.16"/>
    <s v="Net Banking"/>
    <s v="Repeat Customer"/>
  </r>
  <r>
    <n v="11117"/>
    <s v="CUST326"/>
    <d v="2025-06-02T00:00:00"/>
    <s v="Electronics"/>
    <x v="2"/>
    <n v="8"/>
    <x v="1105"/>
    <n v="2940.88"/>
    <s v="Net Banking"/>
    <s v="Repeat Customer"/>
  </r>
  <r>
    <n v="11118"/>
    <s v="CUST271"/>
    <d v="2024-05-21T00:00:00"/>
    <s v="Beauty"/>
    <x v="3"/>
    <n v="2"/>
    <x v="1106"/>
    <n v="850.1"/>
    <s v="Credit Card"/>
    <s v="Repeat Customer"/>
  </r>
  <r>
    <n v="11119"/>
    <s v="CUST225"/>
    <d v="2025-04-30T00:00:00"/>
    <s v="Fashion"/>
    <x v="0"/>
    <n v="6"/>
    <x v="1107"/>
    <n v="881.7"/>
    <s v="Net Banking"/>
    <s v="Repeat Customer"/>
  </r>
  <r>
    <n v="11120"/>
    <s v="CUST290"/>
    <d v="2025-02-28T00:00:00"/>
    <s v="Fashion"/>
    <x v="2"/>
    <n v="6"/>
    <x v="1108"/>
    <n v="1899.42"/>
    <s v="Wallet"/>
    <s v="Repeat Customer"/>
  </r>
  <r>
    <n v="11121"/>
    <s v="CUST216"/>
    <d v="2024-05-21T00:00:00"/>
    <s v="Beauty"/>
    <x v="3"/>
    <n v="7"/>
    <x v="1109"/>
    <n v="1467.48"/>
    <s v="Net Banking"/>
    <s v="Repeat Customer"/>
  </r>
  <r>
    <n v="11122"/>
    <s v="CUST115"/>
    <d v="2025-03-29T00:00:00"/>
    <s v="Sports"/>
    <x v="0"/>
    <n v="3"/>
    <x v="1110"/>
    <n v="1158.69"/>
    <s v="Credit Card"/>
    <s v="Repeat Customer"/>
  </r>
  <r>
    <n v="11123"/>
    <s v="CUST273"/>
    <d v="2024-11-18T00:00:00"/>
    <s v="Fashion"/>
    <x v="3"/>
    <n v="7"/>
    <x v="1111"/>
    <n v="3437.42"/>
    <s v="Credit Card"/>
    <s v="Repeat Customer"/>
  </r>
  <r>
    <n v="11124"/>
    <s v="CUST301"/>
    <d v="2024-02-07T00:00:00"/>
    <s v="Electronics"/>
    <x v="1"/>
    <n v="3"/>
    <x v="457"/>
    <n v="1355.22"/>
    <s v="Wallet"/>
    <s v="New Customer"/>
  </r>
  <r>
    <n v="11125"/>
    <s v="CUST305"/>
    <d v="2025-11-28T00:00:00"/>
    <s v="Home"/>
    <x v="1"/>
    <n v="9"/>
    <x v="1112"/>
    <n v="3936.69"/>
    <s v="Credit Card"/>
    <s v="Repeat Customer"/>
  </r>
  <r>
    <n v="11126"/>
    <s v="CUST243"/>
    <d v="2025-06-24T00:00:00"/>
    <s v="Beauty"/>
    <x v="3"/>
    <n v="10"/>
    <x v="1113"/>
    <n v="4606.2"/>
    <s v="UPI"/>
    <s v="Repeat Customer"/>
  </r>
  <r>
    <n v="11127"/>
    <s v="CUST378"/>
    <d v="2025-10-01T00:00:00"/>
    <s v="Home"/>
    <x v="3"/>
    <n v="10"/>
    <x v="1114"/>
    <n v="3277.6"/>
    <s v="UPI"/>
    <s v="Repeat Customer"/>
  </r>
  <r>
    <n v="11128"/>
    <s v="CUST254"/>
    <d v="2024-03-27T00:00:00"/>
    <s v="Beauty"/>
    <x v="2"/>
    <n v="1"/>
    <x v="1115"/>
    <n v="271.02999999999997"/>
    <s v="Net Banking"/>
    <s v="Repeat Customer"/>
  </r>
  <r>
    <n v="11129"/>
    <s v="CUST209"/>
    <d v="2024-04-05T00:00:00"/>
    <s v="Sports"/>
    <x v="1"/>
    <n v="9"/>
    <x v="1116"/>
    <n v="2503.17"/>
    <s v="UPI"/>
    <s v="Repeat Customer"/>
  </r>
  <r>
    <n v="11130"/>
    <s v="CUST111"/>
    <d v="2024-01-29T00:00:00"/>
    <s v="Fashion"/>
    <x v="1"/>
    <n v="9"/>
    <x v="1117"/>
    <n v="2684.61"/>
    <s v="Wallet"/>
    <s v="Repeat Customer"/>
  </r>
  <r>
    <n v="11131"/>
    <s v="CUST358"/>
    <d v="2024-04-23T00:00:00"/>
    <s v="Home"/>
    <x v="1"/>
    <n v="1"/>
    <x v="1118"/>
    <n v="421.58"/>
    <s v="Credit Card"/>
    <s v="Repeat Customer"/>
  </r>
  <r>
    <n v="11132"/>
    <s v="CUST124"/>
    <d v="2025-10-28T00:00:00"/>
    <s v="Sports"/>
    <x v="0"/>
    <n v="2"/>
    <x v="1119"/>
    <n v="454.24"/>
    <s v="Wallet"/>
    <s v="Repeat Customer"/>
  </r>
  <r>
    <n v="11133"/>
    <s v="CUST273"/>
    <d v="2024-08-29T00:00:00"/>
    <s v="Sports"/>
    <x v="2"/>
    <n v="10"/>
    <x v="1120"/>
    <n v="2849.7"/>
    <s v="Net Banking"/>
    <s v="Repeat Customer"/>
  </r>
  <r>
    <n v="11134"/>
    <s v="CUST253"/>
    <d v="2024-10-18T00:00:00"/>
    <s v="Beauty"/>
    <x v="2"/>
    <n v="10"/>
    <x v="1121"/>
    <n v="3378.5"/>
    <s v="Credit Card"/>
    <s v="Repeat Customer"/>
  </r>
  <r>
    <n v="11135"/>
    <s v="CUST267"/>
    <d v="2025-06-12T00:00:00"/>
    <s v="Home"/>
    <x v="3"/>
    <n v="10"/>
    <x v="818"/>
    <n v="1003.1"/>
    <s v="Credit Card"/>
    <s v="Repeat Customer"/>
  </r>
  <r>
    <n v="11136"/>
    <s v="CUST175"/>
    <d v="2025-12-29T00:00:00"/>
    <s v="Electronics"/>
    <x v="0"/>
    <n v="7"/>
    <x v="1122"/>
    <n v="2905.56"/>
    <s v="Credit Card"/>
    <s v="Repeat Customer"/>
  </r>
  <r>
    <n v="11137"/>
    <s v="CUST317"/>
    <d v="2024-05-13T00:00:00"/>
    <s v="Electronics"/>
    <x v="1"/>
    <n v="8"/>
    <x v="1123"/>
    <n v="890.56"/>
    <s v="Wallet"/>
    <s v="Repeat Customer"/>
  </r>
  <r>
    <n v="11138"/>
    <s v="CUST386"/>
    <d v="2025-06-15T00:00:00"/>
    <s v="Sports"/>
    <x v="3"/>
    <n v="7"/>
    <x v="1124"/>
    <n v="3056.55"/>
    <s v="Wallet"/>
    <s v="Repeat Customer"/>
  </r>
  <r>
    <n v="11139"/>
    <s v="CUST325"/>
    <d v="2025-12-06T00:00:00"/>
    <s v="Beauty"/>
    <x v="2"/>
    <n v="8"/>
    <x v="1125"/>
    <n v="2937.6"/>
    <s v="UPI"/>
    <s v="Repeat Customer"/>
  </r>
  <r>
    <n v="11140"/>
    <s v="CUST358"/>
    <d v="2024-05-10T00:00:00"/>
    <s v="Fashion"/>
    <x v="0"/>
    <n v="8"/>
    <x v="1126"/>
    <n v="2856.16"/>
    <s v="UPI"/>
    <s v="Repeat Customer"/>
  </r>
  <r>
    <n v="11141"/>
    <s v="CUST333"/>
    <d v="2025-04-29T00:00:00"/>
    <s v="Sports"/>
    <x v="1"/>
    <n v="1"/>
    <x v="1127"/>
    <n v="374.52"/>
    <s v="Credit Card"/>
    <s v="Repeat Customer"/>
  </r>
  <r>
    <n v="11142"/>
    <s v="CUST309"/>
    <d v="2024-04-22T00:00:00"/>
    <s v="Home"/>
    <x v="0"/>
    <n v="2"/>
    <x v="1128"/>
    <n v="375.9"/>
    <s v="UPI"/>
    <s v="Repeat Customer"/>
  </r>
  <r>
    <n v="11143"/>
    <s v="CUST160"/>
    <d v="2025-01-15T00:00:00"/>
    <s v="Home"/>
    <x v="1"/>
    <n v="5"/>
    <x v="1129"/>
    <n v="2477.75"/>
    <s v="Wallet"/>
    <s v="Repeat Customer"/>
  </r>
  <r>
    <n v="11144"/>
    <s v="CUST114"/>
    <d v="2024-05-26T00:00:00"/>
    <s v="Beauty"/>
    <x v="0"/>
    <n v="3"/>
    <x v="421"/>
    <n v="1178.94"/>
    <s v="Net Banking"/>
    <s v="Repeat Customer"/>
  </r>
  <r>
    <n v="11145"/>
    <s v="CUST245"/>
    <d v="2024-08-08T00:00:00"/>
    <s v="Beauty"/>
    <x v="0"/>
    <n v="3"/>
    <x v="1130"/>
    <n v="1231.4100000000001"/>
    <s v="Credit Card"/>
    <s v="Repeat Customer"/>
  </r>
  <r>
    <n v="11146"/>
    <s v="CUST380"/>
    <d v="2024-12-23T00:00:00"/>
    <s v="Beauty"/>
    <x v="3"/>
    <n v="2"/>
    <x v="1131"/>
    <n v="871.72"/>
    <s v="Net Banking"/>
    <s v="New Customer"/>
  </r>
  <r>
    <n v="11147"/>
    <s v="CUST389"/>
    <d v="2025-04-08T00:00:00"/>
    <s v="Beauty"/>
    <x v="2"/>
    <n v="6"/>
    <x v="1132"/>
    <n v="2350.62"/>
    <s v="UPI"/>
    <s v="Repeat Customer"/>
  </r>
  <r>
    <n v="11148"/>
    <s v="CUST358"/>
    <d v="2025-10-13T00:00:00"/>
    <s v="Beauty"/>
    <x v="2"/>
    <n v="8"/>
    <x v="1133"/>
    <n v="3056.24"/>
    <s v="Net Banking"/>
    <s v="Repeat Customer"/>
  </r>
  <r>
    <n v="11149"/>
    <s v="CUST145"/>
    <d v="2025-10-01T00:00:00"/>
    <s v="Fashion"/>
    <x v="3"/>
    <n v="10"/>
    <x v="1134"/>
    <n v="2077.6999999999998"/>
    <s v="Net Banking"/>
    <s v="Repeat Customer"/>
  </r>
  <r>
    <n v="11150"/>
    <s v="CUST376"/>
    <d v="2024-02-16T00:00:00"/>
    <s v="Electronics"/>
    <x v="2"/>
    <n v="8"/>
    <x v="1135"/>
    <n v="2954.24"/>
    <s v="Credit Card"/>
    <s v="Repeat Customer"/>
  </r>
  <r>
    <n v="11151"/>
    <s v="CUST392"/>
    <d v="2025-10-07T00:00:00"/>
    <s v="Electronics"/>
    <x v="0"/>
    <n v="5"/>
    <x v="1136"/>
    <n v="1413.6"/>
    <s v="UPI"/>
    <s v="Repeat Customer"/>
  </r>
  <r>
    <n v="11152"/>
    <s v="CUST377"/>
    <d v="2025-08-13T00:00:00"/>
    <s v="Sports"/>
    <x v="2"/>
    <n v="1"/>
    <x v="1137"/>
    <n v="478.86"/>
    <s v="Wallet"/>
    <s v="Repeat Customer"/>
  </r>
  <r>
    <n v="11153"/>
    <s v="CUST357"/>
    <d v="2024-01-20T00:00:00"/>
    <s v="Sports"/>
    <x v="2"/>
    <n v="2"/>
    <x v="1138"/>
    <n v="661.68"/>
    <s v="Credit Card"/>
    <s v="Repeat Customer"/>
  </r>
  <r>
    <n v="11154"/>
    <s v="CUST240"/>
    <d v="2024-07-29T00:00:00"/>
    <s v="Sports"/>
    <x v="3"/>
    <n v="4"/>
    <x v="1139"/>
    <n v="1662.8"/>
    <s v="Credit Card"/>
    <s v="Repeat Customer"/>
  </r>
  <r>
    <n v="11155"/>
    <s v="CUST373"/>
    <d v="2025-09-13T00:00:00"/>
    <s v="Electronics"/>
    <x v="3"/>
    <n v="6"/>
    <x v="1140"/>
    <n v="1223.3399999999999"/>
    <s v="Credit Card"/>
    <s v="Repeat Customer"/>
  </r>
  <r>
    <n v="11156"/>
    <s v="CUST274"/>
    <d v="2025-03-23T00:00:00"/>
    <s v="Sports"/>
    <x v="1"/>
    <n v="3"/>
    <x v="1141"/>
    <n v="631.16999999999996"/>
    <s v="Wallet"/>
    <s v="Repeat Customer"/>
  </r>
  <r>
    <n v="11157"/>
    <s v="CUST231"/>
    <d v="2024-04-03T00:00:00"/>
    <s v="Sports"/>
    <x v="2"/>
    <n v="2"/>
    <x v="1142"/>
    <n v="979.98"/>
    <s v="Net Banking"/>
    <s v="Repeat Customer"/>
  </r>
  <r>
    <n v="11158"/>
    <s v="CUST173"/>
    <d v="2024-07-06T00:00:00"/>
    <s v="Fashion"/>
    <x v="1"/>
    <n v="5"/>
    <x v="1143"/>
    <n v="1926.55"/>
    <s v="Wallet"/>
    <s v="Repeat Customer"/>
  </r>
  <r>
    <n v="11159"/>
    <s v="CUST186"/>
    <d v="2024-03-01T00:00:00"/>
    <s v="Fashion"/>
    <x v="0"/>
    <n v="10"/>
    <x v="1144"/>
    <n v="4807.6000000000004"/>
    <s v="Credit Card"/>
    <s v="Repeat Customer"/>
  </r>
  <r>
    <n v="11160"/>
    <s v="CUST252"/>
    <d v="2025-02-03T00:00:00"/>
    <s v="Beauty"/>
    <x v="1"/>
    <n v="2"/>
    <x v="1145"/>
    <n v="326.83999999999997"/>
    <s v="Net Banking"/>
    <s v="Repeat Customer"/>
  </r>
  <r>
    <n v="11161"/>
    <s v="CUST292"/>
    <d v="2024-05-03T00:00:00"/>
    <s v="Sports"/>
    <x v="2"/>
    <n v="1"/>
    <x v="1146"/>
    <n v="105.27"/>
    <s v="Wallet"/>
    <s v="Repeat Customer"/>
  </r>
  <r>
    <n v="11162"/>
    <s v="CUST360"/>
    <d v="2025-05-31T00:00:00"/>
    <s v="Home"/>
    <x v="0"/>
    <n v="7"/>
    <x v="1147"/>
    <n v="3324.51"/>
    <s v="Net Banking"/>
    <s v="Repeat Customer"/>
  </r>
  <r>
    <n v="11163"/>
    <s v="CUST337"/>
    <d v="2025-07-20T00:00:00"/>
    <s v="Electronics"/>
    <x v="3"/>
    <n v="7"/>
    <x v="1148"/>
    <n v="261.8"/>
    <s v="UPI"/>
    <s v="Repeat Customer"/>
  </r>
  <r>
    <n v="11164"/>
    <s v="CUST109"/>
    <d v="2024-10-02T00:00:00"/>
    <s v="Electronics"/>
    <x v="2"/>
    <n v="9"/>
    <x v="1149"/>
    <n v="4337.28"/>
    <s v="UPI"/>
    <s v="Repeat Customer"/>
  </r>
  <r>
    <n v="11165"/>
    <s v="CUST255"/>
    <d v="2025-08-04T00:00:00"/>
    <s v="Sports"/>
    <x v="2"/>
    <n v="7"/>
    <x v="946"/>
    <n v="1580.32"/>
    <s v="UPI"/>
    <s v="Repeat Customer"/>
  </r>
  <r>
    <n v="11166"/>
    <s v="CUST291"/>
    <d v="2025-07-07T00:00:00"/>
    <s v="Sports"/>
    <x v="3"/>
    <n v="3"/>
    <x v="1150"/>
    <n v="1176.3"/>
    <s v="Wallet"/>
    <s v="Repeat Customer"/>
  </r>
  <r>
    <n v="11167"/>
    <s v="CUST121"/>
    <d v="2024-01-02T00:00:00"/>
    <s v="Sports"/>
    <x v="1"/>
    <n v="8"/>
    <x v="1151"/>
    <n v="3846"/>
    <s v="UPI"/>
    <s v="Repeat Customer"/>
  </r>
  <r>
    <n v="11168"/>
    <s v="CUST100"/>
    <d v="2024-03-02T00:00:00"/>
    <s v="Home"/>
    <x v="3"/>
    <n v="8"/>
    <x v="1152"/>
    <n v="1122.24"/>
    <s v="Net Banking"/>
    <s v="Repeat Customer"/>
  </r>
  <r>
    <n v="11169"/>
    <s v="CUST208"/>
    <d v="2025-08-22T00:00:00"/>
    <s v="Fashion"/>
    <x v="0"/>
    <n v="9"/>
    <x v="1153"/>
    <n v="1298.25"/>
    <s v="Net Banking"/>
    <s v="Repeat Customer"/>
  </r>
  <r>
    <n v="11170"/>
    <s v="CUST145"/>
    <d v="2025-02-08T00:00:00"/>
    <s v="Sports"/>
    <x v="1"/>
    <n v="2"/>
    <x v="1154"/>
    <n v="832.2"/>
    <s v="Wallet"/>
    <s v="Repeat Customer"/>
  </r>
  <r>
    <n v="11171"/>
    <s v="CUST207"/>
    <d v="2025-09-17T00:00:00"/>
    <s v="Home"/>
    <x v="1"/>
    <n v="9"/>
    <x v="1155"/>
    <n v="4310.28"/>
    <s v="Net Banking"/>
    <s v="Repeat Customer"/>
  </r>
  <r>
    <n v="11172"/>
    <s v="CUST331"/>
    <d v="2024-10-06T00:00:00"/>
    <s v="Home"/>
    <x v="1"/>
    <n v="4"/>
    <x v="1156"/>
    <n v="1331.32"/>
    <s v="UPI"/>
    <s v="Repeat Customer"/>
  </r>
  <r>
    <n v="11173"/>
    <s v="CUST335"/>
    <d v="2025-09-05T00:00:00"/>
    <s v="Fashion"/>
    <x v="0"/>
    <n v="6"/>
    <x v="1157"/>
    <n v="77.16"/>
    <s v="Wallet"/>
    <s v="Repeat Customer"/>
  </r>
  <r>
    <n v="11174"/>
    <s v="CUST102"/>
    <d v="2024-01-10T00:00:00"/>
    <s v="Beauty"/>
    <x v="3"/>
    <n v="3"/>
    <x v="1158"/>
    <n v="628.55999999999995"/>
    <s v="Credit Card"/>
    <s v="Repeat Customer"/>
  </r>
  <r>
    <n v="11175"/>
    <s v="CUST139"/>
    <d v="2025-07-05T00:00:00"/>
    <s v="Beauty"/>
    <x v="0"/>
    <n v="1"/>
    <x v="1159"/>
    <n v="446.82"/>
    <s v="Net Banking"/>
    <s v="Repeat Customer"/>
  </r>
  <r>
    <n v="11176"/>
    <s v="CUST292"/>
    <d v="2025-09-07T00:00:00"/>
    <s v="Electronics"/>
    <x v="0"/>
    <n v="6"/>
    <x v="1160"/>
    <n v="1178.6400000000001"/>
    <s v="Wallet"/>
    <s v="Repeat Customer"/>
  </r>
  <r>
    <n v="11177"/>
    <s v="CUST289"/>
    <d v="2024-07-16T00:00:00"/>
    <s v="Electronics"/>
    <x v="1"/>
    <n v="8"/>
    <x v="1161"/>
    <n v="77.040000000000006"/>
    <s v="Net Banking"/>
    <s v="Repeat Customer"/>
  </r>
  <r>
    <n v="11178"/>
    <s v="CUST198"/>
    <d v="2024-04-02T00:00:00"/>
    <s v="Fashion"/>
    <x v="2"/>
    <n v="10"/>
    <x v="1162"/>
    <n v="3144.9"/>
    <s v="Wallet"/>
    <s v="Repeat Customer"/>
  </r>
  <r>
    <n v="11179"/>
    <s v="CUST285"/>
    <d v="2024-02-07T00:00:00"/>
    <s v="Sports"/>
    <x v="2"/>
    <n v="5"/>
    <x v="1163"/>
    <n v="1244.75"/>
    <s v="Credit Card"/>
    <s v="Repeat Customer"/>
  </r>
  <r>
    <n v="11180"/>
    <s v="CUST200"/>
    <d v="2025-10-15T00:00:00"/>
    <s v="Home"/>
    <x v="3"/>
    <n v="7"/>
    <x v="1164"/>
    <n v="419.44"/>
    <s v="UPI"/>
    <s v="Repeat Customer"/>
  </r>
  <r>
    <n v="11181"/>
    <s v="CUST382"/>
    <d v="2024-07-17T00:00:00"/>
    <s v="Sports"/>
    <x v="2"/>
    <n v="10"/>
    <x v="1165"/>
    <n v="3377.3"/>
    <s v="Credit Card"/>
    <s v="Repeat Customer"/>
  </r>
  <r>
    <n v="11182"/>
    <s v="CUST165"/>
    <d v="2024-03-07T00:00:00"/>
    <s v="Sports"/>
    <x v="2"/>
    <n v="3"/>
    <x v="1166"/>
    <n v="400.53"/>
    <s v="Net Banking"/>
    <s v="Repeat Customer"/>
  </r>
  <r>
    <n v="11183"/>
    <s v="CUST198"/>
    <d v="2025-11-25T00:00:00"/>
    <s v="Sports"/>
    <x v="1"/>
    <n v="1"/>
    <x v="1167"/>
    <n v="496.02"/>
    <s v="Wallet"/>
    <s v="Repeat Customer"/>
  </r>
  <r>
    <n v="11184"/>
    <s v="CUST101"/>
    <d v="2025-03-13T00:00:00"/>
    <s v="Home"/>
    <x v="3"/>
    <n v="1"/>
    <x v="1168"/>
    <n v="427.66"/>
    <s v="Wallet"/>
    <s v="Repeat Customer"/>
  </r>
  <r>
    <n v="11185"/>
    <s v="CUST240"/>
    <d v="2024-05-04T00:00:00"/>
    <s v="Home"/>
    <x v="0"/>
    <n v="9"/>
    <x v="1169"/>
    <n v="2123.64"/>
    <s v="UPI"/>
    <s v="Repeat Customer"/>
  </r>
  <r>
    <n v="11186"/>
    <s v="CUST124"/>
    <d v="2024-10-11T00:00:00"/>
    <s v="Home"/>
    <x v="0"/>
    <n v="7"/>
    <x v="1170"/>
    <n v="1879.78"/>
    <s v="Wallet"/>
    <s v="Repeat Customer"/>
  </r>
  <r>
    <n v="11187"/>
    <s v="CUST199"/>
    <d v="2024-12-08T00:00:00"/>
    <s v="Electronics"/>
    <x v="2"/>
    <n v="2"/>
    <x v="1171"/>
    <n v="881.3"/>
    <s v="Wallet"/>
    <s v="Repeat Customer"/>
  </r>
  <r>
    <n v="11188"/>
    <s v="CUST138"/>
    <d v="2024-09-12T00:00:00"/>
    <s v="Home"/>
    <x v="0"/>
    <n v="4"/>
    <x v="1172"/>
    <n v="345.68"/>
    <s v="Credit Card"/>
    <s v="New Customer"/>
  </r>
  <r>
    <n v="11189"/>
    <s v="CUST114"/>
    <d v="2025-05-06T00:00:00"/>
    <s v="Sports"/>
    <x v="1"/>
    <n v="7"/>
    <x v="1173"/>
    <n v="2834.93"/>
    <s v="Net Banking"/>
    <s v="Repeat Customer"/>
  </r>
  <r>
    <n v="11190"/>
    <s v="CUST226"/>
    <d v="2024-04-20T00:00:00"/>
    <s v="Home"/>
    <x v="0"/>
    <n v="8"/>
    <x v="1174"/>
    <n v="983.92"/>
    <s v="Net Banking"/>
    <s v="Repeat Customer"/>
  </r>
  <r>
    <n v="11191"/>
    <s v="CUST366"/>
    <d v="2024-08-30T00:00:00"/>
    <s v="Sports"/>
    <x v="3"/>
    <n v="2"/>
    <x v="1175"/>
    <n v="778"/>
    <s v="Credit Card"/>
    <s v="Repeat Customer"/>
  </r>
  <r>
    <n v="11192"/>
    <s v="CUST328"/>
    <d v="2025-08-15T00:00:00"/>
    <s v="Electronics"/>
    <x v="0"/>
    <n v="2"/>
    <x v="1176"/>
    <n v="94.68"/>
    <s v="Wallet"/>
    <s v="Repeat Customer"/>
  </r>
  <r>
    <n v="11193"/>
    <s v="CUST260"/>
    <d v="2025-12-11T00:00:00"/>
    <s v="Electronics"/>
    <x v="3"/>
    <n v="2"/>
    <x v="1177"/>
    <n v="784.82"/>
    <s v="Credit Card"/>
    <s v="Repeat Customer"/>
  </r>
  <r>
    <n v="11194"/>
    <s v="CUST254"/>
    <d v="2025-09-17T00:00:00"/>
    <s v="Electronics"/>
    <x v="0"/>
    <n v="7"/>
    <x v="1178"/>
    <n v="262.99"/>
    <s v="Net Banking"/>
    <s v="Repeat Customer"/>
  </r>
  <r>
    <n v="11195"/>
    <s v="CUST295"/>
    <d v="2025-02-15T00:00:00"/>
    <s v="Beauty"/>
    <x v="2"/>
    <n v="2"/>
    <x v="1179"/>
    <n v="621.12"/>
    <s v="Credit Card"/>
    <s v="Repeat Customer"/>
  </r>
  <r>
    <n v="11196"/>
    <s v="CUST332"/>
    <d v="2025-01-28T00:00:00"/>
    <s v="Sports"/>
    <x v="0"/>
    <n v="8"/>
    <x v="1180"/>
    <n v="3188.88"/>
    <s v="Net Banking"/>
    <s v="Repeat Customer"/>
  </r>
  <r>
    <n v="11197"/>
    <s v="CUST113"/>
    <d v="2025-04-09T00:00:00"/>
    <s v="Fashion"/>
    <x v="0"/>
    <n v="9"/>
    <x v="1181"/>
    <n v="1507.14"/>
    <s v="Credit Card"/>
    <s v="Repeat Customer"/>
  </r>
  <r>
    <n v="11198"/>
    <s v="CUST106"/>
    <d v="2025-09-01T00:00:00"/>
    <s v="Fashion"/>
    <x v="2"/>
    <n v="2"/>
    <x v="1182"/>
    <n v="596.96"/>
    <s v="Net Banking"/>
    <s v="Repeat Customer"/>
  </r>
  <r>
    <n v="11199"/>
    <s v="CUST281"/>
    <d v="2025-03-07T00:00:00"/>
    <s v="Beauty"/>
    <x v="2"/>
    <n v="8"/>
    <x v="1183"/>
    <n v="2909.52"/>
    <s v="UPI"/>
    <s v="Repeat Customer"/>
  </r>
  <r>
    <n v="11200"/>
    <s v="CUST170"/>
    <d v="2024-02-15T00:00:00"/>
    <s v="Sports"/>
    <x v="3"/>
    <n v="1"/>
    <x v="1184"/>
    <n v="68.2"/>
    <s v="Net Banking"/>
    <s v="Repeat Customer"/>
  </r>
  <r>
    <n v="11201"/>
    <s v="CUST259"/>
    <d v="2025-08-20T00:00:00"/>
    <s v="Fashion"/>
    <x v="3"/>
    <n v="9"/>
    <x v="1185"/>
    <n v="3499.83"/>
    <s v="Net Banking"/>
    <s v="Repeat Customer"/>
  </r>
  <r>
    <n v="11202"/>
    <s v="CUST275"/>
    <d v="2024-10-25T00:00:00"/>
    <s v="Sports"/>
    <x v="2"/>
    <n v="6"/>
    <x v="1186"/>
    <n v="2911.68"/>
    <s v="Credit Card"/>
    <s v="Repeat Customer"/>
  </r>
  <r>
    <n v="11203"/>
    <s v="CUST221"/>
    <d v="2025-06-03T00:00:00"/>
    <s v="Beauty"/>
    <x v="1"/>
    <n v="9"/>
    <x v="1187"/>
    <n v="3870.54"/>
    <s v="UPI"/>
    <s v="Repeat Customer"/>
  </r>
  <r>
    <n v="11204"/>
    <s v="CUST202"/>
    <d v="2025-10-17T00:00:00"/>
    <s v="Home"/>
    <x v="2"/>
    <n v="4"/>
    <x v="1188"/>
    <n v="1574.84"/>
    <s v="Wallet"/>
    <s v="Repeat Customer"/>
  </r>
  <r>
    <n v="11205"/>
    <s v="CUST339"/>
    <d v="2025-09-06T00:00:00"/>
    <s v="Sports"/>
    <x v="1"/>
    <n v="6"/>
    <x v="1189"/>
    <n v="2560.44"/>
    <s v="Net Banking"/>
    <s v="Repeat Customer"/>
  </r>
  <r>
    <n v="11206"/>
    <s v="CUST314"/>
    <d v="2024-12-02T00:00:00"/>
    <s v="Electronics"/>
    <x v="3"/>
    <n v="3"/>
    <x v="1190"/>
    <n v="170.7"/>
    <s v="UPI"/>
    <s v="Repeat Customer"/>
  </r>
  <r>
    <n v="11207"/>
    <s v="CUST101"/>
    <d v="2025-10-16T00:00:00"/>
    <s v="Beauty"/>
    <x v="2"/>
    <n v="4"/>
    <x v="1191"/>
    <n v="1392.56"/>
    <s v="UPI"/>
    <s v="Repeat Customer"/>
  </r>
  <r>
    <n v="11208"/>
    <s v="CUST346"/>
    <d v="2024-12-05T00:00:00"/>
    <s v="Fashion"/>
    <x v="0"/>
    <n v="7"/>
    <x v="1192"/>
    <n v="746.41"/>
    <s v="Net Banking"/>
    <s v="Repeat Customer"/>
  </r>
  <r>
    <n v="11209"/>
    <s v="CUST105"/>
    <d v="2024-03-16T00:00:00"/>
    <s v="Electronics"/>
    <x v="2"/>
    <n v="6"/>
    <x v="1193"/>
    <n v="119.16"/>
    <s v="Net Banking"/>
    <s v="Repeat Customer"/>
  </r>
  <r>
    <n v="11210"/>
    <s v="CUST325"/>
    <d v="2024-07-18T00:00:00"/>
    <s v="Home"/>
    <x v="0"/>
    <n v="10"/>
    <x v="1194"/>
    <n v="4567.8999999999996"/>
    <s v="Credit Card"/>
    <s v="Repeat Customer"/>
  </r>
  <r>
    <n v="11211"/>
    <s v="CUST201"/>
    <d v="2024-07-21T00:00:00"/>
    <s v="Home"/>
    <x v="2"/>
    <n v="5"/>
    <x v="1195"/>
    <n v="456"/>
    <s v="Net Banking"/>
    <s v="Repeat Customer"/>
  </r>
  <r>
    <n v="11212"/>
    <s v="CUST383"/>
    <d v="2024-09-08T00:00:00"/>
    <s v="Fashion"/>
    <x v="1"/>
    <n v="3"/>
    <x v="1196"/>
    <n v="306.02999999999997"/>
    <s v="Credit Card"/>
    <s v="Repeat Customer"/>
  </r>
  <r>
    <n v="11213"/>
    <s v="CUST110"/>
    <d v="2025-11-24T00:00:00"/>
    <s v="Electronics"/>
    <x v="1"/>
    <n v="3"/>
    <x v="1197"/>
    <n v="577.71"/>
    <s v="UPI"/>
    <s v="Repeat Customer"/>
  </r>
  <r>
    <n v="11214"/>
    <s v="CUST256"/>
    <d v="2025-04-12T00:00:00"/>
    <s v="Home"/>
    <x v="2"/>
    <n v="4"/>
    <x v="1198"/>
    <n v="751.88"/>
    <s v="Wallet"/>
    <s v="Repeat Customer"/>
  </r>
  <r>
    <n v="11215"/>
    <s v="CUST133"/>
    <d v="2024-05-01T00:00:00"/>
    <s v="Fashion"/>
    <x v="2"/>
    <n v="3"/>
    <x v="1199"/>
    <n v="1325.85"/>
    <s v="UPI"/>
    <s v="Repeat Customer"/>
  </r>
  <r>
    <n v="11216"/>
    <s v="CUST372"/>
    <d v="2025-01-22T00:00:00"/>
    <s v="Beauty"/>
    <x v="2"/>
    <n v="6"/>
    <x v="1200"/>
    <n v="974.34"/>
    <s v="Credit Card"/>
    <s v="Repeat Customer"/>
  </r>
  <r>
    <n v="11217"/>
    <s v="CUST196"/>
    <d v="2025-07-02T00:00:00"/>
    <s v="Home"/>
    <x v="2"/>
    <n v="5"/>
    <x v="1201"/>
    <n v="1979.25"/>
    <s v="Credit Card"/>
    <s v="Repeat Customer"/>
  </r>
  <r>
    <n v="11218"/>
    <s v="CUST243"/>
    <d v="2024-05-09T00:00:00"/>
    <s v="Beauty"/>
    <x v="2"/>
    <n v="9"/>
    <x v="1202"/>
    <n v="4359.1499999999996"/>
    <s v="Credit Card"/>
    <s v="Repeat Customer"/>
  </r>
  <r>
    <n v="11219"/>
    <s v="CUST340"/>
    <d v="2025-11-10T00:00:00"/>
    <s v="Sports"/>
    <x v="3"/>
    <n v="10"/>
    <x v="1203"/>
    <n v="371.1"/>
    <s v="Net Banking"/>
    <s v="Repeat Customer"/>
  </r>
  <r>
    <n v="11220"/>
    <s v="CUST355"/>
    <d v="2025-06-15T00:00:00"/>
    <s v="Home"/>
    <x v="3"/>
    <n v="8"/>
    <x v="1204"/>
    <n v="748.8"/>
    <s v="Wallet"/>
    <s v="Repeat Customer"/>
  </r>
  <r>
    <n v="11221"/>
    <s v="CUST342"/>
    <d v="2024-10-01T00:00:00"/>
    <s v="Sports"/>
    <x v="0"/>
    <n v="10"/>
    <x v="1205"/>
    <n v="2034.7"/>
    <s v="UPI"/>
    <s v="Repeat Customer"/>
  </r>
  <r>
    <n v="11222"/>
    <s v="CUST212"/>
    <d v="2024-07-26T00:00:00"/>
    <s v="Beauty"/>
    <x v="2"/>
    <n v="8"/>
    <x v="1206"/>
    <n v="3458.16"/>
    <s v="Net Banking"/>
    <s v="Repeat Customer"/>
  </r>
  <r>
    <n v="11223"/>
    <s v="CUST317"/>
    <d v="2025-01-21T00:00:00"/>
    <s v="Home"/>
    <x v="1"/>
    <n v="10"/>
    <x v="1207"/>
    <n v="828.2"/>
    <s v="Credit Card"/>
    <s v="Repeat Customer"/>
  </r>
  <r>
    <n v="11224"/>
    <s v="CUST168"/>
    <d v="2024-03-27T00:00:00"/>
    <s v="Home"/>
    <x v="2"/>
    <n v="5"/>
    <x v="1208"/>
    <n v="1125.1500000000001"/>
    <s v="Credit Card"/>
    <s v="Repeat Customer"/>
  </r>
  <r>
    <n v="11225"/>
    <s v="CUST338"/>
    <d v="2025-06-08T00:00:00"/>
    <s v="Beauty"/>
    <x v="3"/>
    <n v="10"/>
    <x v="1209"/>
    <n v="1715.1"/>
    <s v="Wallet"/>
    <s v="Repeat Customer"/>
  </r>
  <r>
    <n v="11226"/>
    <s v="CUST309"/>
    <d v="2025-01-11T00:00:00"/>
    <s v="Beauty"/>
    <x v="0"/>
    <n v="8"/>
    <x v="1210"/>
    <n v="1295.44"/>
    <s v="UPI"/>
    <s v="Repeat Customer"/>
  </r>
  <r>
    <n v="11227"/>
    <s v="CUST326"/>
    <d v="2024-08-27T00:00:00"/>
    <s v="Home"/>
    <x v="0"/>
    <n v="5"/>
    <x v="1211"/>
    <n v="1622.25"/>
    <s v="Net Banking"/>
    <s v="Repeat Customer"/>
  </r>
  <r>
    <n v="11228"/>
    <s v="CUST356"/>
    <d v="2025-06-09T00:00:00"/>
    <s v="Home"/>
    <x v="2"/>
    <n v="9"/>
    <x v="1212"/>
    <n v="2912.49"/>
    <s v="Credit Card"/>
    <s v="Repeat Customer"/>
  </r>
  <r>
    <n v="11229"/>
    <s v="CUST160"/>
    <d v="2024-03-14T00:00:00"/>
    <s v="Fashion"/>
    <x v="1"/>
    <n v="6"/>
    <x v="1213"/>
    <n v="143.69999999999999"/>
    <s v="UPI"/>
    <s v="Repeat Customer"/>
  </r>
  <r>
    <n v="11230"/>
    <s v="CUST268"/>
    <d v="2024-09-13T00:00:00"/>
    <s v="Home"/>
    <x v="2"/>
    <n v="5"/>
    <x v="1214"/>
    <n v="1869.4"/>
    <s v="UPI"/>
    <s v="Repeat Customer"/>
  </r>
  <r>
    <n v="11231"/>
    <s v="CUST378"/>
    <d v="2024-09-24T00:00:00"/>
    <s v="Home"/>
    <x v="1"/>
    <n v="1"/>
    <x v="1215"/>
    <n v="386.19"/>
    <s v="Wallet"/>
    <s v="Repeat Customer"/>
  </r>
  <r>
    <n v="11232"/>
    <s v="CUST307"/>
    <d v="2025-08-16T00:00:00"/>
    <s v="Sports"/>
    <x v="2"/>
    <n v="1"/>
    <x v="1216"/>
    <n v="238.64"/>
    <s v="Wallet"/>
    <s v="Repeat Customer"/>
  </r>
  <r>
    <n v="11233"/>
    <s v="CUST216"/>
    <d v="2024-08-20T00:00:00"/>
    <s v="Sports"/>
    <x v="3"/>
    <n v="4"/>
    <x v="1217"/>
    <n v="959.4"/>
    <s v="Wallet"/>
    <s v="Repeat Customer"/>
  </r>
  <r>
    <n v="11234"/>
    <s v="CUST274"/>
    <d v="2024-03-28T00:00:00"/>
    <s v="Beauty"/>
    <x v="3"/>
    <n v="6"/>
    <x v="1218"/>
    <n v="2542.02"/>
    <s v="UPI"/>
    <s v="Repeat Customer"/>
  </r>
  <r>
    <n v="11235"/>
    <s v="CUST324"/>
    <d v="2025-04-05T00:00:00"/>
    <s v="Fashion"/>
    <x v="2"/>
    <n v="9"/>
    <x v="1219"/>
    <n v="179.1"/>
    <s v="Net Banking"/>
    <s v="Repeat Customer"/>
  </r>
  <r>
    <n v="11236"/>
    <s v="CUST104"/>
    <d v="2025-05-26T00:00:00"/>
    <s v="Beauty"/>
    <x v="3"/>
    <n v="6"/>
    <x v="1220"/>
    <n v="1039.26"/>
    <s v="Wallet"/>
    <s v="Repeat Customer"/>
  </r>
  <r>
    <n v="11237"/>
    <s v="CUST375"/>
    <d v="2024-11-02T00:00:00"/>
    <s v="Sports"/>
    <x v="0"/>
    <n v="6"/>
    <x v="1221"/>
    <n v="1773.24"/>
    <s v="UPI"/>
    <s v="Repeat Customer"/>
  </r>
  <r>
    <n v="11238"/>
    <s v="CUST178"/>
    <d v="2024-12-04T00:00:00"/>
    <s v="Sports"/>
    <x v="3"/>
    <n v="10"/>
    <x v="1222"/>
    <n v="3167.7"/>
    <s v="Wallet"/>
    <s v="Repeat Customer"/>
  </r>
  <r>
    <n v="11239"/>
    <s v="CUST204"/>
    <d v="2025-02-04T00:00:00"/>
    <s v="Fashion"/>
    <x v="3"/>
    <n v="2"/>
    <x v="1223"/>
    <n v="539.14"/>
    <s v="Credit Card"/>
    <s v="Repeat Customer"/>
  </r>
  <r>
    <n v="11240"/>
    <s v="CUST268"/>
    <d v="2025-08-06T00:00:00"/>
    <s v="Home"/>
    <x v="0"/>
    <n v="8"/>
    <x v="1224"/>
    <n v="2570.48"/>
    <s v="UPI"/>
    <s v="Repeat Customer"/>
  </r>
  <r>
    <n v="11241"/>
    <s v="CUST153"/>
    <d v="2025-11-22T00:00:00"/>
    <s v="Sports"/>
    <x v="3"/>
    <n v="9"/>
    <x v="1225"/>
    <n v="836.37"/>
    <s v="Credit Card"/>
    <s v="Repeat Customer"/>
  </r>
  <r>
    <n v="11242"/>
    <s v="CUST195"/>
    <d v="2024-07-22T00:00:00"/>
    <s v="Beauty"/>
    <x v="1"/>
    <n v="2"/>
    <x v="1226"/>
    <n v="912.24"/>
    <s v="UPI"/>
    <s v="Repeat Customer"/>
  </r>
  <r>
    <n v="11243"/>
    <s v="CUST219"/>
    <d v="2024-10-25T00:00:00"/>
    <s v="Electronics"/>
    <x v="1"/>
    <n v="9"/>
    <x v="1227"/>
    <n v="356.76"/>
    <s v="Credit Card"/>
    <s v="Repeat Customer"/>
  </r>
  <r>
    <n v="11244"/>
    <s v="CUST187"/>
    <d v="2024-11-30T00:00:00"/>
    <s v="Electronics"/>
    <x v="2"/>
    <n v="7"/>
    <x v="1228"/>
    <n v="1390.2"/>
    <s v="Wallet"/>
    <s v="Repeat Customer"/>
  </r>
  <r>
    <n v="11245"/>
    <s v="CUST344"/>
    <d v="2024-03-11T00:00:00"/>
    <s v="Fashion"/>
    <x v="2"/>
    <n v="7"/>
    <x v="1229"/>
    <n v="3344.39"/>
    <s v="UPI"/>
    <s v="Repeat Customer"/>
  </r>
  <r>
    <n v="11246"/>
    <s v="CUST258"/>
    <d v="2025-03-18T00:00:00"/>
    <s v="Sports"/>
    <x v="1"/>
    <n v="8"/>
    <x v="1230"/>
    <n v="668.8"/>
    <s v="UPI"/>
    <s v="Repeat Customer"/>
  </r>
  <r>
    <n v="11247"/>
    <s v="CUST357"/>
    <d v="2025-12-02T00:00:00"/>
    <s v="Electronics"/>
    <x v="2"/>
    <n v="8"/>
    <x v="1231"/>
    <n v="1130.72"/>
    <s v="Wallet"/>
    <s v="Repeat Customer"/>
  </r>
  <r>
    <n v="11248"/>
    <s v="CUST132"/>
    <d v="2025-02-12T00:00:00"/>
    <s v="Sports"/>
    <x v="1"/>
    <n v="10"/>
    <x v="1232"/>
    <n v="4047.5"/>
    <s v="Wallet"/>
    <s v="Repeat Customer"/>
  </r>
  <r>
    <n v="11249"/>
    <s v="CUST335"/>
    <d v="2025-04-18T00:00:00"/>
    <s v="Electronics"/>
    <x v="1"/>
    <n v="10"/>
    <x v="1233"/>
    <n v="243.5"/>
    <s v="Wallet"/>
    <s v="Repeat Customer"/>
  </r>
  <r>
    <n v="11250"/>
    <s v="CUST277"/>
    <d v="2025-12-18T00:00:00"/>
    <s v="Fashion"/>
    <x v="3"/>
    <n v="5"/>
    <x v="1234"/>
    <n v="992.95"/>
    <s v="UPI"/>
    <s v="Repeat Customer"/>
  </r>
  <r>
    <n v="11251"/>
    <s v="CUST191"/>
    <d v="2025-09-24T00:00:00"/>
    <s v="Fashion"/>
    <x v="0"/>
    <n v="7"/>
    <x v="1235"/>
    <n v="1621.34"/>
    <s v="Wallet"/>
    <s v="Repeat Customer"/>
  </r>
  <r>
    <n v="11252"/>
    <s v="CUST122"/>
    <d v="2024-09-02T00:00:00"/>
    <s v="Sports"/>
    <x v="1"/>
    <n v="3"/>
    <x v="1236"/>
    <n v="421.56"/>
    <s v="Credit Card"/>
    <s v="Repeat Customer"/>
  </r>
  <r>
    <n v="11253"/>
    <s v="CUST211"/>
    <d v="2025-05-20T00:00:00"/>
    <s v="Sports"/>
    <x v="0"/>
    <n v="7"/>
    <x v="1237"/>
    <n v="3473.61"/>
    <s v="Net Banking"/>
    <s v="Repeat Customer"/>
  </r>
  <r>
    <n v="11254"/>
    <s v="CUST139"/>
    <d v="2024-04-17T00:00:00"/>
    <s v="Home"/>
    <x v="3"/>
    <n v="9"/>
    <x v="1238"/>
    <n v="3459.96"/>
    <s v="Wallet"/>
    <s v="Repeat Customer"/>
  </r>
  <r>
    <n v="11255"/>
    <s v="CUST184"/>
    <d v="2024-09-15T00:00:00"/>
    <s v="Beauty"/>
    <x v="0"/>
    <n v="4"/>
    <x v="1239"/>
    <n v="1022"/>
    <s v="Credit Card"/>
    <s v="Repeat Customer"/>
  </r>
  <r>
    <n v="11256"/>
    <s v="CUST336"/>
    <d v="2025-01-25T00:00:00"/>
    <s v="Fashion"/>
    <x v="3"/>
    <n v="6"/>
    <x v="1240"/>
    <n v="2245.5"/>
    <s v="Credit Card"/>
    <s v="Repeat Customer"/>
  </r>
  <r>
    <n v="11257"/>
    <s v="CUST105"/>
    <d v="2024-09-13T00:00:00"/>
    <s v="Fashion"/>
    <x v="1"/>
    <n v="2"/>
    <x v="1241"/>
    <n v="712"/>
    <s v="Wallet"/>
    <s v="Repeat Customer"/>
  </r>
  <r>
    <n v="11258"/>
    <s v="CUST348"/>
    <d v="2025-04-17T00:00:00"/>
    <s v="Fashion"/>
    <x v="3"/>
    <n v="2"/>
    <x v="1242"/>
    <n v="91.72"/>
    <s v="UPI"/>
    <s v="Repeat Customer"/>
  </r>
  <r>
    <n v="11259"/>
    <s v="CUST341"/>
    <d v="2024-10-12T00:00:00"/>
    <s v="Electronics"/>
    <x v="0"/>
    <n v="3"/>
    <x v="1243"/>
    <n v="268.32"/>
    <s v="UPI"/>
    <s v="Repeat Customer"/>
  </r>
  <r>
    <n v="11260"/>
    <s v="CUST250"/>
    <d v="2024-05-07T00:00:00"/>
    <s v="Fashion"/>
    <x v="0"/>
    <n v="9"/>
    <x v="1244"/>
    <n v="3348.18"/>
    <s v="Credit Card"/>
    <s v="Repeat Customer"/>
  </r>
  <r>
    <n v="11261"/>
    <s v="CUST239"/>
    <d v="2024-06-06T00:00:00"/>
    <s v="Fashion"/>
    <x v="0"/>
    <n v="8"/>
    <x v="1245"/>
    <n v="1458"/>
    <s v="UPI"/>
    <s v="Repeat Customer"/>
  </r>
  <r>
    <n v="11262"/>
    <s v="CUST326"/>
    <d v="2025-12-14T00:00:00"/>
    <s v="Sports"/>
    <x v="0"/>
    <n v="1"/>
    <x v="1246"/>
    <n v="419.07"/>
    <s v="Wallet"/>
    <s v="Repeat Customer"/>
  </r>
  <r>
    <n v="11263"/>
    <s v="CUST257"/>
    <d v="2025-03-30T00:00:00"/>
    <s v="Electronics"/>
    <x v="3"/>
    <n v="1"/>
    <x v="1247"/>
    <n v="301.11"/>
    <s v="UPI"/>
    <s v="Repeat Customer"/>
  </r>
  <r>
    <n v="11264"/>
    <s v="CUST227"/>
    <d v="2025-01-18T00:00:00"/>
    <s v="Electronics"/>
    <x v="3"/>
    <n v="4"/>
    <x v="1248"/>
    <n v="415.96"/>
    <s v="Credit Card"/>
    <s v="Repeat Customer"/>
  </r>
  <r>
    <n v="11265"/>
    <s v="CUST107"/>
    <d v="2024-12-11T00:00:00"/>
    <s v="Electronics"/>
    <x v="2"/>
    <n v="4"/>
    <x v="1249"/>
    <n v="1366.32"/>
    <s v="Credit Card"/>
    <s v="Repeat Customer"/>
  </r>
  <r>
    <n v="11266"/>
    <s v="CUST185"/>
    <d v="2024-06-20T00:00:00"/>
    <s v="Electronics"/>
    <x v="1"/>
    <n v="1"/>
    <x v="1250"/>
    <n v="210.76"/>
    <s v="Net Banking"/>
    <s v="Repeat Customer"/>
  </r>
  <r>
    <n v="11267"/>
    <s v="CUST387"/>
    <d v="2025-10-03T00:00:00"/>
    <s v="Sports"/>
    <x v="3"/>
    <n v="4"/>
    <x v="1251"/>
    <n v="1256.8399999999999"/>
    <s v="Wallet"/>
    <s v="Repeat Customer"/>
  </r>
  <r>
    <n v="11268"/>
    <s v="CUST161"/>
    <d v="2024-08-25T00:00:00"/>
    <s v="Home"/>
    <x v="2"/>
    <n v="4"/>
    <x v="1252"/>
    <n v="229.64"/>
    <s v="Credit Card"/>
    <s v="Repeat Customer"/>
  </r>
  <r>
    <n v="11269"/>
    <s v="CUST305"/>
    <d v="2025-10-31T00:00:00"/>
    <s v="Fashion"/>
    <x v="3"/>
    <n v="6"/>
    <x v="1253"/>
    <n v="65.58"/>
    <s v="UPI"/>
    <s v="Repeat Customer"/>
  </r>
  <r>
    <n v="11270"/>
    <s v="CUST133"/>
    <d v="2025-11-04T00:00:00"/>
    <s v="Home"/>
    <x v="0"/>
    <n v="5"/>
    <x v="1254"/>
    <n v="1633.6"/>
    <s v="Credit Card"/>
    <s v="Repeat Customer"/>
  </r>
  <r>
    <n v="11271"/>
    <s v="CUST211"/>
    <d v="2025-02-24T00:00:00"/>
    <s v="Beauty"/>
    <x v="0"/>
    <n v="5"/>
    <x v="1255"/>
    <n v="1924.65"/>
    <s v="UPI"/>
    <s v="Repeat Customer"/>
  </r>
  <r>
    <n v="11272"/>
    <s v="CUST228"/>
    <d v="2024-04-07T00:00:00"/>
    <s v="Beauty"/>
    <x v="2"/>
    <n v="10"/>
    <x v="1256"/>
    <n v="1655.6"/>
    <s v="Net Banking"/>
    <s v="Repeat Customer"/>
  </r>
  <r>
    <n v="11273"/>
    <s v="CUST189"/>
    <d v="2025-10-12T00:00:00"/>
    <s v="Beauty"/>
    <x v="0"/>
    <n v="6"/>
    <x v="1257"/>
    <n v="2934.72"/>
    <s v="Net Banking"/>
    <s v="Repeat Customer"/>
  </r>
  <r>
    <n v="11274"/>
    <s v="CUST109"/>
    <d v="2025-09-15T00:00:00"/>
    <s v="Sports"/>
    <x v="2"/>
    <n v="10"/>
    <x v="1258"/>
    <n v="2272.1"/>
    <s v="Credit Card"/>
    <s v="Repeat Customer"/>
  </r>
  <r>
    <n v="11275"/>
    <s v="CUST219"/>
    <d v="2024-01-22T00:00:00"/>
    <s v="Electronics"/>
    <x v="1"/>
    <n v="10"/>
    <x v="1259"/>
    <n v="3806.8"/>
    <s v="UPI"/>
    <s v="Repeat Customer"/>
  </r>
  <r>
    <n v="11276"/>
    <s v="CUST319"/>
    <d v="2024-09-06T00:00:00"/>
    <s v="Fashion"/>
    <x v="1"/>
    <n v="10"/>
    <x v="1260"/>
    <n v="443"/>
    <s v="Wallet"/>
    <s v="Repeat Customer"/>
  </r>
  <r>
    <n v="11277"/>
    <s v="CUST251"/>
    <d v="2024-07-25T00:00:00"/>
    <s v="Electronics"/>
    <x v="2"/>
    <n v="3"/>
    <x v="1261"/>
    <n v="573"/>
    <s v="Wallet"/>
    <s v="Repeat Customer"/>
  </r>
  <r>
    <n v="11278"/>
    <s v="CUST268"/>
    <d v="2024-05-17T00:00:00"/>
    <s v="Electronics"/>
    <x v="3"/>
    <n v="5"/>
    <x v="1262"/>
    <n v="810.9"/>
    <s v="Net Banking"/>
    <s v="Repeat Customer"/>
  </r>
  <r>
    <n v="11279"/>
    <s v="CUST112"/>
    <d v="2024-08-22T00:00:00"/>
    <s v="Fashion"/>
    <x v="0"/>
    <n v="6"/>
    <x v="1263"/>
    <n v="1047.9000000000001"/>
    <s v="UPI"/>
    <s v="Repeat Customer"/>
  </r>
  <r>
    <n v="11280"/>
    <s v="CUST213"/>
    <d v="2025-09-14T00:00:00"/>
    <s v="Fashion"/>
    <x v="3"/>
    <n v="7"/>
    <x v="1264"/>
    <n v="1841.91"/>
    <s v="Credit Card"/>
    <s v="Repeat Customer"/>
  </r>
  <r>
    <n v="11281"/>
    <s v="CUST133"/>
    <d v="2025-05-18T00:00:00"/>
    <s v="Electronics"/>
    <x v="2"/>
    <n v="2"/>
    <x v="1265"/>
    <n v="954.12"/>
    <s v="UPI"/>
    <s v="Repeat Customer"/>
  </r>
  <r>
    <n v="11282"/>
    <s v="CUST164"/>
    <d v="2024-04-03T00:00:00"/>
    <s v="Fashion"/>
    <x v="2"/>
    <n v="3"/>
    <x v="1266"/>
    <n v="895.05"/>
    <s v="Credit Card"/>
    <s v="Repeat Customer"/>
  </r>
  <r>
    <n v="11283"/>
    <s v="CUST318"/>
    <d v="2025-04-23T00:00:00"/>
    <s v="Fashion"/>
    <x v="2"/>
    <n v="5"/>
    <x v="1267"/>
    <n v="431.3"/>
    <s v="Wallet"/>
    <s v="Repeat Customer"/>
  </r>
  <r>
    <n v="11284"/>
    <s v="CUST190"/>
    <d v="2025-09-12T00:00:00"/>
    <s v="Sports"/>
    <x v="3"/>
    <n v="4"/>
    <x v="1268"/>
    <n v="620.12"/>
    <s v="UPI"/>
    <s v="Repeat Customer"/>
  </r>
  <r>
    <n v="11285"/>
    <s v="CUST239"/>
    <d v="2025-05-07T00:00:00"/>
    <s v="Home"/>
    <x v="3"/>
    <n v="2"/>
    <x v="1269"/>
    <n v="951.5"/>
    <s v="Wallet"/>
    <s v="Repeat Customer"/>
  </r>
  <r>
    <n v="11286"/>
    <s v="CUST185"/>
    <d v="2025-04-27T00:00:00"/>
    <s v="Sports"/>
    <x v="3"/>
    <n v="8"/>
    <x v="1270"/>
    <n v="1713.92"/>
    <s v="UPI"/>
    <s v="Repeat Customer"/>
  </r>
  <r>
    <n v="11287"/>
    <s v="CUST346"/>
    <d v="2024-01-21T00:00:00"/>
    <s v="Electronics"/>
    <x v="1"/>
    <n v="7"/>
    <x v="1271"/>
    <n v="1515.92"/>
    <s v="UPI"/>
    <s v="Repeat Customer"/>
  </r>
  <r>
    <n v="11288"/>
    <s v="CUST383"/>
    <d v="2024-06-28T00:00:00"/>
    <s v="Home"/>
    <x v="3"/>
    <n v="5"/>
    <x v="1272"/>
    <n v="966.6"/>
    <s v="Net Banking"/>
    <s v="Repeat Customer"/>
  </r>
  <r>
    <n v="11289"/>
    <s v="CUST292"/>
    <d v="2025-07-29T00:00:00"/>
    <s v="Home"/>
    <x v="2"/>
    <n v="10"/>
    <x v="1273"/>
    <n v="2430.1999999999998"/>
    <s v="Wallet"/>
    <s v="Repeat Customer"/>
  </r>
  <r>
    <n v="11290"/>
    <s v="CUST200"/>
    <d v="2024-06-07T00:00:00"/>
    <s v="Sports"/>
    <x v="1"/>
    <n v="4"/>
    <x v="1274"/>
    <n v="28.28"/>
    <s v="Wallet"/>
    <s v="Repeat Customer"/>
  </r>
  <r>
    <n v="11291"/>
    <s v="CUST307"/>
    <d v="2025-03-01T00:00:00"/>
    <s v="Home"/>
    <x v="3"/>
    <n v="7"/>
    <x v="1275"/>
    <n v="3397.73"/>
    <s v="Wallet"/>
    <s v="Repeat Customer"/>
  </r>
  <r>
    <n v="11292"/>
    <s v="CUST257"/>
    <d v="2025-10-18T00:00:00"/>
    <s v="Electronics"/>
    <x v="0"/>
    <n v="10"/>
    <x v="1276"/>
    <n v="402.6"/>
    <s v="Wallet"/>
    <s v="Repeat Customer"/>
  </r>
  <r>
    <n v="11293"/>
    <s v="CUST389"/>
    <d v="2024-06-15T00:00:00"/>
    <s v="Home"/>
    <x v="1"/>
    <n v="4"/>
    <x v="1277"/>
    <n v="1530.64"/>
    <s v="Wallet"/>
    <s v="Repeat Customer"/>
  </r>
  <r>
    <n v="11294"/>
    <s v="CUST288"/>
    <d v="2025-12-14T00:00:00"/>
    <s v="Beauty"/>
    <x v="2"/>
    <n v="1"/>
    <x v="1278"/>
    <n v="327.2"/>
    <s v="UPI"/>
    <s v="Repeat Customer"/>
  </r>
  <r>
    <n v="11295"/>
    <s v="CUST344"/>
    <d v="2024-02-05T00:00:00"/>
    <s v="Electronics"/>
    <x v="2"/>
    <n v="6"/>
    <x v="1279"/>
    <n v="1903.92"/>
    <s v="Net Banking"/>
    <s v="Repeat Customer"/>
  </r>
  <r>
    <n v="11296"/>
    <s v="CUST333"/>
    <d v="2025-11-28T00:00:00"/>
    <s v="Sports"/>
    <x v="2"/>
    <n v="3"/>
    <x v="1280"/>
    <n v="392.61"/>
    <s v="Credit Card"/>
    <s v="Repeat Customer"/>
  </r>
  <r>
    <n v="11297"/>
    <s v="CUST159"/>
    <d v="2024-04-04T00:00:00"/>
    <s v="Sports"/>
    <x v="0"/>
    <n v="7"/>
    <x v="1281"/>
    <n v="1412.95"/>
    <s v="UPI"/>
    <s v="Repeat Customer"/>
  </r>
  <r>
    <n v="11298"/>
    <s v="CUST316"/>
    <d v="2024-06-18T00:00:00"/>
    <s v="Home"/>
    <x v="3"/>
    <n v="7"/>
    <x v="1282"/>
    <n v="911.19"/>
    <s v="Net Banking"/>
    <s v="Repeat Customer"/>
  </r>
  <r>
    <n v="11299"/>
    <s v="CUST310"/>
    <d v="2024-04-01T00:00:00"/>
    <s v="Home"/>
    <x v="2"/>
    <n v="2"/>
    <x v="1283"/>
    <n v="639.82000000000005"/>
    <s v="Net Banking"/>
    <s v="Repeat Customer"/>
  </r>
  <r>
    <n v="11300"/>
    <s v="CUST207"/>
    <d v="2025-02-11T00:00:00"/>
    <s v="Fashion"/>
    <x v="3"/>
    <n v="5"/>
    <x v="1284"/>
    <n v="40.9"/>
    <s v="Credit Card"/>
    <s v="Repeat Customer"/>
  </r>
  <r>
    <n v="11301"/>
    <s v="CUST149"/>
    <d v="2024-03-12T00:00:00"/>
    <s v="Home"/>
    <x v="3"/>
    <n v="7"/>
    <x v="1285"/>
    <n v="1854.02"/>
    <s v="UPI"/>
    <s v="Repeat Customer"/>
  </r>
  <r>
    <n v="11302"/>
    <s v="CUST190"/>
    <d v="2025-01-18T00:00:00"/>
    <s v="Fashion"/>
    <x v="3"/>
    <n v="3"/>
    <x v="1286"/>
    <n v="1060.5"/>
    <s v="UPI"/>
    <s v="Repeat Customer"/>
  </r>
  <r>
    <n v="11303"/>
    <s v="CUST357"/>
    <d v="2024-04-22T00:00:00"/>
    <s v="Fashion"/>
    <x v="2"/>
    <n v="8"/>
    <x v="1287"/>
    <n v="2285.6799999999998"/>
    <s v="UPI"/>
    <s v="Repeat Customer"/>
  </r>
  <r>
    <n v="11304"/>
    <s v="CUST130"/>
    <d v="2024-07-06T00:00:00"/>
    <s v="Beauty"/>
    <x v="3"/>
    <n v="4"/>
    <x v="1288"/>
    <n v="533.52"/>
    <s v="Credit Card"/>
    <s v="Repeat Customer"/>
  </r>
  <r>
    <n v="11305"/>
    <s v="CUST185"/>
    <d v="2024-03-22T00:00:00"/>
    <s v="Electronics"/>
    <x v="1"/>
    <n v="5"/>
    <x v="1289"/>
    <n v="237.1"/>
    <s v="Credit Card"/>
    <s v="Repeat Customer"/>
  </r>
  <r>
    <n v="11306"/>
    <s v="CUST275"/>
    <d v="2024-01-31T00:00:00"/>
    <s v="Beauty"/>
    <x v="0"/>
    <n v="10"/>
    <x v="1290"/>
    <n v="1212.2"/>
    <s v="Credit Card"/>
    <s v="Repeat Customer"/>
  </r>
  <r>
    <n v="11307"/>
    <s v="CUST131"/>
    <d v="2024-09-29T00:00:00"/>
    <s v="Electronics"/>
    <x v="0"/>
    <n v="1"/>
    <x v="1291"/>
    <n v="334.33"/>
    <s v="UPI"/>
    <s v="Repeat Customer"/>
  </r>
  <r>
    <n v="11308"/>
    <s v="CUST367"/>
    <d v="2024-01-08T00:00:00"/>
    <s v="Home"/>
    <x v="3"/>
    <n v="7"/>
    <x v="1292"/>
    <n v="2124.36"/>
    <s v="Wallet"/>
    <s v="Repeat Customer"/>
  </r>
  <r>
    <n v="11309"/>
    <s v="CUST272"/>
    <d v="2025-09-10T00:00:00"/>
    <s v="Home"/>
    <x v="1"/>
    <n v="7"/>
    <x v="1293"/>
    <n v="1201.1300000000001"/>
    <s v="UPI"/>
    <s v="Repeat Customer"/>
  </r>
  <r>
    <n v="11310"/>
    <s v="CUST284"/>
    <d v="2025-11-12T00:00:00"/>
    <s v="Electronics"/>
    <x v="1"/>
    <n v="7"/>
    <x v="1294"/>
    <n v="1346.31"/>
    <s v="Net Banking"/>
    <s v="Repeat Customer"/>
  </r>
  <r>
    <n v="11311"/>
    <s v="CUST151"/>
    <d v="2024-01-04T00:00:00"/>
    <s v="Beauty"/>
    <x v="2"/>
    <n v="8"/>
    <x v="1295"/>
    <n v="3487.36"/>
    <s v="Credit Card"/>
    <s v="Repeat Customer"/>
  </r>
  <r>
    <n v="11312"/>
    <s v="CUST162"/>
    <d v="2025-06-27T00:00:00"/>
    <s v="Fashion"/>
    <x v="1"/>
    <n v="5"/>
    <x v="1296"/>
    <n v="2378.9"/>
    <s v="Wallet"/>
    <s v="Repeat Customer"/>
  </r>
  <r>
    <n v="11313"/>
    <s v="CUST343"/>
    <d v="2025-06-11T00:00:00"/>
    <s v="Electronics"/>
    <x v="1"/>
    <n v="7"/>
    <x v="1297"/>
    <n v="2322.67"/>
    <s v="Credit Card"/>
    <s v="Repeat Customer"/>
  </r>
  <r>
    <n v="11314"/>
    <s v="CUST284"/>
    <d v="2024-02-16T00:00:00"/>
    <s v="Fashion"/>
    <x v="3"/>
    <n v="6"/>
    <x v="1298"/>
    <n v="2043.48"/>
    <s v="Wallet"/>
    <s v="Repeat Customer"/>
  </r>
  <r>
    <n v="11315"/>
    <s v="CUST141"/>
    <d v="2024-12-22T00:00:00"/>
    <s v="Beauty"/>
    <x v="0"/>
    <n v="7"/>
    <x v="1299"/>
    <n v="3288.95"/>
    <s v="Wallet"/>
    <s v="Repeat Customer"/>
  </r>
  <r>
    <n v="11316"/>
    <s v="CUST250"/>
    <d v="2025-09-13T00:00:00"/>
    <s v="Sports"/>
    <x v="0"/>
    <n v="4"/>
    <x v="1300"/>
    <n v="1429.64"/>
    <s v="UPI"/>
    <s v="Repeat Customer"/>
  </r>
  <r>
    <n v="11317"/>
    <s v="CUST354"/>
    <d v="2024-03-30T00:00:00"/>
    <s v="Sports"/>
    <x v="3"/>
    <n v="5"/>
    <x v="1301"/>
    <n v="2085.1"/>
    <s v="UPI"/>
    <s v="Repeat Customer"/>
  </r>
  <r>
    <n v="11318"/>
    <s v="CUST328"/>
    <d v="2024-04-28T00:00:00"/>
    <s v="Fashion"/>
    <x v="2"/>
    <n v="8"/>
    <x v="1302"/>
    <n v="2664.08"/>
    <s v="UPI"/>
    <s v="Repeat Customer"/>
  </r>
  <r>
    <n v="11319"/>
    <s v="CUST187"/>
    <d v="2025-11-06T00:00:00"/>
    <s v="Electronics"/>
    <x v="2"/>
    <n v="2"/>
    <x v="1303"/>
    <n v="114.42"/>
    <s v="Net Banking"/>
    <s v="Repeat Customer"/>
  </r>
  <r>
    <n v="11320"/>
    <s v="CUST296"/>
    <d v="2024-10-14T00:00:00"/>
    <s v="Beauty"/>
    <x v="0"/>
    <n v="4"/>
    <x v="1304"/>
    <n v="1443.96"/>
    <s v="UPI"/>
    <s v="Repeat Customer"/>
  </r>
  <r>
    <n v="11321"/>
    <s v="CUST373"/>
    <d v="2025-10-10T00:00:00"/>
    <s v="Home"/>
    <x v="2"/>
    <n v="8"/>
    <x v="1305"/>
    <n v="398.16"/>
    <s v="Credit Card"/>
    <s v="Repeat Customer"/>
  </r>
  <r>
    <n v="11322"/>
    <s v="CUST275"/>
    <d v="2025-01-21T00:00:00"/>
    <s v="Sports"/>
    <x v="3"/>
    <n v="7"/>
    <x v="1306"/>
    <n v="2300.83"/>
    <s v="UPI"/>
    <s v="Repeat Customer"/>
  </r>
  <r>
    <n v="11323"/>
    <s v="CUST214"/>
    <d v="2024-09-22T00:00:00"/>
    <s v="Electronics"/>
    <x v="0"/>
    <n v="2"/>
    <x v="1307"/>
    <n v="298.06"/>
    <s v="Net Banking"/>
    <s v="Repeat Customer"/>
  </r>
  <r>
    <n v="11324"/>
    <s v="CUST196"/>
    <d v="2024-04-28T00:00:00"/>
    <s v="Home"/>
    <x v="3"/>
    <n v="10"/>
    <x v="1308"/>
    <n v="1870.3"/>
    <s v="Credit Card"/>
    <s v="Repeat Customer"/>
  </r>
  <r>
    <n v="11325"/>
    <s v="CUST259"/>
    <d v="2024-03-04T00:00:00"/>
    <s v="Beauty"/>
    <x v="3"/>
    <n v="10"/>
    <x v="1309"/>
    <n v="2701.2"/>
    <s v="Net Banking"/>
    <s v="Repeat Customer"/>
  </r>
  <r>
    <n v="11326"/>
    <s v="CUST286"/>
    <d v="2025-11-26T00:00:00"/>
    <s v="Sports"/>
    <x v="2"/>
    <n v="3"/>
    <x v="1310"/>
    <n v="786.84"/>
    <s v="Credit Card"/>
    <s v="Repeat Customer"/>
  </r>
  <r>
    <n v="11327"/>
    <s v="CUST302"/>
    <d v="2024-01-10T00:00:00"/>
    <s v="Home"/>
    <x v="2"/>
    <n v="9"/>
    <x v="1311"/>
    <n v="3842.28"/>
    <s v="Net Banking"/>
    <s v="Repeat Customer"/>
  </r>
  <r>
    <n v="11328"/>
    <s v="CUST212"/>
    <d v="2025-05-26T00:00:00"/>
    <s v="Home"/>
    <x v="2"/>
    <n v="8"/>
    <x v="1312"/>
    <n v="623.84"/>
    <s v="Credit Card"/>
    <s v="Repeat Customer"/>
  </r>
  <r>
    <n v="11329"/>
    <s v="CUST263"/>
    <d v="2024-11-12T00:00:00"/>
    <s v="Electronics"/>
    <x v="1"/>
    <n v="9"/>
    <x v="1313"/>
    <n v="4456.9799999999996"/>
    <s v="Wallet"/>
    <s v="Repeat Customer"/>
  </r>
  <r>
    <n v="11330"/>
    <s v="CUST210"/>
    <d v="2025-05-21T00:00:00"/>
    <s v="Beauty"/>
    <x v="0"/>
    <n v="5"/>
    <x v="1314"/>
    <n v="1767.75"/>
    <s v="Net Banking"/>
    <s v="Repeat Customer"/>
  </r>
  <r>
    <n v="11331"/>
    <s v="CUST178"/>
    <d v="2024-08-03T00:00:00"/>
    <s v="Electronics"/>
    <x v="2"/>
    <n v="4"/>
    <x v="1315"/>
    <n v="1406.8"/>
    <s v="Wallet"/>
    <s v="Repeat Customer"/>
  </r>
  <r>
    <n v="11332"/>
    <s v="CUST300"/>
    <d v="2024-11-02T00:00:00"/>
    <s v="Sports"/>
    <x v="3"/>
    <n v="3"/>
    <x v="1316"/>
    <n v="1486.74"/>
    <s v="Net Banking"/>
    <s v="Repeat Customer"/>
  </r>
  <r>
    <n v="11333"/>
    <s v="CUST316"/>
    <d v="2025-11-25T00:00:00"/>
    <s v="Beauty"/>
    <x v="3"/>
    <n v="8"/>
    <x v="1317"/>
    <n v="3961.68"/>
    <s v="Credit Card"/>
    <s v="Repeat Customer"/>
  </r>
  <r>
    <n v="11334"/>
    <s v="CUST370"/>
    <d v="2024-10-16T00:00:00"/>
    <s v="Fashion"/>
    <x v="3"/>
    <n v="5"/>
    <x v="1318"/>
    <n v="1748.55"/>
    <s v="Credit Card"/>
    <s v="Repeat Customer"/>
  </r>
  <r>
    <n v="11335"/>
    <s v="CUST167"/>
    <d v="2024-11-27T00:00:00"/>
    <s v="Electronics"/>
    <x v="1"/>
    <n v="10"/>
    <x v="1319"/>
    <n v="4336"/>
    <s v="Wallet"/>
    <s v="Repeat Customer"/>
  </r>
  <r>
    <n v="11336"/>
    <s v="CUST183"/>
    <d v="2025-08-14T00:00:00"/>
    <s v="Beauty"/>
    <x v="1"/>
    <n v="3"/>
    <x v="1320"/>
    <n v="671.19"/>
    <s v="UPI"/>
    <s v="Repeat Customer"/>
  </r>
  <r>
    <n v="11337"/>
    <s v="CUST207"/>
    <d v="2024-08-11T00:00:00"/>
    <s v="Electronics"/>
    <x v="1"/>
    <n v="4"/>
    <x v="1321"/>
    <n v="1475.92"/>
    <s v="Credit Card"/>
    <s v="Repeat Customer"/>
  </r>
  <r>
    <n v="11338"/>
    <s v="CUST175"/>
    <d v="2025-01-20T00:00:00"/>
    <s v="Fashion"/>
    <x v="0"/>
    <n v="7"/>
    <x v="1322"/>
    <n v="2389.31"/>
    <s v="Credit Card"/>
    <s v="Repeat Customer"/>
  </r>
  <r>
    <n v="11339"/>
    <s v="CUST282"/>
    <d v="2025-04-30T00:00:00"/>
    <s v="Electronics"/>
    <x v="1"/>
    <n v="3"/>
    <x v="1323"/>
    <n v="1418.43"/>
    <s v="Wallet"/>
    <s v="Repeat Customer"/>
  </r>
  <r>
    <n v="11340"/>
    <s v="CUST176"/>
    <d v="2025-10-04T00:00:00"/>
    <s v="Electronics"/>
    <x v="2"/>
    <n v="7"/>
    <x v="1324"/>
    <n v="883.96"/>
    <s v="Wallet"/>
    <s v="Repeat Customer"/>
  </r>
  <r>
    <n v="11341"/>
    <s v="CUST350"/>
    <d v="2024-11-05T00:00:00"/>
    <s v="Beauty"/>
    <x v="0"/>
    <n v="10"/>
    <x v="1325"/>
    <n v="4775"/>
    <s v="Wallet"/>
    <s v="Repeat Customer"/>
  </r>
  <r>
    <n v="11342"/>
    <s v="CUST295"/>
    <d v="2024-10-08T00:00:00"/>
    <s v="Electronics"/>
    <x v="0"/>
    <n v="8"/>
    <x v="1326"/>
    <n v="1494.56"/>
    <s v="Credit Card"/>
    <s v="Repeat Customer"/>
  </r>
  <r>
    <n v="11343"/>
    <s v="CUST162"/>
    <d v="2025-05-15T00:00:00"/>
    <s v="Sports"/>
    <x v="3"/>
    <n v="9"/>
    <x v="1327"/>
    <n v="1047.06"/>
    <s v="Net Banking"/>
    <s v="Repeat Customer"/>
  </r>
  <r>
    <n v="11344"/>
    <s v="CUST148"/>
    <d v="2025-08-30T00:00:00"/>
    <s v="Beauty"/>
    <x v="1"/>
    <n v="3"/>
    <x v="1328"/>
    <n v="585.17999999999995"/>
    <s v="UPI"/>
    <s v="Repeat Customer"/>
  </r>
  <r>
    <n v="11345"/>
    <s v="CUST150"/>
    <d v="2024-11-29T00:00:00"/>
    <s v="Sports"/>
    <x v="2"/>
    <n v="2"/>
    <x v="1329"/>
    <n v="716.64"/>
    <s v="Wallet"/>
    <s v="Repeat Customer"/>
  </r>
  <r>
    <n v="11346"/>
    <s v="CUST110"/>
    <d v="2025-02-07T00:00:00"/>
    <s v="Sports"/>
    <x v="3"/>
    <n v="9"/>
    <x v="1330"/>
    <n v="3686.76"/>
    <s v="Credit Card"/>
    <s v="Repeat Customer"/>
  </r>
  <r>
    <n v="11347"/>
    <s v="CUST365"/>
    <d v="2025-08-21T00:00:00"/>
    <s v="Electronics"/>
    <x v="2"/>
    <n v="9"/>
    <x v="1331"/>
    <n v="3224.79"/>
    <s v="Credit Card"/>
    <s v="Repeat Customer"/>
  </r>
  <r>
    <n v="11348"/>
    <s v="CUST192"/>
    <d v="2025-09-05T00:00:00"/>
    <s v="Beauty"/>
    <x v="1"/>
    <n v="3"/>
    <x v="1332"/>
    <n v="22.92"/>
    <s v="Credit Card"/>
    <s v="Repeat Customer"/>
  </r>
  <r>
    <n v="11349"/>
    <s v="CUST120"/>
    <d v="2024-05-11T00:00:00"/>
    <s v="Fashion"/>
    <x v="0"/>
    <n v="10"/>
    <x v="1333"/>
    <n v="1070.8"/>
    <s v="Net Banking"/>
    <s v="Repeat Customer"/>
  </r>
  <r>
    <n v="11350"/>
    <s v="CUST117"/>
    <d v="2024-03-27T00:00:00"/>
    <s v="Home"/>
    <x v="2"/>
    <n v="2"/>
    <x v="1334"/>
    <n v="511.08"/>
    <s v="Wallet"/>
    <s v="Repeat Customer"/>
  </r>
  <r>
    <n v="11351"/>
    <s v="CUST100"/>
    <d v="2024-09-11T00:00:00"/>
    <s v="Sports"/>
    <x v="1"/>
    <n v="5"/>
    <x v="1335"/>
    <n v="139.25"/>
    <s v="Wallet"/>
    <s v="Repeat Customer"/>
  </r>
  <r>
    <n v="11352"/>
    <s v="CUST171"/>
    <d v="2025-08-13T00:00:00"/>
    <s v="Sports"/>
    <x v="1"/>
    <n v="8"/>
    <x v="1336"/>
    <n v="2792.64"/>
    <s v="UPI"/>
    <s v="Repeat Customer"/>
  </r>
  <r>
    <n v="11353"/>
    <s v="CUST150"/>
    <d v="2025-11-09T00:00:00"/>
    <s v="Fashion"/>
    <x v="2"/>
    <n v="1"/>
    <x v="1337"/>
    <n v="122.36"/>
    <s v="Net Banking"/>
    <s v="Repeat Customer"/>
  </r>
  <r>
    <n v="11354"/>
    <s v="CUST210"/>
    <d v="2024-05-17T00:00:00"/>
    <s v="Sports"/>
    <x v="1"/>
    <n v="10"/>
    <x v="1338"/>
    <n v="2782.7"/>
    <s v="Net Banking"/>
    <s v="Repeat Customer"/>
  </r>
  <r>
    <n v="11355"/>
    <s v="CUST165"/>
    <d v="2025-09-29T00:00:00"/>
    <s v="Home"/>
    <x v="1"/>
    <n v="7"/>
    <x v="1339"/>
    <n v="292.67"/>
    <s v="Wallet"/>
    <s v="Repeat Customer"/>
  </r>
  <r>
    <n v="11356"/>
    <s v="CUST183"/>
    <d v="2025-02-13T00:00:00"/>
    <s v="Home"/>
    <x v="3"/>
    <n v="8"/>
    <x v="1340"/>
    <n v="369.68"/>
    <s v="UPI"/>
    <s v="Repeat Customer"/>
  </r>
  <r>
    <n v="11357"/>
    <s v="CUST374"/>
    <d v="2024-07-27T00:00:00"/>
    <s v="Home"/>
    <x v="2"/>
    <n v="2"/>
    <x v="1341"/>
    <n v="633.28"/>
    <s v="Net Banking"/>
    <s v="Repeat Customer"/>
  </r>
  <r>
    <n v="11358"/>
    <s v="CUST388"/>
    <d v="2025-11-04T00:00:00"/>
    <s v="Beauty"/>
    <x v="2"/>
    <n v="9"/>
    <x v="1342"/>
    <n v="2740.05"/>
    <s v="Net Banking"/>
    <s v="Repeat Customer"/>
  </r>
  <r>
    <n v="11359"/>
    <s v="CUST322"/>
    <d v="2025-01-23T00:00:00"/>
    <s v="Fashion"/>
    <x v="0"/>
    <n v="1"/>
    <x v="1343"/>
    <n v="482.19"/>
    <s v="Net Banking"/>
    <s v="Repeat Customer"/>
  </r>
  <r>
    <n v="11360"/>
    <s v="CUST163"/>
    <d v="2025-06-28T00:00:00"/>
    <s v="Beauty"/>
    <x v="0"/>
    <n v="2"/>
    <x v="1344"/>
    <n v="687.14"/>
    <s v="Net Banking"/>
    <s v="Repeat Customer"/>
  </r>
  <r>
    <n v="11361"/>
    <s v="CUST145"/>
    <d v="2025-01-06T00:00:00"/>
    <s v="Fashion"/>
    <x v="2"/>
    <n v="6"/>
    <x v="1345"/>
    <n v="2340.9"/>
    <s v="Net Banking"/>
    <s v="Repeat Customer"/>
  </r>
  <r>
    <n v="11362"/>
    <s v="CUST105"/>
    <d v="2024-04-10T00:00:00"/>
    <s v="Fashion"/>
    <x v="3"/>
    <n v="7"/>
    <x v="1089"/>
    <n v="3428.95"/>
    <s v="Credit Card"/>
    <s v="Repeat Customer"/>
  </r>
  <r>
    <n v="11363"/>
    <s v="CUST163"/>
    <d v="2024-06-28T00:00:00"/>
    <s v="Home"/>
    <x v="3"/>
    <n v="9"/>
    <x v="1346"/>
    <n v="3289.68"/>
    <s v="Credit Card"/>
    <s v="Repeat Customer"/>
  </r>
  <r>
    <n v="11364"/>
    <s v="CUST370"/>
    <d v="2024-12-23T00:00:00"/>
    <s v="Sports"/>
    <x v="1"/>
    <n v="10"/>
    <x v="1347"/>
    <n v="4333.7"/>
    <s v="Credit Card"/>
    <s v="Repeat Customer"/>
  </r>
  <r>
    <n v="11365"/>
    <s v="CUST124"/>
    <d v="2024-06-23T00:00:00"/>
    <s v="Beauty"/>
    <x v="2"/>
    <n v="6"/>
    <x v="1348"/>
    <n v="2841.12"/>
    <s v="Net Banking"/>
    <s v="Repeat Customer"/>
  </r>
  <r>
    <n v="11366"/>
    <s v="CUST372"/>
    <d v="2025-07-18T00:00:00"/>
    <s v="Beauty"/>
    <x v="3"/>
    <n v="10"/>
    <x v="1349"/>
    <n v="4416"/>
    <s v="UPI"/>
    <s v="Repeat Customer"/>
  </r>
  <r>
    <n v="11367"/>
    <s v="CUST232"/>
    <d v="2024-01-10T00:00:00"/>
    <s v="Fashion"/>
    <x v="2"/>
    <n v="9"/>
    <x v="1350"/>
    <n v="3222.45"/>
    <s v="Wallet"/>
    <s v="Repeat Customer"/>
  </r>
  <r>
    <n v="11368"/>
    <s v="CUST390"/>
    <d v="2024-09-30T00:00:00"/>
    <s v="Home"/>
    <x v="2"/>
    <n v="1"/>
    <x v="1351"/>
    <n v="459.63"/>
    <s v="Wallet"/>
    <s v="Repeat Customer"/>
  </r>
  <r>
    <n v="11369"/>
    <s v="CUST334"/>
    <d v="2024-07-06T00:00:00"/>
    <s v="Beauty"/>
    <x v="1"/>
    <n v="8"/>
    <x v="1352"/>
    <n v="3945.52"/>
    <s v="Net Banking"/>
    <s v="Repeat Customer"/>
  </r>
  <r>
    <n v="11370"/>
    <s v="CUST319"/>
    <d v="2025-06-17T00:00:00"/>
    <s v="Electronics"/>
    <x v="1"/>
    <n v="4"/>
    <x v="1353"/>
    <n v="624.28"/>
    <s v="Wallet"/>
    <s v="Repeat Customer"/>
  </r>
  <r>
    <n v="11371"/>
    <s v="CUST260"/>
    <d v="2024-04-02T00:00:00"/>
    <s v="Fashion"/>
    <x v="0"/>
    <n v="2"/>
    <x v="1354"/>
    <n v="85.92"/>
    <s v="UPI"/>
    <s v="Repeat Customer"/>
  </r>
  <r>
    <n v="11372"/>
    <s v="CUST394"/>
    <d v="2024-02-28T00:00:00"/>
    <s v="Sports"/>
    <x v="3"/>
    <n v="2"/>
    <x v="1355"/>
    <n v="745.98"/>
    <s v="Credit Card"/>
    <s v="Repeat Customer"/>
  </r>
  <r>
    <n v="11373"/>
    <s v="CUST317"/>
    <d v="2025-11-24T00:00:00"/>
    <s v="Fashion"/>
    <x v="3"/>
    <n v="9"/>
    <x v="1356"/>
    <n v="4199.04"/>
    <s v="Wallet"/>
    <s v="Repeat Customer"/>
  </r>
  <r>
    <n v="11374"/>
    <s v="CUST363"/>
    <d v="2025-12-02T00:00:00"/>
    <s v="Beauty"/>
    <x v="0"/>
    <n v="9"/>
    <x v="1357"/>
    <n v="3154.05"/>
    <s v="UPI"/>
    <s v="Repeat Customer"/>
  </r>
  <r>
    <n v="11375"/>
    <s v="CUST103"/>
    <d v="2025-03-11T00:00:00"/>
    <s v="Fashion"/>
    <x v="0"/>
    <n v="9"/>
    <x v="1358"/>
    <n v="3384.81"/>
    <s v="Wallet"/>
    <s v="Repeat Customer"/>
  </r>
  <r>
    <n v="11376"/>
    <s v="CUST186"/>
    <d v="2025-11-21T00:00:00"/>
    <s v="Fashion"/>
    <x v="0"/>
    <n v="9"/>
    <x v="1359"/>
    <n v="4071.42"/>
    <s v="Net Banking"/>
    <s v="Repeat Customer"/>
  </r>
  <r>
    <n v="11377"/>
    <s v="CUST168"/>
    <d v="2025-06-10T00:00:00"/>
    <s v="Beauty"/>
    <x v="3"/>
    <n v="6"/>
    <x v="1360"/>
    <n v="2858.88"/>
    <s v="Wallet"/>
    <s v="Repeat Customer"/>
  </r>
  <r>
    <n v="11378"/>
    <s v="CUST187"/>
    <d v="2025-01-17T00:00:00"/>
    <s v="Fashion"/>
    <x v="0"/>
    <n v="2"/>
    <x v="1361"/>
    <n v="344.58"/>
    <s v="Net Banking"/>
    <s v="Repeat Customer"/>
  </r>
  <r>
    <n v="11379"/>
    <s v="CUST253"/>
    <d v="2025-05-09T00:00:00"/>
    <s v="Electronics"/>
    <x v="3"/>
    <n v="5"/>
    <x v="1362"/>
    <n v="680.25"/>
    <s v="UPI"/>
    <s v="Repeat Customer"/>
  </r>
  <r>
    <n v="11380"/>
    <s v="CUST256"/>
    <d v="2025-10-20T00:00:00"/>
    <s v="Electronics"/>
    <x v="3"/>
    <n v="9"/>
    <x v="1363"/>
    <n v="3723.66"/>
    <s v="Wallet"/>
    <s v="Repeat Customer"/>
  </r>
  <r>
    <n v="11381"/>
    <s v="CUST129"/>
    <d v="2024-12-30T00:00:00"/>
    <s v="Home"/>
    <x v="1"/>
    <n v="1"/>
    <x v="1364"/>
    <n v="309.69"/>
    <s v="Net Banking"/>
    <s v="Repeat Customer"/>
  </r>
  <r>
    <n v="11382"/>
    <s v="CUST154"/>
    <d v="2024-01-06T00:00:00"/>
    <s v="Fashion"/>
    <x v="3"/>
    <n v="6"/>
    <x v="1365"/>
    <n v="2673.9"/>
    <s v="Net Banking"/>
    <s v="Repeat Customer"/>
  </r>
  <r>
    <n v="11383"/>
    <s v="CUST104"/>
    <d v="2024-04-13T00:00:00"/>
    <s v="Electronics"/>
    <x v="2"/>
    <n v="7"/>
    <x v="1366"/>
    <n v="1739.92"/>
    <s v="Wallet"/>
    <s v="Repeat Customer"/>
  </r>
  <r>
    <n v="11384"/>
    <s v="CUST163"/>
    <d v="2025-05-14T00:00:00"/>
    <s v="Home"/>
    <x v="2"/>
    <n v="1"/>
    <x v="1367"/>
    <n v="82.04"/>
    <s v="Wallet"/>
    <s v="Repeat Customer"/>
  </r>
  <r>
    <n v="11385"/>
    <s v="CUST302"/>
    <d v="2025-01-18T00:00:00"/>
    <s v="Fashion"/>
    <x v="1"/>
    <n v="5"/>
    <x v="1368"/>
    <n v="927.15"/>
    <s v="Credit Card"/>
    <s v="Repeat Customer"/>
  </r>
  <r>
    <n v="11386"/>
    <s v="CUST324"/>
    <d v="2025-11-03T00:00:00"/>
    <s v="Home"/>
    <x v="3"/>
    <n v="8"/>
    <x v="1369"/>
    <n v="680.88"/>
    <s v="Credit Card"/>
    <s v="Repeat Customer"/>
  </r>
  <r>
    <n v="11387"/>
    <s v="CUST283"/>
    <d v="2025-12-27T00:00:00"/>
    <s v="Home"/>
    <x v="0"/>
    <n v="4"/>
    <x v="1370"/>
    <n v="239.12"/>
    <s v="UPI"/>
    <s v="Repeat Customer"/>
  </r>
  <r>
    <n v="11388"/>
    <s v="CUST302"/>
    <d v="2025-03-07T00:00:00"/>
    <s v="Fashion"/>
    <x v="2"/>
    <n v="6"/>
    <x v="1371"/>
    <n v="2705.94"/>
    <s v="Wallet"/>
    <s v="Repeat Customer"/>
  </r>
  <r>
    <n v="11389"/>
    <s v="CUST236"/>
    <d v="2024-05-01T00:00:00"/>
    <s v="Beauty"/>
    <x v="2"/>
    <n v="7"/>
    <x v="1372"/>
    <n v="1729.63"/>
    <s v="Net Banking"/>
    <s v="Repeat Customer"/>
  </r>
  <r>
    <n v="11390"/>
    <s v="CUST304"/>
    <d v="2025-05-28T00:00:00"/>
    <s v="Electronics"/>
    <x v="0"/>
    <n v="7"/>
    <x v="1373"/>
    <n v="490.35"/>
    <s v="UPI"/>
    <s v="New Customer"/>
  </r>
  <r>
    <n v="11391"/>
    <s v="CUST179"/>
    <d v="2024-12-18T00:00:00"/>
    <s v="Fashion"/>
    <x v="0"/>
    <n v="9"/>
    <x v="1374"/>
    <n v="105.84"/>
    <s v="Net Banking"/>
    <s v="Repeat Customer"/>
  </r>
  <r>
    <n v="11392"/>
    <s v="CUST319"/>
    <d v="2025-09-03T00:00:00"/>
    <s v="Home"/>
    <x v="1"/>
    <n v="1"/>
    <x v="1375"/>
    <n v="219.99"/>
    <s v="Wallet"/>
    <s v="Repeat Customer"/>
  </r>
  <r>
    <n v="11393"/>
    <s v="CUST142"/>
    <d v="2025-03-15T00:00:00"/>
    <s v="Sports"/>
    <x v="2"/>
    <n v="4"/>
    <x v="1376"/>
    <n v="1242.8800000000001"/>
    <s v="UPI"/>
    <s v="Repeat Customer"/>
  </r>
  <r>
    <n v="11394"/>
    <s v="CUST243"/>
    <d v="2024-04-27T00:00:00"/>
    <s v="Fashion"/>
    <x v="3"/>
    <n v="5"/>
    <x v="1377"/>
    <n v="2485.8000000000002"/>
    <s v="UPI"/>
    <s v="Repeat Customer"/>
  </r>
  <r>
    <n v="11395"/>
    <s v="CUST342"/>
    <d v="2025-12-24T00:00:00"/>
    <s v="Sports"/>
    <x v="2"/>
    <n v="2"/>
    <x v="1378"/>
    <n v="704.14"/>
    <s v="UPI"/>
    <s v="Repeat Customer"/>
  </r>
  <r>
    <n v="11396"/>
    <s v="CUST176"/>
    <d v="2024-08-22T00:00:00"/>
    <s v="Electronics"/>
    <x v="1"/>
    <n v="2"/>
    <x v="1379"/>
    <n v="140.97999999999999"/>
    <s v="UPI"/>
    <s v="Repeat Customer"/>
  </r>
  <r>
    <n v="11397"/>
    <s v="CUST174"/>
    <d v="2025-03-12T00:00:00"/>
    <s v="Electronics"/>
    <x v="0"/>
    <n v="1"/>
    <x v="1380"/>
    <n v="310.14999999999998"/>
    <s v="Wallet"/>
    <s v="Repeat Customer"/>
  </r>
  <r>
    <n v="11398"/>
    <s v="CUST308"/>
    <d v="2025-06-21T00:00:00"/>
    <s v="Fashion"/>
    <x v="2"/>
    <n v="5"/>
    <x v="1381"/>
    <n v="1757.9"/>
    <s v="Net Banking"/>
    <s v="Repeat Customer"/>
  </r>
  <r>
    <n v="11399"/>
    <s v="CUST318"/>
    <d v="2025-05-05T00:00:00"/>
    <s v="Electronics"/>
    <x v="1"/>
    <n v="1"/>
    <x v="1382"/>
    <n v="257.38"/>
    <s v="Credit Card"/>
    <s v="Repeat Customer"/>
  </r>
  <r>
    <n v="11400"/>
    <s v="CUST237"/>
    <d v="2025-01-07T00:00:00"/>
    <s v="Beauty"/>
    <x v="2"/>
    <n v="5"/>
    <x v="1383"/>
    <n v="2358.9"/>
    <s v="Net Banking"/>
    <s v="Repeat Customer"/>
  </r>
  <r>
    <n v="11401"/>
    <s v="CUST124"/>
    <d v="2024-07-05T00:00:00"/>
    <s v="Home"/>
    <x v="2"/>
    <n v="1"/>
    <x v="1384"/>
    <n v="5.27"/>
    <s v="Net Banking"/>
    <s v="Repeat Customer"/>
  </r>
  <r>
    <n v="11402"/>
    <s v="CUST341"/>
    <d v="2024-10-13T00:00:00"/>
    <s v="Fashion"/>
    <x v="1"/>
    <n v="10"/>
    <x v="1385"/>
    <n v="548.79999999999995"/>
    <s v="Wallet"/>
    <s v="Repeat Customer"/>
  </r>
  <r>
    <n v="11403"/>
    <s v="CUST286"/>
    <d v="2024-12-08T00:00:00"/>
    <s v="Electronics"/>
    <x v="2"/>
    <n v="5"/>
    <x v="1386"/>
    <n v="301.05"/>
    <s v="Net Banking"/>
    <s v="Repeat Customer"/>
  </r>
  <r>
    <n v="11404"/>
    <s v="CUST284"/>
    <d v="2025-01-05T00:00:00"/>
    <s v="Home"/>
    <x v="2"/>
    <n v="10"/>
    <x v="1387"/>
    <n v="2667.9"/>
    <s v="Net Banking"/>
    <s v="Repeat Customer"/>
  </r>
  <r>
    <n v="11405"/>
    <s v="CUST207"/>
    <d v="2025-08-21T00:00:00"/>
    <s v="Electronics"/>
    <x v="2"/>
    <n v="7"/>
    <x v="1388"/>
    <n v="337.26"/>
    <s v="Credit Card"/>
    <s v="Repeat Customer"/>
  </r>
  <r>
    <n v="11406"/>
    <s v="CUST121"/>
    <d v="2025-08-23T00:00:00"/>
    <s v="Beauty"/>
    <x v="0"/>
    <n v="4"/>
    <x v="1389"/>
    <n v="402"/>
    <s v="Credit Card"/>
    <s v="Repeat Customer"/>
  </r>
  <r>
    <n v="11407"/>
    <s v="CUST379"/>
    <d v="2025-09-25T00:00:00"/>
    <s v="Beauty"/>
    <x v="2"/>
    <n v="6"/>
    <x v="1390"/>
    <n v="925.38"/>
    <s v="UPI"/>
    <s v="Repeat Customer"/>
  </r>
  <r>
    <n v="11408"/>
    <s v="CUST122"/>
    <d v="2024-05-10T00:00:00"/>
    <s v="Home"/>
    <x v="1"/>
    <n v="4"/>
    <x v="911"/>
    <n v="848.08"/>
    <s v="Net Banking"/>
    <s v="Repeat Customer"/>
  </r>
  <r>
    <n v="11409"/>
    <s v="CUST329"/>
    <d v="2025-10-06T00:00:00"/>
    <s v="Electronics"/>
    <x v="3"/>
    <n v="2"/>
    <x v="1391"/>
    <n v="911.74"/>
    <s v="Wallet"/>
    <s v="Repeat Customer"/>
  </r>
  <r>
    <n v="11410"/>
    <s v="CUST368"/>
    <d v="2025-05-30T00:00:00"/>
    <s v="Home"/>
    <x v="2"/>
    <n v="1"/>
    <x v="1392"/>
    <n v="87.63"/>
    <s v="Net Banking"/>
    <s v="Repeat Customer"/>
  </r>
  <r>
    <n v="11411"/>
    <s v="CUST123"/>
    <d v="2025-08-02T00:00:00"/>
    <s v="Fashion"/>
    <x v="3"/>
    <n v="1"/>
    <x v="1393"/>
    <n v="398.22"/>
    <s v="Wallet"/>
    <s v="Repeat Customer"/>
  </r>
  <r>
    <n v="11412"/>
    <s v="CUST372"/>
    <d v="2025-06-09T00:00:00"/>
    <s v="Sports"/>
    <x v="3"/>
    <n v="2"/>
    <x v="1394"/>
    <n v="173.86"/>
    <s v="Wallet"/>
    <s v="Repeat Customer"/>
  </r>
  <r>
    <n v="11413"/>
    <s v="CUST305"/>
    <d v="2025-09-13T00:00:00"/>
    <s v="Electronics"/>
    <x v="2"/>
    <n v="5"/>
    <x v="1395"/>
    <n v="537.15"/>
    <s v="UPI"/>
    <s v="Repeat Customer"/>
  </r>
  <r>
    <n v="11414"/>
    <s v="CUST104"/>
    <d v="2025-06-09T00:00:00"/>
    <s v="Sports"/>
    <x v="1"/>
    <n v="8"/>
    <x v="1396"/>
    <n v="2035.12"/>
    <s v="Net Banking"/>
    <s v="Repeat Customer"/>
  </r>
  <r>
    <n v="11415"/>
    <s v="CUST212"/>
    <d v="2024-10-30T00:00:00"/>
    <s v="Fashion"/>
    <x v="2"/>
    <n v="5"/>
    <x v="1397"/>
    <n v="1391.55"/>
    <s v="Credit Card"/>
    <s v="Repeat Customer"/>
  </r>
  <r>
    <n v="11416"/>
    <s v="CUST373"/>
    <d v="2024-08-31T00:00:00"/>
    <s v="Fashion"/>
    <x v="1"/>
    <n v="5"/>
    <x v="1233"/>
    <n v="121.75"/>
    <s v="UPI"/>
    <s v="Repeat Customer"/>
  </r>
  <r>
    <n v="11417"/>
    <s v="CUST238"/>
    <d v="2024-02-22T00:00:00"/>
    <s v="Fashion"/>
    <x v="0"/>
    <n v="4"/>
    <x v="1398"/>
    <n v="1979.28"/>
    <s v="Credit Card"/>
    <s v="Repeat Customer"/>
  </r>
  <r>
    <n v="11418"/>
    <s v="CUST277"/>
    <d v="2025-10-09T00:00:00"/>
    <s v="Home"/>
    <x v="0"/>
    <n v="10"/>
    <x v="1399"/>
    <n v="4862.5"/>
    <s v="Net Banking"/>
    <s v="Repeat Customer"/>
  </r>
  <r>
    <n v="11419"/>
    <s v="CUST168"/>
    <d v="2025-02-22T00:00:00"/>
    <s v="Electronics"/>
    <x v="0"/>
    <n v="10"/>
    <x v="1400"/>
    <n v="1509.7"/>
    <s v="Net Banking"/>
    <s v="Repeat Customer"/>
  </r>
  <r>
    <n v="11420"/>
    <s v="CUST212"/>
    <d v="2024-10-13T00:00:00"/>
    <s v="Electronics"/>
    <x v="0"/>
    <n v="3"/>
    <x v="1401"/>
    <n v="395.13"/>
    <s v="Wallet"/>
    <s v="Repeat Customer"/>
  </r>
  <r>
    <n v="11421"/>
    <s v="CUST231"/>
    <d v="2025-10-03T00:00:00"/>
    <s v="Beauty"/>
    <x v="2"/>
    <n v="10"/>
    <x v="1402"/>
    <n v="2776.8"/>
    <s v="Net Banking"/>
    <s v="Repeat Customer"/>
  </r>
  <r>
    <n v="11422"/>
    <s v="CUST237"/>
    <d v="2024-07-27T00:00:00"/>
    <s v="Beauty"/>
    <x v="2"/>
    <n v="10"/>
    <x v="1403"/>
    <n v="3167.5"/>
    <s v="Wallet"/>
    <s v="Repeat Customer"/>
  </r>
  <r>
    <n v="11423"/>
    <s v="CUST218"/>
    <d v="2025-03-20T00:00:00"/>
    <s v="Beauty"/>
    <x v="0"/>
    <n v="6"/>
    <x v="1404"/>
    <n v="470.58"/>
    <s v="Wallet"/>
    <s v="Repeat Customer"/>
  </r>
  <r>
    <n v="11424"/>
    <s v="CUST192"/>
    <d v="2025-04-15T00:00:00"/>
    <s v="Fashion"/>
    <x v="2"/>
    <n v="3"/>
    <x v="1405"/>
    <n v="1226.1600000000001"/>
    <s v="Wallet"/>
    <s v="Repeat Customer"/>
  </r>
  <r>
    <n v="11425"/>
    <s v="CUST192"/>
    <d v="2025-10-25T00:00:00"/>
    <s v="Fashion"/>
    <x v="2"/>
    <n v="5"/>
    <x v="1406"/>
    <n v="77.099999999999994"/>
    <s v="Wallet"/>
    <s v="Repeat Customer"/>
  </r>
  <r>
    <n v="11426"/>
    <s v="CUST196"/>
    <d v="2024-03-12T00:00:00"/>
    <s v="Fashion"/>
    <x v="3"/>
    <n v="3"/>
    <x v="1407"/>
    <n v="121.98"/>
    <s v="Wallet"/>
    <s v="Repeat Customer"/>
  </r>
  <r>
    <n v="11427"/>
    <s v="CUST151"/>
    <d v="2025-06-23T00:00:00"/>
    <s v="Electronics"/>
    <x v="0"/>
    <n v="3"/>
    <x v="1408"/>
    <n v="1094.25"/>
    <s v="Wallet"/>
    <s v="Repeat Customer"/>
  </r>
  <r>
    <n v="11428"/>
    <s v="CUST296"/>
    <d v="2024-01-22T00:00:00"/>
    <s v="Electronics"/>
    <x v="2"/>
    <n v="2"/>
    <x v="1409"/>
    <n v="828.3"/>
    <s v="UPI"/>
    <s v="Repeat Customer"/>
  </r>
  <r>
    <n v="11429"/>
    <s v="CUST142"/>
    <d v="2024-10-01T00:00:00"/>
    <s v="Sports"/>
    <x v="0"/>
    <n v="3"/>
    <x v="1410"/>
    <n v="1408.83"/>
    <s v="Credit Card"/>
    <s v="Repeat Customer"/>
  </r>
  <r>
    <n v="11430"/>
    <s v="CUST154"/>
    <d v="2025-07-09T00:00:00"/>
    <s v="Electronics"/>
    <x v="2"/>
    <n v="6"/>
    <x v="1411"/>
    <n v="2562.6"/>
    <s v="UPI"/>
    <s v="Repeat Customer"/>
  </r>
  <r>
    <n v="11431"/>
    <s v="CUST345"/>
    <d v="2025-07-30T00:00:00"/>
    <s v="Home"/>
    <x v="1"/>
    <n v="8"/>
    <x v="1412"/>
    <n v="3269.28"/>
    <s v="Wallet"/>
    <s v="Repeat Customer"/>
  </r>
  <r>
    <n v="11432"/>
    <s v="CUST179"/>
    <d v="2024-09-06T00:00:00"/>
    <s v="Home"/>
    <x v="0"/>
    <n v="1"/>
    <x v="1413"/>
    <n v="274.05"/>
    <s v="Credit Card"/>
    <s v="Repeat Customer"/>
  </r>
  <r>
    <n v="11433"/>
    <s v="CUST122"/>
    <d v="2024-04-15T00:00:00"/>
    <s v="Sports"/>
    <x v="3"/>
    <n v="9"/>
    <x v="1414"/>
    <n v="1367.01"/>
    <s v="UPI"/>
    <s v="Repeat Customer"/>
  </r>
  <r>
    <n v="11434"/>
    <s v="CUST100"/>
    <d v="2024-08-17T00:00:00"/>
    <s v="Beauty"/>
    <x v="2"/>
    <n v="1"/>
    <x v="1415"/>
    <n v="117.2"/>
    <s v="Net Banking"/>
    <s v="Repeat Customer"/>
  </r>
  <r>
    <n v="11435"/>
    <s v="CUST246"/>
    <d v="2024-08-19T00:00:00"/>
    <s v="Electronics"/>
    <x v="3"/>
    <n v="7"/>
    <x v="1416"/>
    <n v="2414.65"/>
    <s v="UPI"/>
    <s v="Repeat Customer"/>
  </r>
  <r>
    <n v="11436"/>
    <s v="CUST156"/>
    <d v="2024-08-17T00:00:00"/>
    <s v="Home"/>
    <x v="1"/>
    <n v="2"/>
    <x v="1417"/>
    <n v="956.9"/>
    <s v="Credit Card"/>
    <s v="Repeat Customer"/>
  </r>
  <r>
    <n v="11437"/>
    <s v="CUST270"/>
    <d v="2024-05-01T00:00:00"/>
    <s v="Electronics"/>
    <x v="0"/>
    <n v="6"/>
    <x v="1418"/>
    <n v="2772.24"/>
    <s v="UPI"/>
    <s v="Repeat Customer"/>
  </r>
  <r>
    <n v="11438"/>
    <s v="CUST191"/>
    <d v="2025-03-14T00:00:00"/>
    <s v="Fashion"/>
    <x v="3"/>
    <n v="9"/>
    <x v="1419"/>
    <n v="1536.75"/>
    <s v="UPI"/>
    <s v="Repeat Customer"/>
  </r>
  <r>
    <n v="11439"/>
    <s v="CUST254"/>
    <d v="2025-10-01T00:00:00"/>
    <s v="Electronics"/>
    <x v="1"/>
    <n v="5"/>
    <x v="1420"/>
    <n v="887.25"/>
    <s v="Wallet"/>
    <s v="Repeat Customer"/>
  </r>
  <r>
    <n v="11440"/>
    <s v="CUST288"/>
    <d v="2024-09-28T00:00:00"/>
    <s v="Fashion"/>
    <x v="2"/>
    <n v="2"/>
    <x v="1421"/>
    <n v="790.96"/>
    <s v="Net Banking"/>
    <s v="Repeat Customer"/>
  </r>
  <r>
    <n v="11441"/>
    <s v="CUST175"/>
    <d v="2025-02-03T00:00:00"/>
    <s v="Beauty"/>
    <x v="0"/>
    <n v="8"/>
    <x v="1422"/>
    <n v="2896.56"/>
    <s v="Credit Card"/>
    <s v="Repeat Customer"/>
  </r>
  <r>
    <n v="11442"/>
    <s v="CUST395"/>
    <d v="2025-03-13T00:00:00"/>
    <s v="Home"/>
    <x v="2"/>
    <n v="5"/>
    <x v="1423"/>
    <n v="383.05"/>
    <s v="UPI"/>
    <s v="Repeat Customer"/>
  </r>
  <r>
    <n v="11443"/>
    <s v="CUST297"/>
    <d v="2024-12-27T00:00:00"/>
    <s v="Beauty"/>
    <x v="3"/>
    <n v="6"/>
    <x v="1424"/>
    <n v="1497.78"/>
    <s v="Net Banking"/>
    <s v="Repeat Customer"/>
  </r>
  <r>
    <n v="11444"/>
    <s v="CUST170"/>
    <d v="2025-10-31T00:00:00"/>
    <s v="Sports"/>
    <x v="3"/>
    <n v="4"/>
    <x v="1425"/>
    <n v="778.72"/>
    <s v="Wallet"/>
    <s v="Repeat Customer"/>
  </r>
  <r>
    <n v="11445"/>
    <s v="CUST372"/>
    <d v="2025-07-03T00:00:00"/>
    <s v="Sports"/>
    <x v="3"/>
    <n v="4"/>
    <x v="1426"/>
    <n v="781.56"/>
    <s v="UPI"/>
    <s v="Repeat Customer"/>
  </r>
  <r>
    <n v="11446"/>
    <s v="CUST144"/>
    <d v="2024-08-28T00:00:00"/>
    <s v="Electronics"/>
    <x v="1"/>
    <n v="6"/>
    <x v="1427"/>
    <n v="38.520000000000003"/>
    <s v="Wallet"/>
    <s v="Repeat Customer"/>
  </r>
  <r>
    <n v="11447"/>
    <s v="CUST168"/>
    <d v="2024-04-22T00:00:00"/>
    <s v="Home"/>
    <x v="2"/>
    <n v="1"/>
    <x v="1226"/>
    <n v="456.12"/>
    <s v="Net Banking"/>
    <s v="Repeat Customer"/>
  </r>
  <r>
    <n v="11448"/>
    <s v="CUST335"/>
    <d v="2024-05-27T00:00:00"/>
    <s v="Beauty"/>
    <x v="2"/>
    <n v="9"/>
    <x v="1428"/>
    <n v="4374.45"/>
    <s v="UPI"/>
    <s v="Repeat Customer"/>
  </r>
  <r>
    <n v="11449"/>
    <s v="CUST214"/>
    <d v="2024-02-27T00:00:00"/>
    <s v="Fashion"/>
    <x v="3"/>
    <n v="3"/>
    <x v="1429"/>
    <n v="189.09"/>
    <s v="Credit Card"/>
    <s v="Repeat Customer"/>
  </r>
  <r>
    <n v="11450"/>
    <s v="CUST317"/>
    <d v="2025-01-15T00:00:00"/>
    <s v="Sports"/>
    <x v="0"/>
    <n v="1"/>
    <x v="1430"/>
    <n v="352.19"/>
    <s v="Wallet"/>
    <s v="Repeat Customer"/>
  </r>
  <r>
    <n v="11451"/>
    <s v="CUST180"/>
    <d v="2024-01-31T00:00:00"/>
    <s v="Electronics"/>
    <x v="2"/>
    <n v="3"/>
    <x v="1431"/>
    <n v="557.4"/>
    <s v="Credit Card"/>
    <s v="Repeat Customer"/>
  </r>
  <r>
    <n v="11452"/>
    <s v="CUST106"/>
    <d v="2025-08-05T00:00:00"/>
    <s v="Fashion"/>
    <x v="3"/>
    <n v="7"/>
    <x v="1432"/>
    <n v="553.77"/>
    <s v="UPI"/>
    <s v="Repeat Customer"/>
  </r>
  <r>
    <n v="11453"/>
    <s v="CUST370"/>
    <d v="2025-12-16T00:00:00"/>
    <s v="Home"/>
    <x v="3"/>
    <n v="5"/>
    <x v="1433"/>
    <n v="1188.7"/>
    <s v="Credit Card"/>
    <s v="Repeat Customer"/>
  </r>
  <r>
    <n v="11454"/>
    <s v="CUST246"/>
    <d v="2024-04-23T00:00:00"/>
    <s v="Electronics"/>
    <x v="2"/>
    <n v="3"/>
    <x v="1434"/>
    <n v="104.1"/>
    <s v="UPI"/>
    <s v="Repeat Customer"/>
  </r>
  <r>
    <n v="11455"/>
    <s v="CUST105"/>
    <d v="2025-02-09T00:00:00"/>
    <s v="Beauty"/>
    <x v="1"/>
    <n v="7"/>
    <x v="1435"/>
    <n v="2390.85"/>
    <s v="Net Banking"/>
    <s v="Repeat Customer"/>
  </r>
  <r>
    <n v="11456"/>
    <s v="CUST216"/>
    <d v="2025-03-09T00:00:00"/>
    <s v="Electronics"/>
    <x v="3"/>
    <n v="3"/>
    <x v="1436"/>
    <n v="418.65"/>
    <s v="UPI"/>
    <s v="Repeat Customer"/>
  </r>
  <r>
    <n v="11457"/>
    <s v="CUST208"/>
    <d v="2025-02-14T00:00:00"/>
    <s v="Beauty"/>
    <x v="2"/>
    <n v="10"/>
    <x v="1437"/>
    <n v="327.2"/>
    <s v="Credit Card"/>
    <s v="Repeat Customer"/>
  </r>
  <r>
    <n v="11458"/>
    <s v="CUST339"/>
    <d v="2025-05-03T00:00:00"/>
    <s v="Beauty"/>
    <x v="3"/>
    <n v="6"/>
    <x v="1438"/>
    <n v="1968.54"/>
    <s v="UPI"/>
    <s v="Repeat Customer"/>
  </r>
  <r>
    <n v="11459"/>
    <s v="CUST127"/>
    <d v="2025-01-15T00:00:00"/>
    <s v="Electronics"/>
    <x v="0"/>
    <n v="7"/>
    <x v="1439"/>
    <n v="709.73"/>
    <s v="Credit Card"/>
    <s v="Repeat Customer"/>
  </r>
  <r>
    <n v="11460"/>
    <s v="CUST285"/>
    <d v="2025-09-09T00:00:00"/>
    <s v="Home"/>
    <x v="2"/>
    <n v="6"/>
    <x v="1440"/>
    <n v="113.28"/>
    <s v="Credit Card"/>
    <s v="Repeat Customer"/>
  </r>
  <r>
    <n v="11461"/>
    <s v="CUST133"/>
    <d v="2024-08-04T00:00:00"/>
    <s v="Home"/>
    <x v="2"/>
    <n v="10"/>
    <x v="1441"/>
    <n v="104.3"/>
    <s v="UPI"/>
    <s v="Repeat Customer"/>
  </r>
  <r>
    <n v="11462"/>
    <s v="CUST116"/>
    <d v="2024-09-03T00:00:00"/>
    <s v="Sports"/>
    <x v="0"/>
    <n v="5"/>
    <x v="1442"/>
    <n v="235.45"/>
    <s v="Wallet"/>
    <s v="Repeat Customer"/>
  </r>
  <r>
    <n v="11463"/>
    <s v="CUST123"/>
    <d v="2024-02-19T00:00:00"/>
    <s v="Home"/>
    <x v="0"/>
    <n v="6"/>
    <x v="1443"/>
    <n v="306.83999999999997"/>
    <s v="Net Banking"/>
    <s v="Repeat Customer"/>
  </r>
  <r>
    <n v="11464"/>
    <s v="CUST244"/>
    <d v="2025-02-11T00:00:00"/>
    <s v="Beauty"/>
    <x v="1"/>
    <n v="9"/>
    <x v="1444"/>
    <n v="913.23"/>
    <s v="UPI"/>
    <s v="Repeat Customer"/>
  </r>
  <r>
    <n v="11465"/>
    <s v="CUST149"/>
    <d v="2024-12-05T00:00:00"/>
    <s v="Sports"/>
    <x v="0"/>
    <n v="7"/>
    <x v="1445"/>
    <n v="3141.39"/>
    <s v="UPI"/>
    <s v="Repeat Customer"/>
  </r>
  <r>
    <n v="11466"/>
    <s v="CUST112"/>
    <d v="2025-08-24T00:00:00"/>
    <s v="Electronics"/>
    <x v="1"/>
    <n v="7"/>
    <x v="1446"/>
    <n v="1687.63"/>
    <s v="UPI"/>
    <s v="Repeat Customer"/>
  </r>
  <r>
    <n v="11467"/>
    <s v="CUST177"/>
    <d v="2025-11-29T00:00:00"/>
    <s v="Electronics"/>
    <x v="2"/>
    <n v="8"/>
    <x v="1447"/>
    <n v="351.84"/>
    <s v="UPI"/>
    <s v="Repeat Customer"/>
  </r>
  <r>
    <n v="11468"/>
    <s v="CUST172"/>
    <d v="2024-06-13T00:00:00"/>
    <s v="Sports"/>
    <x v="1"/>
    <n v="9"/>
    <x v="1448"/>
    <n v="2345.13"/>
    <s v="Wallet"/>
    <s v="Repeat Customer"/>
  </r>
  <r>
    <n v="11469"/>
    <s v="CUST167"/>
    <d v="2024-12-13T00:00:00"/>
    <s v="Beauty"/>
    <x v="0"/>
    <n v="5"/>
    <x v="1449"/>
    <n v="916.8"/>
    <s v="Wallet"/>
    <s v="Repeat Customer"/>
  </r>
  <r>
    <n v="11470"/>
    <s v="CUST222"/>
    <d v="2024-08-01T00:00:00"/>
    <s v="Fashion"/>
    <x v="3"/>
    <n v="10"/>
    <x v="1450"/>
    <n v="3054"/>
    <s v="Credit Card"/>
    <s v="Repeat Customer"/>
  </r>
  <r>
    <n v="11471"/>
    <s v="CUST107"/>
    <d v="2024-05-26T00:00:00"/>
    <s v="Electronics"/>
    <x v="3"/>
    <n v="5"/>
    <x v="1451"/>
    <n v="1379.15"/>
    <s v="Credit Card"/>
    <s v="Repeat Customer"/>
  </r>
  <r>
    <n v="11472"/>
    <s v="CUST332"/>
    <d v="2024-11-17T00:00:00"/>
    <s v="Fashion"/>
    <x v="0"/>
    <n v="3"/>
    <x v="1452"/>
    <n v="1402.08"/>
    <s v="Net Banking"/>
    <s v="Repeat Customer"/>
  </r>
  <r>
    <n v="11473"/>
    <s v="CUST395"/>
    <d v="2025-01-07T00:00:00"/>
    <s v="Fashion"/>
    <x v="3"/>
    <n v="6"/>
    <x v="1453"/>
    <n v="295.02"/>
    <s v="Net Banking"/>
    <s v="Repeat Customer"/>
  </r>
  <r>
    <n v="11474"/>
    <s v="CUST342"/>
    <d v="2024-09-19T00:00:00"/>
    <s v="Fashion"/>
    <x v="0"/>
    <n v="8"/>
    <x v="1454"/>
    <n v="2615.12"/>
    <s v="Wallet"/>
    <s v="Repeat Customer"/>
  </r>
  <r>
    <n v="11475"/>
    <s v="CUST120"/>
    <d v="2025-01-07T00:00:00"/>
    <s v="Sports"/>
    <x v="2"/>
    <n v="5"/>
    <x v="1455"/>
    <n v="1017.3"/>
    <s v="Wallet"/>
    <s v="Repeat Customer"/>
  </r>
  <r>
    <n v="11476"/>
    <s v="CUST287"/>
    <d v="2025-06-08T00:00:00"/>
    <s v="Home"/>
    <x v="0"/>
    <n v="10"/>
    <x v="1456"/>
    <n v="4762.6000000000004"/>
    <s v="Wallet"/>
    <s v="Repeat Customer"/>
  </r>
  <r>
    <n v="11477"/>
    <s v="CUST359"/>
    <d v="2025-04-05T00:00:00"/>
    <s v="Electronics"/>
    <x v="0"/>
    <n v="5"/>
    <x v="1457"/>
    <n v="2196.6"/>
    <s v="UPI"/>
    <s v="Repeat Customer"/>
  </r>
  <r>
    <n v="11478"/>
    <s v="CUST387"/>
    <d v="2024-01-09T00:00:00"/>
    <s v="Home"/>
    <x v="3"/>
    <n v="3"/>
    <x v="1458"/>
    <n v="1281.78"/>
    <s v="UPI"/>
    <s v="Repeat Customer"/>
  </r>
  <r>
    <n v="11479"/>
    <s v="CUST391"/>
    <d v="2025-02-12T00:00:00"/>
    <s v="Beauty"/>
    <x v="0"/>
    <n v="2"/>
    <x v="1459"/>
    <n v="230.82"/>
    <s v="Net Banking"/>
    <s v="Repeat Customer"/>
  </r>
  <r>
    <n v="11480"/>
    <s v="CUST338"/>
    <d v="2025-04-24T00:00:00"/>
    <s v="Beauty"/>
    <x v="0"/>
    <n v="9"/>
    <x v="1460"/>
    <n v="4055.04"/>
    <s v="Credit Card"/>
    <s v="Repeat Customer"/>
  </r>
  <r>
    <n v="11481"/>
    <s v="CUST192"/>
    <d v="2024-04-20T00:00:00"/>
    <s v="Fashion"/>
    <x v="3"/>
    <n v="7"/>
    <x v="1461"/>
    <n v="2696.89"/>
    <s v="Net Banking"/>
    <s v="Repeat Customer"/>
  </r>
  <r>
    <n v="11482"/>
    <s v="CUST133"/>
    <d v="2024-11-20T00:00:00"/>
    <s v="Beauty"/>
    <x v="2"/>
    <n v="6"/>
    <x v="1462"/>
    <n v="2989.44"/>
    <s v="Wallet"/>
    <s v="Repeat Customer"/>
  </r>
  <r>
    <n v="11483"/>
    <s v="CUST158"/>
    <d v="2024-10-12T00:00:00"/>
    <s v="Fashion"/>
    <x v="3"/>
    <n v="8"/>
    <x v="1213"/>
    <n v="191.6"/>
    <s v="UPI"/>
    <s v="Repeat Customer"/>
  </r>
  <r>
    <n v="11484"/>
    <s v="CUST209"/>
    <d v="2024-11-23T00:00:00"/>
    <s v="Sports"/>
    <x v="3"/>
    <n v="10"/>
    <x v="1463"/>
    <n v="205.1"/>
    <s v="Credit Card"/>
    <s v="Repeat Customer"/>
  </r>
  <r>
    <n v="11485"/>
    <s v="CUST285"/>
    <d v="2025-03-16T00:00:00"/>
    <s v="Fashion"/>
    <x v="0"/>
    <n v="8"/>
    <x v="1464"/>
    <n v="885.12"/>
    <s v="Wallet"/>
    <s v="Repeat Customer"/>
  </r>
  <r>
    <n v="11486"/>
    <s v="CUST238"/>
    <d v="2024-09-15T00:00:00"/>
    <s v="Electronics"/>
    <x v="1"/>
    <n v="3"/>
    <x v="1465"/>
    <n v="139.13999999999999"/>
    <s v="Wallet"/>
    <s v="Repeat Customer"/>
  </r>
  <r>
    <n v="11487"/>
    <s v="CUST141"/>
    <d v="2024-11-01T00:00:00"/>
    <s v="Sports"/>
    <x v="2"/>
    <n v="8"/>
    <x v="1466"/>
    <n v="3490.32"/>
    <s v="Net Banking"/>
    <s v="Repeat Customer"/>
  </r>
  <r>
    <n v="11488"/>
    <s v="CUST194"/>
    <d v="2024-02-25T00:00:00"/>
    <s v="Beauty"/>
    <x v="1"/>
    <n v="2"/>
    <x v="1467"/>
    <n v="896"/>
    <s v="Net Banking"/>
    <s v="Repeat Customer"/>
  </r>
  <r>
    <n v="11489"/>
    <s v="CUST184"/>
    <d v="2024-07-22T00:00:00"/>
    <s v="Beauty"/>
    <x v="3"/>
    <n v="6"/>
    <x v="1468"/>
    <n v="2827.56"/>
    <s v="UPI"/>
    <s v="Repeat Customer"/>
  </r>
  <r>
    <n v="11490"/>
    <s v="CUST323"/>
    <d v="2024-12-29T00:00:00"/>
    <s v="Electronics"/>
    <x v="2"/>
    <n v="10"/>
    <x v="1469"/>
    <n v="1976.2"/>
    <s v="Credit Card"/>
    <s v="Repeat Customer"/>
  </r>
  <r>
    <n v="11491"/>
    <s v="CUST396"/>
    <d v="2025-09-23T00:00:00"/>
    <s v="Home"/>
    <x v="0"/>
    <n v="3"/>
    <x v="1470"/>
    <n v="495.75"/>
    <s v="UPI"/>
    <s v="Repeat Customer"/>
  </r>
  <r>
    <n v="11492"/>
    <s v="CUST334"/>
    <d v="2024-05-31T00:00:00"/>
    <s v="Electronics"/>
    <x v="3"/>
    <n v="8"/>
    <x v="1471"/>
    <n v="3462.64"/>
    <s v="Net Banking"/>
    <s v="Repeat Customer"/>
  </r>
  <r>
    <n v="11493"/>
    <s v="CUST366"/>
    <d v="2024-01-04T00:00:00"/>
    <s v="Fashion"/>
    <x v="3"/>
    <n v="8"/>
    <x v="1472"/>
    <n v="3775.6"/>
    <s v="Credit Card"/>
    <s v="Repeat Customer"/>
  </r>
  <r>
    <n v="11494"/>
    <s v="CUST118"/>
    <d v="2024-08-11T00:00:00"/>
    <s v="Sports"/>
    <x v="2"/>
    <n v="4"/>
    <x v="1473"/>
    <n v="851.96"/>
    <s v="Wallet"/>
    <s v="Repeat Customer"/>
  </r>
  <r>
    <n v="11495"/>
    <s v="CUST210"/>
    <d v="2024-12-22T00:00:00"/>
    <s v="Sports"/>
    <x v="0"/>
    <n v="4"/>
    <x v="1474"/>
    <n v="1905.72"/>
    <s v="Net Banking"/>
    <s v="Repeat Customer"/>
  </r>
  <r>
    <n v="11496"/>
    <s v="CUST286"/>
    <d v="2024-01-17T00:00:00"/>
    <s v="Sports"/>
    <x v="0"/>
    <n v="5"/>
    <x v="1475"/>
    <n v="2244.1999999999998"/>
    <s v="Wallet"/>
    <s v="Repeat Customer"/>
  </r>
  <r>
    <n v="11497"/>
    <s v="CUST333"/>
    <d v="2025-02-27T00:00:00"/>
    <s v="Sports"/>
    <x v="3"/>
    <n v="7"/>
    <x v="1476"/>
    <n v="1253.77"/>
    <s v="Net Banking"/>
    <s v="Repeat Customer"/>
  </r>
  <r>
    <n v="11498"/>
    <s v="CUST158"/>
    <d v="2024-06-29T00:00:00"/>
    <s v="Fashion"/>
    <x v="2"/>
    <n v="8"/>
    <x v="1477"/>
    <n v="1736.4"/>
    <s v="Wallet"/>
    <s v="Repeat Customer"/>
  </r>
  <r>
    <n v="11499"/>
    <s v="CUST295"/>
    <d v="2024-10-18T00:00:00"/>
    <s v="Sports"/>
    <x v="0"/>
    <n v="7"/>
    <x v="1478"/>
    <n v="2232.16"/>
    <s v="Credit Card"/>
    <s v="Repeat Customer"/>
  </r>
  <r>
    <n v="11500"/>
    <s v="CUST153"/>
    <d v="2024-04-01T00:00:00"/>
    <s v="Beauty"/>
    <x v="0"/>
    <n v="1"/>
    <x v="1479"/>
    <n v="310.05"/>
    <s v="Wallet"/>
    <s v="Repeat Custome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s v="CUST157"/>
    <d v="2024-01-26T00:00:00"/>
    <s v="Fashion"/>
    <s v="North"/>
    <n v="5"/>
    <n v="126.22"/>
    <n v="631.1"/>
    <x v="0"/>
    <s v="Repeat Customer"/>
  </r>
  <r>
    <n v="10002"/>
    <s v="CUST316"/>
    <d v="2024-02-02T00:00:00"/>
    <s v="Fashion"/>
    <s v="North"/>
    <n v="1"/>
    <n v="51.38"/>
    <n v="51.38"/>
    <x v="1"/>
    <s v="Repeat Customer"/>
  </r>
  <r>
    <n v="10003"/>
    <s v="CUST379"/>
    <d v="2025-03-05T00:00:00"/>
    <s v="Home"/>
    <s v="North"/>
    <n v="4"/>
    <n v="227.36"/>
    <n v="909.44"/>
    <x v="1"/>
    <s v="Repeat Customer"/>
  </r>
  <r>
    <n v="10004"/>
    <s v="CUST316"/>
    <d v="2024-12-14T00:00:00"/>
    <s v="Home"/>
    <s v="North"/>
    <n v="5"/>
    <n v="81.96"/>
    <n v="409.8"/>
    <x v="0"/>
    <s v="Repeat Customer"/>
  </r>
  <r>
    <n v="10005"/>
    <s v="CUST294"/>
    <d v="2024-04-09T00:00:00"/>
    <s v="Sports"/>
    <s v="East"/>
    <n v="6"/>
    <n v="424.51"/>
    <n v="2547.06"/>
    <x v="0"/>
    <s v="Repeat Customer"/>
  </r>
  <r>
    <n v="10006"/>
    <s v="CUST335"/>
    <d v="2025-07-03T00:00:00"/>
    <s v="Beauty"/>
    <s v="North"/>
    <n v="2"/>
    <n v="486.69"/>
    <n v="973.38"/>
    <x v="2"/>
    <s v="Repeat Customer"/>
  </r>
  <r>
    <n v="10007"/>
    <s v="CUST285"/>
    <d v="2025-08-14T00:00:00"/>
    <s v="Electronics"/>
    <s v="South"/>
    <n v="4"/>
    <n v="353.76"/>
    <n v="1415.04"/>
    <x v="2"/>
    <s v="Repeat Customer"/>
  </r>
  <r>
    <n v="10008"/>
    <s v="CUST140"/>
    <d v="2024-08-26T00:00:00"/>
    <s v="Beauty"/>
    <s v="East"/>
    <n v="2"/>
    <n v="193.16"/>
    <n v="386.32"/>
    <x v="1"/>
    <s v="Repeat Customer"/>
  </r>
  <r>
    <n v="10009"/>
    <s v="CUST289"/>
    <d v="2024-12-29T00:00:00"/>
    <s v="Electronics"/>
    <s v="South"/>
    <n v="4"/>
    <n v="336.74"/>
    <n v="1346.96"/>
    <x v="1"/>
    <s v="Repeat Customer"/>
  </r>
  <r>
    <n v="10010"/>
    <s v="CUST183"/>
    <d v="2025-04-18T00:00:00"/>
    <s v="Sports"/>
    <s v="South"/>
    <n v="7"/>
    <n v="138.62"/>
    <n v="970.34"/>
    <x v="2"/>
    <s v="Repeat Customer"/>
  </r>
  <r>
    <n v="10011"/>
    <s v="CUST128"/>
    <d v="2024-08-22T00:00:00"/>
    <s v="Beauty"/>
    <s v="East"/>
    <n v="1"/>
    <n v="403.5"/>
    <n v="403.5"/>
    <x v="0"/>
    <s v="Repeat Customer"/>
  </r>
  <r>
    <n v="10012"/>
    <s v="CUST208"/>
    <d v="2025-08-03T00:00:00"/>
    <s v="Beauty"/>
    <s v="West"/>
    <n v="6"/>
    <n v="110.25"/>
    <n v="661.5"/>
    <x v="3"/>
    <s v="Repeat Customer"/>
  </r>
  <r>
    <n v="10013"/>
    <s v="CUST173"/>
    <d v="2024-09-28T00:00:00"/>
    <s v="Sports"/>
    <s v="East"/>
    <n v="3"/>
    <n v="127.08"/>
    <n v="381.24"/>
    <x v="3"/>
    <s v="Repeat Customer"/>
  </r>
  <r>
    <n v="10014"/>
    <s v="CUST398"/>
    <d v="2025-02-12T00:00:00"/>
    <s v="Fashion"/>
    <s v="West"/>
    <n v="6"/>
    <n v="113.56"/>
    <n v="681.36"/>
    <x v="0"/>
    <s v="Repeat Customer"/>
  </r>
  <r>
    <n v="10015"/>
    <s v="CUST124"/>
    <d v="2024-04-22T00:00:00"/>
    <s v="Beauty"/>
    <s v="North"/>
    <n v="3"/>
    <n v="315.58999999999997"/>
    <n v="946.77"/>
    <x v="3"/>
    <s v="Repeat Customer"/>
  </r>
  <r>
    <n v="10016"/>
    <s v="CUST295"/>
    <d v="2025-09-02T00:00:00"/>
    <s v="Sports"/>
    <s v="North"/>
    <n v="8"/>
    <n v="266.91000000000003"/>
    <n v="2135.2800000000002"/>
    <x v="0"/>
    <s v="Repeat Customer"/>
  </r>
  <r>
    <n v="10017"/>
    <s v="CUST374"/>
    <d v="2024-09-30T00:00:00"/>
    <s v="Beauty"/>
    <s v="South"/>
    <n v="6"/>
    <n v="60.22"/>
    <n v="361.32"/>
    <x v="3"/>
    <s v="Repeat Customer"/>
  </r>
  <r>
    <n v="10018"/>
    <s v="CUST101"/>
    <d v="2024-09-26T00:00:00"/>
    <s v="Sports"/>
    <s v="North"/>
    <n v="9"/>
    <n v="382.17"/>
    <n v="3439.53"/>
    <x v="2"/>
    <s v="Repeat Customer"/>
  </r>
  <r>
    <n v="10019"/>
    <s v="CUST359"/>
    <d v="2025-09-15T00:00:00"/>
    <s v="Fashion"/>
    <s v="North"/>
    <n v="4"/>
    <n v="80.66"/>
    <n v="322.64"/>
    <x v="2"/>
    <s v="Repeat Customer"/>
  </r>
  <r>
    <n v="10020"/>
    <s v="CUST350"/>
    <d v="2024-01-20T00:00:00"/>
    <s v="Home"/>
    <s v="South"/>
    <n v="2"/>
    <n v="464.9"/>
    <n v="929.8"/>
    <x v="0"/>
    <s v="Repeat Customer"/>
  </r>
  <r>
    <n v="10021"/>
    <s v="CUST223"/>
    <d v="2025-08-03T00:00:00"/>
    <s v="Beauty"/>
    <s v="North"/>
    <n v="2"/>
    <n v="47.4"/>
    <n v="94.8"/>
    <x v="1"/>
    <s v="Repeat Customer"/>
  </r>
  <r>
    <n v="10022"/>
    <s v="CUST165"/>
    <d v="2025-11-06T00:00:00"/>
    <s v="Fashion"/>
    <s v="East"/>
    <n v="8"/>
    <n v="473.69"/>
    <n v="3789.52"/>
    <x v="3"/>
    <s v="Repeat Customer"/>
  </r>
  <r>
    <n v="10023"/>
    <s v="CUST208"/>
    <d v="2025-07-06T00:00:00"/>
    <s v="Beauty"/>
    <s v="East"/>
    <n v="4"/>
    <n v="357.91"/>
    <n v="1431.64"/>
    <x v="3"/>
    <s v="Repeat Customer"/>
  </r>
  <r>
    <n v="10024"/>
    <s v="CUST364"/>
    <d v="2025-04-07T00:00:00"/>
    <s v="Electronics"/>
    <s v="East"/>
    <n v="2"/>
    <n v="127.71"/>
    <n v="255.42"/>
    <x v="0"/>
    <s v="Repeat Customer"/>
  </r>
  <r>
    <n v="10025"/>
    <s v="CUST383"/>
    <d v="2024-08-23T00:00:00"/>
    <s v="Electronics"/>
    <s v="North"/>
    <n v="10"/>
    <n v="114.01"/>
    <n v="1140.0999999999999"/>
    <x v="1"/>
    <s v="Repeat Customer"/>
  </r>
  <r>
    <n v="10026"/>
    <s v="CUST134"/>
    <d v="2024-02-02T00:00:00"/>
    <s v="Fashion"/>
    <s v="East"/>
    <n v="6"/>
    <n v="40.07"/>
    <n v="240.42"/>
    <x v="3"/>
    <s v="Repeat Customer"/>
  </r>
  <r>
    <n v="10027"/>
    <s v="CUST209"/>
    <d v="2025-07-06T00:00:00"/>
    <s v="Sports"/>
    <s v="West"/>
    <n v="3"/>
    <n v="363.06"/>
    <n v="1089.18"/>
    <x v="1"/>
    <s v="Repeat Customer"/>
  </r>
  <r>
    <n v="10028"/>
    <s v="CUST342"/>
    <d v="2025-02-20T00:00:00"/>
    <s v="Beauty"/>
    <s v="East"/>
    <n v="4"/>
    <n v="51.69"/>
    <n v="206.76"/>
    <x v="3"/>
    <s v="Repeat Customer"/>
  </r>
  <r>
    <n v="10029"/>
    <s v="CUST310"/>
    <d v="2025-04-23T00:00:00"/>
    <s v="Electronics"/>
    <s v="North"/>
    <n v="1"/>
    <n v="338.32"/>
    <n v="338.32"/>
    <x v="3"/>
    <s v="Repeat Customer"/>
  </r>
  <r>
    <n v="10030"/>
    <s v="CUST273"/>
    <d v="2024-04-21T00:00:00"/>
    <s v="Sports"/>
    <s v="West"/>
    <n v="4"/>
    <n v="99.84"/>
    <n v="399.36"/>
    <x v="1"/>
    <s v="Repeat Customer"/>
  </r>
  <r>
    <n v="10031"/>
    <s v="CUST316"/>
    <d v="2024-07-06T00:00:00"/>
    <s v="Electronics"/>
    <s v="West"/>
    <n v="5"/>
    <n v="234"/>
    <n v="1170"/>
    <x v="0"/>
    <s v="Repeat Customer"/>
  </r>
  <r>
    <n v="10032"/>
    <s v="CUST125"/>
    <d v="2025-10-29T00:00:00"/>
    <s v="Electronics"/>
    <s v="South"/>
    <n v="9"/>
    <n v="418.83"/>
    <n v="3769.47"/>
    <x v="1"/>
    <s v="Repeat Customer"/>
  </r>
  <r>
    <n v="10033"/>
    <s v="CUST308"/>
    <d v="2025-05-12T00:00:00"/>
    <s v="Beauty"/>
    <s v="North"/>
    <n v="8"/>
    <n v="110.8"/>
    <n v="886.4"/>
    <x v="1"/>
    <s v="Repeat Customer"/>
  </r>
  <r>
    <n v="10034"/>
    <s v="CUST294"/>
    <d v="2024-01-03T00:00:00"/>
    <s v="Beauty"/>
    <s v="East"/>
    <n v="7"/>
    <n v="136.28"/>
    <n v="953.96"/>
    <x v="3"/>
    <s v="Repeat Customer"/>
  </r>
  <r>
    <n v="10035"/>
    <s v="CUST384"/>
    <d v="2025-11-08T00:00:00"/>
    <s v="Home"/>
    <s v="South"/>
    <n v="8"/>
    <n v="81.62"/>
    <n v="652.96"/>
    <x v="0"/>
    <s v="Repeat Customer"/>
  </r>
  <r>
    <n v="10036"/>
    <s v="CUST396"/>
    <d v="2025-07-09T00:00:00"/>
    <s v="Electronics"/>
    <s v="North"/>
    <n v="1"/>
    <n v="375.25"/>
    <n v="375.25"/>
    <x v="3"/>
    <s v="Repeat Customer"/>
  </r>
  <r>
    <n v="10037"/>
    <s v="CUST357"/>
    <d v="2025-06-27T00:00:00"/>
    <s v="Sports"/>
    <s v="North"/>
    <n v="3"/>
    <n v="33.159999999999997"/>
    <n v="99.48"/>
    <x v="1"/>
    <s v="Repeat Customer"/>
  </r>
  <r>
    <n v="10038"/>
    <s v="CUST135"/>
    <d v="2025-09-01T00:00:00"/>
    <s v="Fashion"/>
    <s v="West"/>
    <n v="2"/>
    <n v="339.23"/>
    <n v="678.46"/>
    <x v="0"/>
    <s v="Repeat Customer"/>
  </r>
  <r>
    <n v="10039"/>
    <s v="CUST391"/>
    <d v="2024-09-09T00:00:00"/>
    <s v="Sports"/>
    <s v="North"/>
    <n v="10"/>
    <n v="299.29000000000002"/>
    <n v="2992.9"/>
    <x v="3"/>
    <s v="Repeat Customer"/>
  </r>
  <r>
    <n v="10040"/>
    <s v="CUST398"/>
    <d v="2025-08-01T00:00:00"/>
    <s v="Home"/>
    <s v="South"/>
    <n v="9"/>
    <n v="161.6"/>
    <n v="1454.4"/>
    <x v="2"/>
    <s v="Repeat Customer"/>
  </r>
  <r>
    <n v="10041"/>
    <s v="CUST222"/>
    <d v="2024-09-28T00:00:00"/>
    <s v="Home"/>
    <s v="West"/>
    <n v="7"/>
    <n v="69.78"/>
    <n v="488.46"/>
    <x v="2"/>
    <s v="Repeat Customer"/>
  </r>
  <r>
    <n v="10042"/>
    <s v="CUST137"/>
    <d v="2024-01-10T00:00:00"/>
    <s v="Sports"/>
    <s v="North"/>
    <n v="8"/>
    <n v="312.47000000000003"/>
    <n v="2499.7600000000002"/>
    <x v="0"/>
    <s v="New Customer"/>
  </r>
  <r>
    <n v="10043"/>
    <s v="CUST375"/>
    <d v="2024-08-06T00:00:00"/>
    <s v="Home"/>
    <s v="North"/>
    <n v="9"/>
    <n v="136.27000000000001"/>
    <n v="1226.43"/>
    <x v="1"/>
    <s v="Repeat Customer"/>
  </r>
  <r>
    <n v="10044"/>
    <s v="CUST289"/>
    <d v="2024-10-18T00:00:00"/>
    <s v="Sports"/>
    <s v="East"/>
    <n v="3"/>
    <n v="221.9"/>
    <n v="665.7"/>
    <x v="0"/>
    <s v="Repeat Customer"/>
  </r>
  <r>
    <n v="10045"/>
    <s v="CUST383"/>
    <d v="2024-11-02T00:00:00"/>
    <s v="Fashion"/>
    <s v="East"/>
    <n v="2"/>
    <n v="469.77"/>
    <n v="939.54"/>
    <x v="0"/>
    <s v="Repeat Customer"/>
  </r>
  <r>
    <n v="10046"/>
    <s v="CUST154"/>
    <d v="2025-07-20T00:00:00"/>
    <s v="Sports"/>
    <s v="South"/>
    <n v="3"/>
    <n v="139.81"/>
    <n v="419.43"/>
    <x v="2"/>
    <s v="Repeat Customer"/>
  </r>
  <r>
    <n v="10047"/>
    <s v="CUST204"/>
    <d v="2025-12-04T00:00:00"/>
    <s v="Home"/>
    <s v="North"/>
    <n v="5"/>
    <n v="255.18"/>
    <n v="1275.9000000000001"/>
    <x v="0"/>
    <s v="Repeat Customer"/>
  </r>
  <r>
    <n v="10048"/>
    <s v="CUST316"/>
    <d v="2024-10-10T00:00:00"/>
    <s v="Fashion"/>
    <s v="East"/>
    <n v="1"/>
    <n v="6.76"/>
    <n v="6.76"/>
    <x v="1"/>
    <s v="Repeat Customer"/>
  </r>
  <r>
    <n v="10049"/>
    <s v="CUST326"/>
    <d v="2025-07-18T00:00:00"/>
    <s v="Electronics"/>
    <s v="North"/>
    <n v="7"/>
    <n v="282.64999999999998"/>
    <n v="1978.55"/>
    <x v="1"/>
    <s v="Repeat Customer"/>
  </r>
  <r>
    <n v="10050"/>
    <s v="CUST379"/>
    <d v="2024-02-06T00:00:00"/>
    <s v="Fashion"/>
    <s v="West"/>
    <n v="6"/>
    <n v="293.33999999999997"/>
    <n v="1760.04"/>
    <x v="1"/>
    <s v="Repeat Customer"/>
  </r>
  <r>
    <n v="10051"/>
    <s v="CUST121"/>
    <d v="2024-11-11T00:00:00"/>
    <s v="Electronics"/>
    <s v="East"/>
    <n v="6"/>
    <n v="450"/>
    <n v="2700"/>
    <x v="1"/>
    <s v="Repeat Customer"/>
  </r>
  <r>
    <n v="10052"/>
    <s v="CUST227"/>
    <d v="2025-11-13T00:00:00"/>
    <s v="Sports"/>
    <s v="West"/>
    <n v="2"/>
    <n v="180.07"/>
    <n v="360.14"/>
    <x v="1"/>
    <s v="Repeat Customer"/>
  </r>
  <r>
    <n v="10053"/>
    <s v="CUST221"/>
    <d v="2024-06-15T00:00:00"/>
    <s v="Electronics"/>
    <s v="South"/>
    <n v="3"/>
    <n v="441.3"/>
    <n v="1323.9"/>
    <x v="2"/>
    <s v="Repeat Customer"/>
  </r>
  <r>
    <n v="10054"/>
    <s v="CUST310"/>
    <d v="2025-11-16T00:00:00"/>
    <s v="Electronics"/>
    <s v="West"/>
    <n v="4"/>
    <n v="137.07"/>
    <n v="548.28"/>
    <x v="0"/>
    <s v="Repeat Customer"/>
  </r>
  <r>
    <n v="10055"/>
    <s v="CUST340"/>
    <d v="2024-08-15T00:00:00"/>
    <s v="Beauty"/>
    <s v="East"/>
    <n v="4"/>
    <n v="409.21"/>
    <n v="1636.84"/>
    <x v="2"/>
    <s v="Repeat Customer"/>
  </r>
  <r>
    <n v="10056"/>
    <s v="CUST216"/>
    <d v="2024-08-16T00:00:00"/>
    <s v="Beauty"/>
    <s v="East"/>
    <n v="1"/>
    <n v="331.72"/>
    <n v="331.72"/>
    <x v="2"/>
    <s v="Repeat Customer"/>
  </r>
  <r>
    <n v="10057"/>
    <s v="CUST135"/>
    <d v="2024-10-12T00:00:00"/>
    <s v="Beauty"/>
    <s v="East"/>
    <n v="6"/>
    <n v="322.52999999999997"/>
    <n v="1935.18"/>
    <x v="0"/>
    <s v="Repeat Customer"/>
  </r>
  <r>
    <n v="10058"/>
    <s v="CUST159"/>
    <d v="2024-09-24T00:00:00"/>
    <s v="Home"/>
    <s v="North"/>
    <n v="3"/>
    <n v="292.39"/>
    <n v="877.17"/>
    <x v="0"/>
    <s v="Repeat Customer"/>
  </r>
  <r>
    <n v="10059"/>
    <s v="CUST322"/>
    <d v="2024-12-19T00:00:00"/>
    <s v="Sports"/>
    <s v="North"/>
    <n v="6"/>
    <n v="221.01"/>
    <n v="1326.06"/>
    <x v="3"/>
    <s v="Repeat Customer"/>
  </r>
  <r>
    <n v="10060"/>
    <s v="CUST395"/>
    <d v="2024-07-13T00:00:00"/>
    <s v="Beauty"/>
    <s v="North"/>
    <n v="5"/>
    <n v="26.97"/>
    <n v="134.85"/>
    <x v="1"/>
    <s v="Repeat Customer"/>
  </r>
  <r>
    <n v="10061"/>
    <s v="CUST286"/>
    <d v="2025-03-17T00:00:00"/>
    <s v="Home"/>
    <s v="East"/>
    <n v="2"/>
    <n v="474.69"/>
    <n v="949.38"/>
    <x v="0"/>
    <s v="Repeat Customer"/>
  </r>
  <r>
    <n v="10062"/>
    <s v="CUST253"/>
    <d v="2025-06-03T00:00:00"/>
    <s v="Home"/>
    <s v="West"/>
    <n v="5"/>
    <n v="335.11"/>
    <n v="1675.55"/>
    <x v="2"/>
    <s v="Repeat Customer"/>
  </r>
  <r>
    <n v="10063"/>
    <s v="CUST383"/>
    <d v="2024-05-10T00:00:00"/>
    <s v="Beauty"/>
    <s v="South"/>
    <n v="4"/>
    <n v="213.12"/>
    <n v="852.48"/>
    <x v="2"/>
    <s v="Repeat Customer"/>
  </r>
  <r>
    <n v="10064"/>
    <s v="CUST307"/>
    <d v="2025-07-15T00:00:00"/>
    <s v="Fashion"/>
    <s v="West"/>
    <n v="1"/>
    <n v="155.41999999999999"/>
    <n v="155.41999999999999"/>
    <x v="2"/>
    <s v="Repeat Customer"/>
  </r>
  <r>
    <n v="10065"/>
    <s v="CUST338"/>
    <d v="2025-03-28T00:00:00"/>
    <s v="Sports"/>
    <s v="West"/>
    <n v="8"/>
    <n v="339.44"/>
    <n v="2715.52"/>
    <x v="1"/>
    <s v="Repeat Customer"/>
  </r>
  <r>
    <n v="10066"/>
    <s v="CUST143"/>
    <d v="2024-10-17T00:00:00"/>
    <s v="Sports"/>
    <s v="East"/>
    <n v="9"/>
    <n v="333.61"/>
    <n v="3002.49"/>
    <x v="0"/>
    <s v="Repeat Customer"/>
  </r>
  <r>
    <n v="10067"/>
    <s v="CUST220"/>
    <d v="2025-11-19T00:00:00"/>
    <s v="Fashion"/>
    <s v="South"/>
    <n v="5"/>
    <n v="116.2"/>
    <n v="581"/>
    <x v="0"/>
    <s v="Repeat Customer"/>
  </r>
  <r>
    <n v="10068"/>
    <s v="CUST123"/>
    <d v="2024-09-07T00:00:00"/>
    <s v="Electronics"/>
    <s v="West"/>
    <n v="8"/>
    <n v="307.58"/>
    <n v="2460.64"/>
    <x v="3"/>
    <s v="Repeat Customer"/>
  </r>
  <r>
    <n v="10069"/>
    <s v="CUST394"/>
    <d v="2024-07-18T00:00:00"/>
    <s v="Fashion"/>
    <s v="South"/>
    <n v="7"/>
    <n v="249.72"/>
    <n v="1748.04"/>
    <x v="0"/>
    <s v="Repeat Customer"/>
  </r>
  <r>
    <n v="10070"/>
    <s v="CUST154"/>
    <d v="2025-03-11T00:00:00"/>
    <s v="Sports"/>
    <s v="West"/>
    <n v="4"/>
    <n v="92.06"/>
    <n v="368.24"/>
    <x v="0"/>
    <s v="Repeat Customer"/>
  </r>
  <r>
    <n v="10071"/>
    <s v="CUST385"/>
    <d v="2024-09-12T00:00:00"/>
    <s v="Beauty"/>
    <s v="East"/>
    <n v="2"/>
    <n v="230.95"/>
    <n v="461.9"/>
    <x v="3"/>
    <s v="Repeat Customer"/>
  </r>
  <r>
    <n v="10072"/>
    <s v="CUST358"/>
    <d v="2025-03-12T00:00:00"/>
    <s v="Fashion"/>
    <s v="West"/>
    <n v="9"/>
    <n v="225.73"/>
    <n v="2031.57"/>
    <x v="3"/>
    <s v="Repeat Customer"/>
  </r>
  <r>
    <n v="10073"/>
    <s v="CUST232"/>
    <d v="2024-09-10T00:00:00"/>
    <s v="Sports"/>
    <s v="West"/>
    <n v="5"/>
    <n v="384.08"/>
    <n v="1920.4"/>
    <x v="1"/>
    <s v="Repeat Customer"/>
  </r>
  <r>
    <n v="10074"/>
    <s v="CUST240"/>
    <d v="2025-03-26T00:00:00"/>
    <s v="Fashion"/>
    <s v="East"/>
    <n v="2"/>
    <n v="358.2"/>
    <n v="716.4"/>
    <x v="2"/>
    <s v="Repeat Customer"/>
  </r>
  <r>
    <n v="10075"/>
    <s v="CUST263"/>
    <d v="2025-07-07T00:00:00"/>
    <s v="Fashion"/>
    <s v="West"/>
    <n v="2"/>
    <n v="73.5"/>
    <n v="147"/>
    <x v="1"/>
    <s v="Repeat Customer"/>
  </r>
  <r>
    <n v="10076"/>
    <s v="CUST209"/>
    <d v="2024-03-06T00:00:00"/>
    <s v="Sports"/>
    <s v="West"/>
    <n v="7"/>
    <n v="206.76"/>
    <n v="1447.32"/>
    <x v="3"/>
    <s v="Repeat Customer"/>
  </r>
  <r>
    <n v="10077"/>
    <s v="CUST131"/>
    <d v="2024-07-30T00:00:00"/>
    <s v="Sports"/>
    <s v="North"/>
    <n v="7"/>
    <n v="197.79"/>
    <n v="1384.53"/>
    <x v="3"/>
    <s v="Repeat Customer"/>
  </r>
  <r>
    <n v="10078"/>
    <s v="CUST344"/>
    <d v="2024-01-07T00:00:00"/>
    <s v="Beauty"/>
    <s v="West"/>
    <n v="6"/>
    <n v="152.81"/>
    <n v="916.86"/>
    <x v="1"/>
    <s v="Repeat Customer"/>
  </r>
  <r>
    <n v="10079"/>
    <s v="CUST349"/>
    <d v="2024-08-12T00:00:00"/>
    <s v="Electronics"/>
    <s v="West"/>
    <n v="5"/>
    <n v="220.74"/>
    <n v="1103.7"/>
    <x v="2"/>
    <s v="Repeat Customer"/>
  </r>
  <r>
    <n v="10080"/>
    <s v="CUST307"/>
    <d v="2024-06-18T00:00:00"/>
    <s v="Sports"/>
    <s v="North"/>
    <n v="8"/>
    <n v="460.17"/>
    <n v="3681.36"/>
    <x v="3"/>
    <s v="Repeat Customer"/>
  </r>
  <r>
    <n v="10081"/>
    <s v="CUST388"/>
    <d v="2025-11-09T00:00:00"/>
    <s v="Beauty"/>
    <s v="South"/>
    <n v="1"/>
    <n v="46.55"/>
    <n v="46.55"/>
    <x v="3"/>
    <s v="Repeat Customer"/>
  </r>
  <r>
    <n v="10082"/>
    <s v="CUST193"/>
    <d v="2024-02-21T00:00:00"/>
    <s v="Fashion"/>
    <s v="West"/>
    <n v="5"/>
    <n v="192.66"/>
    <n v="963.3"/>
    <x v="2"/>
    <s v="Repeat Customer"/>
  </r>
  <r>
    <n v="10083"/>
    <s v="CUST272"/>
    <d v="2025-01-23T00:00:00"/>
    <s v="Beauty"/>
    <s v="East"/>
    <n v="5"/>
    <n v="377.24"/>
    <n v="1886.2"/>
    <x v="0"/>
    <s v="Repeat Customer"/>
  </r>
  <r>
    <n v="10084"/>
    <s v="CUST340"/>
    <d v="2024-01-20T00:00:00"/>
    <s v="Home"/>
    <s v="South"/>
    <n v="9"/>
    <n v="30.78"/>
    <n v="277.02"/>
    <x v="0"/>
    <s v="Repeat Customer"/>
  </r>
  <r>
    <n v="10085"/>
    <s v="CUST120"/>
    <d v="2024-02-01T00:00:00"/>
    <s v="Electronics"/>
    <s v="South"/>
    <n v="4"/>
    <n v="103.68"/>
    <n v="414.72"/>
    <x v="1"/>
    <s v="Repeat Customer"/>
  </r>
  <r>
    <n v="10086"/>
    <s v="CUST164"/>
    <d v="2025-04-29T00:00:00"/>
    <s v="Fashion"/>
    <s v="West"/>
    <n v="2"/>
    <n v="284.16000000000003"/>
    <n v="568.32000000000005"/>
    <x v="2"/>
    <s v="Repeat Customer"/>
  </r>
  <r>
    <n v="10087"/>
    <s v="CUST288"/>
    <d v="2024-06-20T00:00:00"/>
    <s v="Electronics"/>
    <s v="South"/>
    <n v="10"/>
    <n v="305.58999999999997"/>
    <n v="3055.9"/>
    <x v="2"/>
    <s v="Repeat Customer"/>
  </r>
  <r>
    <n v="10088"/>
    <s v="CUST155"/>
    <d v="2025-08-15T00:00:00"/>
    <s v="Sports"/>
    <s v="West"/>
    <n v="1"/>
    <n v="464.8"/>
    <n v="464.8"/>
    <x v="3"/>
    <s v="Repeat Customer"/>
  </r>
  <r>
    <n v="10089"/>
    <s v="CUST201"/>
    <d v="2024-03-18T00:00:00"/>
    <s v="Fashion"/>
    <s v="North"/>
    <n v="10"/>
    <n v="346.85"/>
    <n v="3468.5"/>
    <x v="2"/>
    <s v="Repeat Customer"/>
  </r>
  <r>
    <n v="10090"/>
    <s v="CUST161"/>
    <d v="2025-08-02T00:00:00"/>
    <s v="Beauty"/>
    <s v="East"/>
    <n v="1"/>
    <n v="176.87"/>
    <n v="176.87"/>
    <x v="0"/>
    <s v="Repeat Customer"/>
  </r>
  <r>
    <n v="10091"/>
    <s v="CUST359"/>
    <d v="2025-10-25T00:00:00"/>
    <s v="Beauty"/>
    <s v="West"/>
    <n v="6"/>
    <n v="11.26"/>
    <n v="67.56"/>
    <x v="0"/>
    <s v="Repeat Customer"/>
  </r>
  <r>
    <n v="10092"/>
    <s v="CUST321"/>
    <d v="2025-01-05T00:00:00"/>
    <s v="Beauty"/>
    <s v="South"/>
    <n v="8"/>
    <n v="355.12"/>
    <n v="2840.96"/>
    <x v="2"/>
    <s v="New Customer"/>
  </r>
  <r>
    <n v="10093"/>
    <s v="CUST375"/>
    <d v="2025-05-10T00:00:00"/>
    <s v="Sports"/>
    <s v="East"/>
    <n v="8"/>
    <n v="220.61"/>
    <n v="1764.88"/>
    <x v="2"/>
    <s v="Repeat Customer"/>
  </r>
  <r>
    <n v="10094"/>
    <s v="CUST225"/>
    <d v="2024-03-29T00:00:00"/>
    <s v="Fashion"/>
    <s v="West"/>
    <n v="5"/>
    <n v="441.41"/>
    <n v="2207.0500000000002"/>
    <x v="3"/>
    <s v="Repeat Customer"/>
  </r>
  <r>
    <n v="10095"/>
    <s v="CUST272"/>
    <d v="2024-01-30T00:00:00"/>
    <s v="Fashion"/>
    <s v="West"/>
    <n v="8"/>
    <n v="426.22"/>
    <n v="3409.76"/>
    <x v="1"/>
    <s v="Repeat Customer"/>
  </r>
  <r>
    <n v="10096"/>
    <s v="CUST281"/>
    <d v="2024-09-21T00:00:00"/>
    <s v="Sports"/>
    <s v="East"/>
    <n v="6"/>
    <n v="143.43"/>
    <n v="860.58"/>
    <x v="0"/>
    <s v="Repeat Customer"/>
  </r>
  <r>
    <n v="10097"/>
    <s v="CUST364"/>
    <d v="2024-07-14T00:00:00"/>
    <s v="Beauty"/>
    <s v="West"/>
    <n v="2"/>
    <n v="124.47"/>
    <n v="248.94"/>
    <x v="1"/>
    <s v="Repeat Customer"/>
  </r>
  <r>
    <n v="10098"/>
    <s v="CUST343"/>
    <d v="2025-10-23T00:00:00"/>
    <s v="Electronics"/>
    <s v="North"/>
    <n v="8"/>
    <n v="226.85"/>
    <n v="1814.8"/>
    <x v="2"/>
    <s v="Repeat Customer"/>
  </r>
  <r>
    <n v="10099"/>
    <s v="CUST213"/>
    <d v="2025-02-18T00:00:00"/>
    <s v="Sports"/>
    <s v="East"/>
    <n v="4"/>
    <n v="156.57"/>
    <n v="626.28"/>
    <x v="3"/>
    <s v="Repeat Customer"/>
  </r>
  <r>
    <n v="10100"/>
    <s v="CUST383"/>
    <d v="2025-06-27T00:00:00"/>
    <s v="Sports"/>
    <s v="East"/>
    <n v="6"/>
    <n v="215.62"/>
    <n v="1293.72"/>
    <x v="2"/>
    <s v="Repeat Customer"/>
  </r>
  <r>
    <n v="10101"/>
    <s v="CUST332"/>
    <d v="2024-10-04T00:00:00"/>
    <s v="Electronics"/>
    <s v="South"/>
    <n v="5"/>
    <n v="129.44"/>
    <n v="647.20000000000005"/>
    <x v="2"/>
    <s v="Repeat Customer"/>
  </r>
  <r>
    <n v="10102"/>
    <s v="CUST161"/>
    <d v="2025-07-02T00:00:00"/>
    <s v="Beauty"/>
    <s v="East"/>
    <n v="3"/>
    <n v="99.81"/>
    <n v="299.43"/>
    <x v="2"/>
    <s v="Repeat Customer"/>
  </r>
  <r>
    <n v="10103"/>
    <s v="CUST151"/>
    <d v="2024-07-17T00:00:00"/>
    <s v="Fashion"/>
    <s v="East"/>
    <n v="5"/>
    <n v="117.6"/>
    <n v="588"/>
    <x v="0"/>
    <s v="Repeat Customer"/>
  </r>
  <r>
    <n v="10104"/>
    <s v="CUST373"/>
    <d v="2024-05-09T00:00:00"/>
    <s v="Electronics"/>
    <s v="East"/>
    <n v="5"/>
    <n v="27.53"/>
    <n v="137.65"/>
    <x v="1"/>
    <s v="Repeat Customer"/>
  </r>
  <r>
    <n v="10105"/>
    <s v="CUST351"/>
    <d v="2024-04-15T00:00:00"/>
    <s v="Beauty"/>
    <s v="West"/>
    <n v="1"/>
    <n v="289.16000000000003"/>
    <n v="289.16000000000003"/>
    <x v="3"/>
    <s v="Repeat Customer"/>
  </r>
  <r>
    <n v="10106"/>
    <s v="CUST274"/>
    <d v="2024-07-07T00:00:00"/>
    <s v="Beauty"/>
    <s v="North"/>
    <n v="1"/>
    <n v="129.97999999999999"/>
    <n v="129.97999999999999"/>
    <x v="0"/>
    <s v="Repeat Customer"/>
  </r>
  <r>
    <n v="10107"/>
    <s v="CUST305"/>
    <d v="2025-05-18T00:00:00"/>
    <s v="Electronics"/>
    <s v="South"/>
    <n v="2"/>
    <n v="290.63"/>
    <n v="581.26"/>
    <x v="1"/>
    <s v="Repeat Customer"/>
  </r>
  <r>
    <n v="10108"/>
    <s v="CUST388"/>
    <d v="2024-11-07T00:00:00"/>
    <s v="Electronics"/>
    <s v="West"/>
    <n v="2"/>
    <n v="496.99"/>
    <n v="993.98"/>
    <x v="1"/>
    <s v="Repeat Customer"/>
  </r>
  <r>
    <n v="10109"/>
    <s v="CUST367"/>
    <d v="2025-01-24T00:00:00"/>
    <s v="Home"/>
    <s v="West"/>
    <n v="8"/>
    <n v="454.71"/>
    <n v="3637.68"/>
    <x v="2"/>
    <s v="Repeat Customer"/>
  </r>
  <r>
    <n v="10110"/>
    <s v="CUST391"/>
    <d v="2025-09-27T00:00:00"/>
    <s v="Electronics"/>
    <s v="South"/>
    <n v="1"/>
    <n v="306.77"/>
    <n v="306.77"/>
    <x v="1"/>
    <s v="Repeat Customer"/>
  </r>
  <r>
    <n v="10111"/>
    <s v="CUST235"/>
    <d v="2025-11-07T00:00:00"/>
    <s v="Fashion"/>
    <s v="North"/>
    <n v="2"/>
    <n v="82.74"/>
    <n v="165.48"/>
    <x v="1"/>
    <s v="Repeat Customer"/>
  </r>
  <r>
    <n v="10112"/>
    <s v="CUST101"/>
    <d v="2025-02-22T00:00:00"/>
    <s v="Beauty"/>
    <s v="East"/>
    <n v="8"/>
    <n v="346.24"/>
    <n v="2769.92"/>
    <x v="0"/>
    <s v="Repeat Customer"/>
  </r>
  <r>
    <n v="10113"/>
    <s v="CUST218"/>
    <d v="2024-10-22T00:00:00"/>
    <s v="Beauty"/>
    <s v="North"/>
    <n v="5"/>
    <n v="352.98"/>
    <n v="1764.9"/>
    <x v="1"/>
    <s v="Repeat Customer"/>
  </r>
  <r>
    <n v="10114"/>
    <s v="CUST235"/>
    <d v="2025-10-02T00:00:00"/>
    <s v="Fashion"/>
    <s v="West"/>
    <n v="10"/>
    <n v="332.29"/>
    <n v="3322.9"/>
    <x v="0"/>
    <s v="Repeat Customer"/>
  </r>
  <r>
    <n v="10115"/>
    <s v="CUST378"/>
    <d v="2024-08-18T00:00:00"/>
    <s v="Fashion"/>
    <s v="North"/>
    <n v="3"/>
    <n v="454.66"/>
    <n v="1363.98"/>
    <x v="0"/>
    <s v="Repeat Customer"/>
  </r>
  <r>
    <n v="10116"/>
    <s v="CUST184"/>
    <d v="2024-11-10T00:00:00"/>
    <s v="Sports"/>
    <s v="East"/>
    <n v="10"/>
    <n v="375.73"/>
    <n v="3757.3"/>
    <x v="3"/>
    <s v="Repeat Customer"/>
  </r>
  <r>
    <n v="10117"/>
    <s v="CUST163"/>
    <d v="2025-04-24T00:00:00"/>
    <s v="Home"/>
    <s v="West"/>
    <n v="5"/>
    <n v="351.37"/>
    <n v="1756.85"/>
    <x v="3"/>
    <s v="Repeat Customer"/>
  </r>
  <r>
    <n v="10118"/>
    <s v="CUST141"/>
    <d v="2025-09-04T00:00:00"/>
    <s v="Home"/>
    <s v="East"/>
    <n v="1"/>
    <n v="445.26"/>
    <n v="445.26"/>
    <x v="0"/>
    <s v="Repeat Customer"/>
  </r>
  <r>
    <n v="10119"/>
    <s v="CUST146"/>
    <d v="2024-08-22T00:00:00"/>
    <s v="Electronics"/>
    <s v="East"/>
    <n v="10"/>
    <n v="295.63"/>
    <n v="2956.3"/>
    <x v="0"/>
    <s v="Repeat Customer"/>
  </r>
  <r>
    <n v="10120"/>
    <s v="CUST189"/>
    <d v="2025-04-26T00:00:00"/>
    <s v="Home"/>
    <s v="South"/>
    <n v="9"/>
    <n v="327.5"/>
    <n v="2947.5"/>
    <x v="3"/>
    <s v="Repeat Customer"/>
  </r>
  <r>
    <n v="10121"/>
    <s v="CUST351"/>
    <d v="2024-04-03T00:00:00"/>
    <s v="Home"/>
    <s v="East"/>
    <n v="8"/>
    <n v="177.24"/>
    <n v="1417.92"/>
    <x v="0"/>
    <s v="Repeat Customer"/>
  </r>
  <r>
    <n v="10122"/>
    <s v="CUST182"/>
    <d v="2024-12-03T00:00:00"/>
    <s v="Home"/>
    <s v="West"/>
    <n v="7"/>
    <n v="348.37"/>
    <n v="2438.59"/>
    <x v="0"/>
    <s v="Repeat Customer"/>
  </r>
  <r>
    <n v="10123"/>
    <s v="CUST332"/>
    <d v="2024-03-31T00:00:00"/>
    <s v="Electronics"/>
    <s v="West"/>
    <n v="6"/>
    <n v="129.94"/>
    <n v="779.64"/>
    <x v="0"/>
    <s v="Repeat Customer"/>
  </r>
  <r>
    <n v="10124"/>
    <s v="CUST377"/>
    <d v="2025-04-18T00:00:00"/>
    <s v="Sports"/>
    <s v="East"/>
    <n v="7"/>
    <n v="31.83"/>
    <n v="222.81"/>
    <x v="3"/>
    <s v="Repeat Customer"/>
  </r>
  <r>
    <n v="10125"/>
    <s v="CUST326"/>
    <d v="2024-02-22T00:00:00"/>
    <s v="Fashion"/>
    <s v="East"/>
    <n v="4"/>
    <n v="137.19"/>
    <n v="548.76"/>
    <x v="3"/>
    <s v="Repeat Customer"/>
  </r>
  <r>
    <n v="10126"/>
    <s v="CUST348"/>
    <d v="2024-05-04T00:00:00"/>
    <s v="Sports"/>
    <s v="South"/>
    <n v="1"/>
    <n v="486.71"/>
    <n v="486.71"/>
    <x v="1"/>
    <s v="Repeat Customer"/>
  </r>
  <r>
    <n v="10127"/>
    <s v="CUST259"/>
    <d v="2025-07-18T00:00:00"/>
    <s v="Electronics"/>
    <s v="South"/>
    <n v="1"/>
    <n v="278.36"/>
    <n v="278.36"/>
    <x v="0"/>
    <s v="Repeat Customer"/>
  </r>
  <r>
    <n v="10128"/>
    <s v="CUST336"/>
    <d v="2024-04-30T00:00:00"/>
    <s v="Home"/>
    <s v="East"/>
    <n v="3"/>
    <n v="251.7"/>
    <n v="755.1"/>
    <x v="3"/>
    <s v="Repeat Customer"/>
  </r>
  <r>
    <n v="10129"/>
    <s v="CUST347"/>
    <d v="2025-04-28T00:00:00"/>
    <s v="Fashion"/>
    <s v="West"/>
    <n v="4"/>
    <n v="231.11"/>
    <n v="924.44"/>
    <x v="1"/>
    <s v="Repeat Customer"/>
  </r>
  <r>
    <n v="10130"/>
    <s v="CUST360"/>
    <d v="2024-05-19T00:00:00"/>
    <s v="Beauty"/>
    <s v="East"/>
    <n v="2"/>
    <n v="141.74"/>
    <n v="283.48"/>
    <x v="2"/>
    <s v="Repeat Customer"/>
  </r>
  <r>
    <n v="10131"/>
    <s v="CUST101"/>
    <d v="2024-10-16T00:00:00"/>
    <s v="Sports"/>
    <s v="West"/>
    <n v="5"/>
    <n v="419.55"/>
    <n v="2097.75"/>
    <x v="1"/>
    <s v="Repeat Customer"/>
  </r>
  <r>
    <n v="10132"/>
    <s v="CUST328"/>
    <d v="2025-07-05T00:00:00"/>
    <s v="Sports"/>
    <s v="West"/>
    <n v="8"/>
    <n v="175.84"/>
    <n v="1406.72"/>
    <x v="3"/>
    <s v="Repeat Customer"/>
  </r>
  <r>
    <n v="10133"/>
    <s v="CUST264"/>
    <d v="2024-07-12T00:00:00"/>
    <s v="Fashion"/>
    <s v="West"/>
    <n v="4"/>
    <n v="288.04000000000002"/>
    <n v="1152.1600000000001"/>
    <x v="0"/>
    <s v="Repeat Customer"/>
  </r>
  <r>
    <n v="10134"/>
    <s v="CUST262"/>
    <d v="2025-04-29T00:00:00"/>
    <s v="Fashion"/>
    <s v="West"/>
    <n v="7"/>
    <n v="196.11"/>
    <n v="1372.77"/>
    <x v="0"/>
    <s v="Repeat Customer"/>
  </r>
  <r>
    <n v="10135"/>
    <s v="CUST164"/>
    <d v="2025-05-29T00:00:00"/>
    <s v="Electronics"/>
    <s v="West"/>
    <n v="10"/>
    <n v="169.34"/>
    <n v="1693.4"/>
    <x v="0"/>
    <s v="Repeat Customer"/>
  </r>
  <r>
    <n v="10136"/>
    <s v="CUST369"/>
    <d v="2025-04-12T00:00:00"/>
    <s v="Beauty"/>
    <s v="South"/>
    <n v="1"/>
    <n v="362.61"/>
    <n v="362.61"/>
    <x v="0"/>
    <s v="Repeat Customer"/>
  </r>
  <r>
    <n v="10137"/>
    <s v="CUST340"/>
    <d v="2024-09-28T00:00:00"/>
    <s v="Beauty"/>
    <s v="North"/>
    <n v="6"/>
    <n v="313.51"/>
    <n v="1881.06"/>
    <x v="2"/>
    <s v="Repeat Customer"/>
  </r>
  <r>
    <n v="10138"/>
    <s v="CUST373"/>
    <d v="2025-01-24T00:00:00"/>
    <s v="Beauty"/>
    <s v="North"/>
    <n v="6"/>
    <n v="315.27"/>
    <n v="1891.62"/>
    <x v="0"/>
    <s v="Repeat Customer"/>
  </r>
  <r>
    <n v="10139"/>
    <s v="CUST220"/>
    <d v="2025-10-08T00:00:00"/>
    <s v="Electronics"/>
    <s v="West"/>
    <n v="5"/>
    <n v="498.73"/>
    <n v="2493.65"/>
    <x v="0"/>
    <s v="Repeat Customer"/>
  </r>
  <r>
    <n v="10140"/>
    <s v="CUST151"/>
    <d v="2025-03-30T00:00:00"/>
    <s v="Electronics"/>
    <s v="North"/>
    <n v="3"/>
    <n v="348.53"/>
    <n v="1045.5899999999999"/>
    <x v="2"/>
    <s v="Repeat Customer"/>
  </r>
  <r>
    <n v="10141"/>
    <s v="CUST128"/>
    <d v="2024-10-27T00:00:00"/>
    <s v="Fashion"/>
    <s v="South"/>
    <n v="6"/>
    <n v="190.55"/>
    <n v="1143.3"/>
    <x v="3"/>
    <s v="Repeat Customer"/>
  </r>
  <r>
    <n v="10142"/>
    <s v="CUST389"/>
    <d v="2025-11-29T00:00:00"/>
    <s v="Electronics"/>
    <s v="West"/>
    <n v="3"/>
    <n v="89.14"/>
    <n v="267.42"/>
    <x v="1"/>
    <s v="Repeat Customer"/>
  </r>
  <r>
    <n v="10143"/>
    <s v="CUST354"/>
    <d v="2025-08-20T00:00:00"/>
    <s v="Home"/>
    <s v="West"/>
    <n v="3"/>
    <n v="119.93"/>
    <n v="359.79"/>
    <x v="2"/>
    <s v="Repeat Customer"/>
  </r>
  <r>
    <n v="10144"/>
    <s v="CUST104"/>
    <d v="2025-04-21T00:00:00"/>
    <s v="Fashion"/>
    <s v="North"/>
    <n v="5"/>
    <n v="340.42"/>
    <n v="1702.1"/>
    <x v="3"/>
    <s v="Repeat Customer"/>
  </r>
  <r>
    <n v="10145"/>
    <s v="CUST276"/>
    <d v="2025-08-24T00:00:00"/>
    <s v="Beauty"/>
    <s v="East"/>
    <n v="5"/>
    <n v="321.27"/>
    <n v="1606.35"/>
    <x v="3"/>
    <s v="Repeat Customer"/>
  </r>
  <r>
    <n v="10146"/>
    <s v="CUST254"/>
    <d v="2024-07-22T00:00:00"/>
    <s v="Electronics"/>
    <s v="South"/>
    <n v="7"/>
    <n v="427.4"/>
    <n v="2991.8"/>
    <x v="3"/>
    <s v="Repeat Customer"/>
  </r>
  <r>
    <n v="10147"/>
    <s v="CUST392"/>
    <d v="2025-01-02T00:00:00"/>
    <s v="Home"/>
    <s v="North"/>
    <n v="10"/>
    <n v="151.46"/>
    <n v="1514.6"/>
    <x v="3"/>
    <s v="Repeat Customer"/>
  </r>
  <r>
    <n v="10148"/>
    <s v="CUST240"/>
    <d v="2024-01-09T00:00:00"/>
    <s v="Electronics"/>
    <s v="West"/>
    <n v="10"/>
    <n v="433.21"/>
    <n v="4332.1000000000004"/>
    <x v="2"/>
    <s v="Repeat Customer"/>
  </r>
  <r>
    <n v="10149"/>
    <s v="CUST217"/>
    <d v="2025-09-13T00:00:00"/>
    <s v="Fashion"/>
    <s v="East"/>
    <n v="6"/>
    <n v="113.41"/>
    <n v="680.46"/>
    <x v="1"/>
    <s v="Repeat Customer"/>
  </r>
  <r>
    <n v="10150"/>
    <s v="CUST149"/>
    <d v="2025-10-04T00:00:00"/>
    <s v="Beauty"/>
    <s v="North"/>
    <n v="1"/>
    <n v="157.91999999999999"/>
    <n v="157.91999999999999"/>
    <x v="2"/>
    <s v="Repeat Customer"/>
  </r>
  <r>
    <n v="10151"/>
    <s v="CUST167"/>
    <d v="2024-04-02T00:00:00"/>
    <s v="Beauty"/>
    <s v="South"/>
    <n v="5"/>
    <n v="166.73"/>
    <n v="833.65"/>
    <x v="1"/>
    <s v="Repeat Customer"/>
  </r>
  <r>
    <n v="10152"/>
    <s v="CUST167"/>
    <d v="2025-07-06T00:00:00"/>
    <s v="Home"/>
    <s v="South"/>
    <n v="6"/>
    <n v="267.77"/>
    <n v="1606.62"/>
    <x v="2"/>
    <s v="Repeat Customer"/>
  </r>
  <r>
    <n v="10153"/>
    <s v="CUST346"/>
    <d v="2024-10-29T00:00:00"/>
    <s v="Beauty"/>
    <s v="North"/>
    <n v="6"/>
    <n v="403.1"/>
    <n v="2418.6"/>
    <x v="1"/>
    <s v="Repeat Customer"/>
  </r>
  <r>
    <n v="10154"/>
    <s v="CUST215"/>
    <d v="2025-11-23T00:00:00"/>
    <s v="Sports"/>
    <s v="East"/>
    <n v="7"/>
    <n v="483.8"/>
    <n v="3386.6"/>
    <x v="0"/>
    <s v="Repeat Customer"/>
  </r>
  <r>
    <n v="10155"/>
    <s v="CUST302"/>
    <d v="2024-01-15T00:00:00"/>
    <s v="Beauty"/>
    <s v="East"/>
    <n v="5"/>
    <n v="270.60000000000002"/>
    <n v="1353"/>
    <x v="2"/>
    <s v="Repeat Customer"/>
  </r>
  <r>
    <n v="10156"/>
    <s v="CUST399"/>
    <d v="2025-01-25T00:00:00"/>
    <s v="Fashion"/>
    <s v="West"/>
    <n v="6"/>
    <n v="58.63"/>
    <n v="351.78"/>
    <x v="0"/>
    <s v="Repeat Customer"/>
  </r>
  <r>
    <n v="10157"/>
    <s v="CUST387"/>
    <d v="2024-12-01T00:00:00"/>
    <s v="Electronics"/>
    <s v="West"/>
    <n v="10"/>
    <n v="114.58"/>
    <n v="1145.8"/>
    <x v="2"/>
    <s v="Repeat Customer"/>
  </r>
  <r>
    <n v="10158"/>
    <s v="CUST309"/>
    <d v="2024-04-29T00:00:00"/>
    <s v="Electronics"/>
    <s v="East"/>
    <n v="3"/>
    <n v="27.45"/>
    <n v="82.35"/>
    <x v="3"/>
    <s v="Repeat Customer"/>
  </r>
  <r>
    <n v="10159"/>
    <s v="CUST159"/>
    <d v="2024-04-09T00:00:00"/>
    <s v="Fashion"/>
    <s v="West"/>
    <n v="4"/>
    <n v="444.19"/>
    <n v="1776.76"/>
    <x v="3"/>
    <s v="Repeat Customer"/>
  </r>
  <r>
    <n v="10160"/>
    <s v="CUST289"/>
    <d v="2025-11-17T00:00:00"/>
    <s v="Fashion"/>
    <s v="West"/>
    <n v="9"/>
    <n v="212.47"/>
    <n v="1912.23"/>
    <x v="0"/>
    <s v="Repeat Customer"/>
  </r>
  <r>
    <n v="10161"/>
    <s v="CUST350"/>
    <d v="2025-09-22T00:00:00"/>
    <s v="Home"/>
    <s v="North"/>
    <n v="7"/>
    <n v="469.83"/>
    <n v="3288.81"/>
    <x v="2"/>
    <s v="Repeat Customer"/>
  </r>
  <r>
    <n v="10162"/>
    <s v="CUST211"/>
    <d v="2025-03-30T00:00:00"/>
    <s v="Home"/>
    <s v="North"/>
    <n v="8"/>
    <n v="475.52"/>
    <n v="3804.16"/>
    <x v="2"/>
    <s v="Repeat Customer"/>
  </r>
  <r>
    <n v="10163"/>
    <s v="CUST378"/>
    <d v="2025-10-22T00:00:00"/>
    <s v="Home"/>
    <s v="South"/>
    <n v="6"/>
    <n v="34.97"/>
    <n v="209.82"/>
    <x v="0"/>
    <s v="Repeat Customer"/>
  </r>
  <r>
    <n v="10164"/>
    <s v="CUST332"/>
    <d v="2024-04-03T00:00:00"/>
    <s v="Sports"/>
    <s v="North"/>
    <n v="4"/>
    <n v="322.64"/>
    <n v="1290.56"/>
    <x v="0"/>
    <s v="Repeat Customer"/>
  </r>
  <r>
    <n v="10165"/>
    <s v="CUST270"/>
    <d v="2024-09-06T00:00:00"/>
    <s v="Fashion"/>
    <s v="North"/>
    <n v="3"/>
    <n v="394.55"/>
    <n v="1183.6500000000001"/>
    <x v="1"/>
    <s v="Repeat Customer"/>
  </r>
  <r>
    <n v="10166"/>
    <s v="CUST210"/>
    <d v="2024-08-26T00:00:00"/>
    <s v="Sports"/>
    <s v="North"/>
    <n v="6"/>
    <n v="388.31"/>
    <n v="2329.86"/>
    <x v="2"/>
    <s v="Repeat Customer"/>
  </r>
  <r>
    <n v="10167"/>
    <s v="CUST174"/>
    <d v="2024-05-13T00:00:00"/>
    <s v="Fashion"/>
    <s v="North"/>
    <n v="9"/>
    <n v="129.07"/>
    <n v="1161.6300000000001"/>
    <x v="0"/>
    <s v="Repeat Customer"/>
  </r>
  <r>
    <n v="10168"/>
    <s v="CUST167"/>
    <d v="2024-01-16T00:00:00"/>
    <s v="Fashion"/>
    <s v="East"/>
    <n v="6"/>
    <n v="396.04"/>
    <n v="2376.2399999999998"/>
    <x v="0"/>
    <s v="Repeat Customer"/>
  </r>
  <r>
    <n v="10169"/>
    <s v="CUST189"/>
    <d v="2024-09-28T00:00:00"/>
    <s v="Beauty"/>
    <s v="North"/>
    <n v="1"/>
    <n v="67.75"/>
    <n v="67.75"/>
    <x v="0"/>
    <s v="Repeat Customer"/>
  </r>
  <r>
    <n v="10170"/>
    <s v="CUST343"/>
    <d v="2025-04-04T00:00:00"/>
    <s v="Electronics"/>
    <s v="West"/>
    <n v="6"/>
    <n v="259.05"/>
    <n v="1554.3"/>
    <x v="1"/>
    <s v="Repeat Customer"/>
  </r>
  <r>
    <n v="10171"/>
    <s v="CUST122"/>
    <d v="2025-11-05T00:00:00"/>
    <s v="Electronics"/>
    <s v="North"/>
    <n v="9"/>
    <n v="154.31"/>
    <n v="1388.79"/>
    <x v="3"/>
    <s v="Repeat Customer"/>
  </r>
  <r>
    <n v="10172"/>
    <s v="CUST305"/>
    <d v="2025-03-12T00:00:00"/>
    <s v="Beauty"/>
    <s v="North"/>
    <n v="2"/>
    <n v="247.68"/>
    <n v="495.36"/>
    <x v="0"/>
    <s v="Repeat Customer"/>
  </r>
  <r>
    <n v="10173"/>
    <s v="CUST264"/>
    <d v="2025-09-14T00:00:00"/>
    <s v="Home"/>
    <s v="East"/>
    <n v="3"/>
    <n v="37.51"/>
    <n v="112.53"/>
    <x v="3"/>
    <s v="Repeat Customer"/>
  </r>
  <r>
    <n v="10174"/>
    <s v="CUST371"/>
    <d v="2024-10-28T00:00:00"/>
    <s v="Beauty"/>
    <s v="North"/>
    <n v="8"/>
    <n v="255.25"/>
    <n v="2042"/>
    <x v="0"/>
    <s v="Repeat Customer"/>
  </r>
  <r>
    <n v="10175"/>
    <s v="CUST382"/>
    <d v="2024-08-08T00:00:00"/>
    <s v="Fashion"/>
    <s v="West"/>
    <n v="7"/>
    <n v="228.52"/>
    <n v="1599.64"/>
    <x v="2"/>
    <s v="Repeat Customer"/>
  </r>
  <r>
    <n v="10176"/>
    <s v="CUST332"/>
    <d v="2025-02-12T00:00:00"/>
    <s v="Home"/>
    <s v="West"/>
    <n v="7"/>
    <n v="366.16"/>
    <n v="2563.12"/>
    <x v="2"/>
    <s v="Repeat Customer"/>
  </r>
  <r>
    <n v="10177"/>
    <s v="CUST230"/>
    <d v="2025-01-18T00:00:00"/>
    <s v="Beauty"/>
    <s v="North"/>
    <n v="3"/>
    <n v="344.98"/>
    <n v="1034.94"/>
    <x v="0"/>
    <s v="Repeat Customer"/>
  </r>
  <r>
    <n v="10178"/>
    <s v="CUST143"/>
    <d v="2024-04-05T00:00:00"/>
    <s v="Home"/>
    <s v="South"/>
    <n v="7"/>
    <n v="52.8"/>
    <n v="369.6"/>
    <x v="0"/>
    <s v="Repeat Customer"/>
  </r>
  <r>
    <n v="10179"/>
    <s v="CUST387"/>
    <d v="2025-07-29T00:00:00"/>
    <s v="Beauty"/>
    <s v="East"/>
    <n v="6"/>
    <n v="336.66"/>
    <n v="2019.96"/>
    <x v="3"/>
    <s v="Repeat Customer"/>
  </r>
  <r>
    <n v="10180"/>
    <s v="CUST126"/>
    <d v="2024-10-21T00:00:00"/>
    <s v="Electronics"/>
    <s v="South"/>
    <n v="10"/>
    <n v="159.66"/>
    <n v="1596.6"/>
    <x v="1"/>
    <s v="Repeat Customer"/>
  </r>
  <r>
    <n v="10181"/>
    <s v="CUST346"/>
    <d v="2024-08-17T00:00:00"/>
    <s v="Sports"/>
    <s v="East"/>
    <n v="2"/>
    <n v="178.31"/>
    <n v="356.62"/>
    <x v="0"/>
    <s v="Repeat Customer"/>
  </r>
  <r>
    <n v="10182"/>
    <s v="CUST242"/>
    <d v="2025-08-10T00:00:00"/>
    <s v="Sports"/>
    <s v="North"/>
    <n v="4"/>
    <n v="404.57"/>
    <n v="1618.28"/>
    <x v="2"/>
    <s v="Repeat Customer"/>
  </r>
  <r>
    <n v="10183"/>
    <s v="CUST114"/>
    <d v="2024-07-03T00:00:00"/>
    <s v="Home"/>
    <s v="East"/>
    <n v="5"/>
    <n v="352.84"/>
    <n v="1764.2"/>
    <x v="2"/>
    <s v="Repeat Customer"/>
  </r>
  <r>
    <n v="10184"/>
    <s v="CUST103"/>
    <d v="2024-07-04T00:00:00"/>
    <s v="Beauty"/>
    <s v="North"/>
    <n v="3"/>
    <n v="285.33"/>
    <n v="855.99"/>
    <x v="1"/>
    <s v="Repeat Customer"/>
  </r>
  <r>
    <n v="10185"/>
    <s v="CUST115"/>
    <d v="2024-04-03T00:00:00"/>
    <s v="Beauty"/>
    <s v="West"/>
    <n v="9"/>
    <n v="111.49"/>
    <n v="1003.41"/>
    <x v="2"/>
    <s v="Repeat Customer"/>
  </r>
  <r>
    <n v="10186"/>
    <s v="CUST180"/>
    <d v="2025-01-13T00:00:00"/>
    <s v="Sports"/>
    <s v="North"/>
    <n v="5"/>
    <n v="362.19"/>
    <n v="1810.95"/>
    <x v="0"/>
    <s v="Repeat Customer"/>
  </r>
  <r>
    <n v="10187"/>
    <s v="CUST179"/>
    <d v="2024-06-10T00:00:00"/>
    <s v="Electronics"/>
    <s v="East"/>
    <n v="10"/>
    <n v="29.63"/>
    <n v="296.3"/>
    <x v="3"/>
    <s v="Repeat Customer"/>
  </r>
  <r>
    <n v="10188"/>
    <s v="CUST317"/>
    <d v="2025-05-12T00:00:00"/>
    <s v="Home"/>
    <s v="South"/>
    <n v="10"/>
    <n v="223.81"/>
    <n v="2238.1"/>
    <x v="0"/>
    <s v="Repeat Customer"/>
  </r>
  <r>
    <n v="10189"/>
    <s v="CUST276"/>
    <d v="2025-03-16T00:00:00"/>
    <s v="Sports"/>
    <s v="West"/>
    <n v="2"/>
    <n v="145.21"/>
    <n v="290.42"/>
    <x v="2"/>
    <s v="Repeat Customer"/>
  </r>
  <r>
    <n v="10190"/>
    <s v="CUST123"/>
    <d v="2024-08-13T00:00:00"/>
    <s v="Electronics"/>
    <s v="North"/>
    <n v="7"/>
    <n v="492.3"/>
    <n v="3446.1"/>
    <x v="1"/>
    <s v="Repeat Customer"/>
  </r>
  <r>
    <n v="10191"/>
    <s v="CUST254"/>
    <d v="2024-08-04T00:00:00"/>
    <s v="Home"/>
    <s v="East"/>
    <n v="3"/>
    <n v="383.26"/>
    <n v="1149.78"/>
    <x v="0"/>
    <s v="Repeat Customer"/>
  </r>
  <r>
    <n v="10192"/>
    <s v="CUST103"/>
    <d v="2025-05-24T00:00:00"/>
    <s v="Beauty"/>
    <s v="South"/>
    <n v="7"/>
    <n v="91.97"/>
    <n v="643.79"/>
    <x v="2"/>
    <s v="Repeat Customer"/>
  </r>
  <r>
    <n v="10193"/>
    <s v="CUST136"/>
    <d v="2025-02-10T00:00:00"/>
    <s v="Beauty"/>
    <s v="North"/>
    <n v="1"/>
    <n v="220.93"/>
    <n v="220.93"/>
    <x v="2"/>
    <s v="Repeat Customer"/>
  </r>
  <r>
    <n v="10194"/>
    <s v="CUST394"/>
    <d v="2025-03-15T00:00:00"/>
    <s v="Beauty"/>
    <s v="East"/>
    <n v="10"/>
    <n v="205.19"/>
    <n v="2051.9"/>
    <x v="0"/>
    <s v="Repeat Customer"/>
  </r>
  <r>
    <n v="10195"/>
    <s v="CUST307"/>
    <d v="2024-01-22T00:00:00"/>
    <s v="Sports"/>
    <s v="West"/>
    <n v="6"/>
    <n v="90.08"/>
    <n v="540.48"/>
    <x v="2"/>
    <s v="Repeat Customer"/>
  </r>
  <r>
    <n v="10196"/>
    <s v="CUST145"/>
    <d v="2025-03-23T00:00:00"/>
    <s v="Sports"/>
    <s v="West"/>
    <n v="2"/>
    <n v="125.44"/>
    <n v="250.88"/>
    <x v="0"/>
    <s v="Repeat Customer"/>
  </r>
  <r>
    <n v="10197"/>
    <s v="CUST302"/>
    <d v="2024-11-13T00:00:00"/>
    <s v="Fashion"/>
    <s v="North"/>
    <n v="6"/>
    <n v="114.68"/>
    <n v="688.08"/>
    <x v="0"/>
    <s v="Repeat Customer"/>
  </r>
  <r>
    <n v="10198"/>
    <s v="CUST371"/>
    <d v="2025-06-06T00:00:00"/>
    <s v="Home"/>
    <s v="East"/>
    <n v="4"/>
    <n v="453.43"/>
    <n v="1813.72"/>
    <x v="1"/>
    <s v="Repeat Customer"/>
  </r>
  <r>
    <n v="10199"/>
    <s v="CUST220"/>
    <d v="2024-04-15T00:00:00"/>
    <s v="Fashion"/>
    <s v="South"/>
    <n v="3"/>
    <n v="131.69999999999999"/>
    <n v="395.1"/>
    <x v="0"/>
    <s v="Repeat Customer"/>
  </r>
  <r>
    <n v="10200"/>
    <s v="CUST190"/>
    <d v="2025-10-05T00:00:00"/>
    <s v="Sports"/>
    <s v="West"/>
    <n v="8"/>
    <n v="234.66"/>
    <n v="1877.28"/>
    <x v="2"/>
    <s v="Repeat Customer"/>
  </r>
  <r>
    <n v="10201"/>
    <s v="CUST261"/>
    <d v="2024-06-03T00:00:00"/>
    <s v="Beauty"/>
    <s v="East"/>
    <n v="8"/>
    <n v="38.799999999999997"/>
    <n v="310.39999999999998"/>
    <x v="2"/>
    <s v="Repeat Customer"/>
  </r>
  <r>
    <n v="10202"/>
    <s v="CUST128"/>
    <d v="2024-12-26T00:00:00"/>
    <s v="Beauty"/>
    <s v="West"/>
    <n v="9"/>
    <n v="41.72"/>
    <n v="375.48"/>
    <x v="0"/>
    <s v="Repeat Customer"/>
  </r>
  <r>
    <n v="10203"/>
    <s v="CUST129"/>
    <d v="2025-01-12T00:00:00"/>
    <s v="Electronics"/>
    <s v="West"/>
    <n v="5"/>
    <n v="42.98"/>
    <n v="214.9"/>
    <x v="3"/>
    <s v="Repeat Customer"/>
  </r>
  <r>
    <n v="10204"/>
    <s v="CUST397"/>
    <d v="2025-07-21T00:00:00"/>
    <s v="Sports"/>
    <s v="South"/>
    <n v="1"/>
    <n v="227.62"/>
    <n v="227.62"/>
    <x v="2"/>
    <s v="New Customer"/>
  </r>
  <r>
    <n v="10205"/>
    <s v="CUST343"/>
    <d v="2025-05-28T00:00:00"/>
    <s v="Beauty"/>
    <s v="North"/>
    <n v="3"/>
    <n v="479.07"/>
    <n v="1437.21"/>
    <x v="2"/>
    <s v="Repeat Customer"/>
  </r>
  <r>
    <n v="10206"/>
    <s v="CUST143"/>
    <d v="2025-05-31T00:00:00"/>
    <s v="Beauty"/>
    <s v="West"/>
    <n v="3"/>
    <n v="24.38"/>
    <n v="73.14"/>
    <x v="1"/>
    <s v="Repeat Customer"/>
  </r>
  <r>
    <n v="10207"/>
    <s v="CUST286"/>
    <d v="2025-01-16T00:00:00"/>
    <s v="Home"/>
    <s v="North"/>
    <n v="5"/>
    <n v="196.77"/>
    <n v="983.85"/>
    <x v="2"/>
    <s v="Repeat Customer"/>
  </r>
  <r>
    <n v="10208"/>
    <s v="CUST133"/>
    <d v="2024-12-03T00:00:00"/>
    <s v="Beauty"/>
    <s v="East"/>
    <n v="2"/>
    <n v="281.19"/>
    <n v="562.38"/>
    <x v="2"/>
    <s v="Repeat Customer"/>
  </r>
  <r>
    <n v="10209"/>
    <s v="CUST176"/>
    <d v="2024-12-07T00:00:00"/>
    <s v="Fashion"/>
    <s v="East"/>
    <n v="2"/>
    <n v="293.45999999999998"/>
    <n v="586.91999999999996"/>
    <x v="2"/>
    <s v="Repeat Customer"/>
  </r>
  <r>
    <n v="10210"/>
    <s v="CUST300"/>
    <d v="2024-05-12T00:00:00"/>
    <s v="Electronics"/>
    <s v="East"/>
    <n v="10"/>
    <n v="355.87"/>
    <n v="3558.7"/>
    <x v="3"/>
    <s v="Repeat Customer"/>
  </r>
  <r>
    <n v="10211"/>
    <s v="CUST268"/>
    <d v="2024-05-10T00:00:00"/>
    <s v="Beauty"/>
    <s v="East"/>
    <n v="9"/>
    <n v="51.26"/>
    <n v="461.34"/>
    <x v="0"/>
    <s v="Repeat Customer"/>
  </r>
  <r>
    <n v="10212"/>
    <s v="CUST285"/>
    <d v="2024-11-12T00:00:00"/>
    <s v="Home"/>
    <s v="West"/>
    <n v="3"/>
    <n v="475.83"/>
    <n v="1427.49"/>
    <x v="1"/>
    <s v="Repeat Customer"/>
  </r>
  <r>
    <n v="10213"/>
    <s v="CUST215"/>
    <d v="2024-05-20T00:00:00"/>
    <s v="Electronics"/>
    <s v="North"/>
    <n v="3"/>
    <n v="43.2"/>
    <n v="129.6"/>
    <x v="2"/>
    <s v="Repeat Customer"/>
  </r>
  <r>
    <n v="10214"/>
    <s v="CUST167"/>
    <d v="2025-09-03T00:00:00"/>
    <s v="Fashion"/>
    <s v="South"/>
    <n v="7"/>
    <n v="81.36"/>
    <n v="569.52"/>
    <x v="3"/>
    <s v="Repeat Customer"/>
  </r>
  <r>
    <n v="10215"/>
    <s v="CUST122"/>
    <d v="2025-02-24T00:00:00"/>
    <s v="Fashion"/>
    <s v="West"/>
    <n v="6"/>
    <n v="339.8"/>
    <n v="2038.8"/>
    <x v="2"/>
    <s v="Repeat Customer"/>
  </r>
  <r>
    <n v="10216"/>
    <s v="CUST329"/>
    <d v="2024-08-27T00:00:00"/>
    <s v="Beauty"/>
    <s v="South"/>
    <n v="9"/>
    <n v="123.39"/>
    <n v="1110.51"/>
    <x v="2"/>
    <s v="Repeat Customer"/>
  </r>
  <r>
    <n v="10217"/>
    <s v="CUST392"/>
    <d v="2025-03-27T00:00:00"/>
    <s v="Beauty"/>
    <s v="West"/>
    <n v="8"/>
    <n v="385.87"/>
    <n v="3086.96"/>
    <x v="1"/>
    <s v="Repeat Customer"/>
  </r>
  <r>
    <n v="10218"/>
    <s v="CUST202"/>
    <d v="2025-09-11T00:00:00"/>
    <s v="Electronics"/>
    <s v="West"/>
    <n v="3"/>
    <n v="437.14"/>
    <n v="1311.42"/>
    <x v="2"/>
    <s v="Repeat Customer"/>
  </r>
  <r>
    <n v="10219"/>
    <s v="CUST383"/>
    <d v="2024-04-15T00:00:00"/>
    <s v="Home"/>
    <s v="North"/>
    <n v="9"/>
    <n v="426.33"/>
    <n v="3836.97"/>
    <x v="1"/>
    <s v="Repeat Customer"/>
  </r>
  <r>
    <n v="10220"/>
    <s v="CUST239"/>
    <d v="2025-04-05T00:00:00"/>
    <s v="Beauty"/>
    <s v="North"/>
    <n v="9"/>
    <n v="77.94"/>
    <n v="701.46"/>
    <x v="1"/>
    <s v="Repeat Customer"/>
  </r>
  <r>
    <n v="10221"/>
    <s v="CUST330"/>
    <d v="2024-12-23T00:00:00"/>
    <s v="Beauty"/>
    <s v="East"/>
    <n v="1"/>
    <n v="210.37"/>
    <n v="210.37"/>
    <x v="1"/>
    <s v="Repeat Customer"/>
  </r>
  <r>
    <n v="10222"/>
    <s v="CUST297"/>
    <d v="2024-03-24T00:00:00"/>
    <s v="Home"/>
    <s v="North"/>
    <n v="6"/>
    <n v="116.15"/>
    <n v="696.9"/>
    <x v="2"/>
    <s v="Repeat Customer"/>
  </r>
  <r>
    <n v="10223"/>
    <s v="CUST174"/>
    <d v="2024-05-20T00:00:00"/>
    <s v="Beauty"/>
    <s v="South"/>
    <n v="1"/>
    <n v="147.01"/>
    <n v="147.01"/>
    <x v="3"/>
    <s v="Repeat Customer"/>
  </r>
  <r>
    <n v="10224"/>
    <s v="CUST329"/>
    <d v="2025-09-22T00:00:00"/>
    <s v="Electronics"/>
    <s v="East"/>
    <n v="1"/>
    <n v="453.4"/>
    <n v="453.4"/>
    <x v="1"/>
    <s v="Repeat Customer"/>
  </r>
  <r>
    <n v="10225"/>
    <s v="CUST176"/>
    <d v="2025-07-15T00:00:00"/>
    <s v="Electronics"/>
    <s v="East"/>
    <n v="10"/>
    <n v="266.25"/>
    <n v="2662.5"/>
    <x v="1"/>
    <s v="Repeat Customer"/>
  </r>
  <r>
    <n v="10226"/>
    <s v="CUST254"/>
    <d v="2024-05-04T00:00:00"/>
    <s v="Sports"/>
    <s v="West"/>
    <n v="1"/>
    <n v="123.03"/>
    <n v="123.03"/>
    <x v="0"/>
    <s v="Repeat Customer"/>
  </r>
  <r>
    <n v="10227"/>
    <s v="CUST156"/>
    <d v="2025-05-26T00:00:00"/>
    <s v="Sports"/>
    <s v="South"/>
    <n v="10"/>
    <n v="270.35000000000002"/>
    <n v="2703.5"/>
    <x v="1"/>
    <s v="Repeat Customer"/>
  </r>
  <r>
    <n v="10228"/>
    <s v="CUST249"/>
    <d v="2025-03-15T00:00:00"/>
    <s v="Fashion"/>
    <s v="West"/>
    <n v="1"/>
    <n v="309.33"/>
    <n v="309.33"/>
    <x v="1"/>
    <s v="Repeat Customer"/>
  </r>
  <r>
    <n v="10229"/>
    <s v="CUST143"/>
    <d v="2025-06-20T00:00:00"/>
    <s v="Sports"/>
    <s v="North"/>
    <n v="6"/>
    <n v="38.5"/>
    <n v="231"/>
    <x v="3"/>
    <s v="Repeat Customer"/>
  </r>
  <r>
    <n v="10230"/>
    <s v="CUST340"/>
    <d v="2024-02-14T00:00:00"/>
    <s v="Home"/>
    <s v="North"/>
    <n v="7"/>
    <n v="490.61"/>
    <n v="3434.27"/>
    <x v="2"/>
    <s v="Repeat Customer"/>
  </r>
  <r>
    <n v="10231"/>
    <s v="CUST134"/>
    <d v="2024-12-19T00:00:00"/>
    <s v="Electronics"/>
    <s v="East"/>
    <n v="4"/>
    <n v="367.81"/>
    <n v="1471.24"/>
    <x v="1"/>
    <s v="Repeat Customer"/>
  </r>
  <r>
    <n v="10232"/>
    <s v="CUST122"/>
    <d v="2024-12-26T00:00:00"/>
    <s v="Fashion"/>
    <s v="West"/>
    <n v="9"/>
    <n v="172.58"/>
    <n v="1553.22"/>
    <x v="3"/>
    <s v="Repeat Customer"/>
  </r>
  <r>
    <n v="10233"/>
    <s v="CUST193"/>
    <d v="2024-05-18T00:00:00"/>
    <s v="Beauty"/>
    <s v="North"/>
    <n v="2"/>
    <n v="359.44"/>
    <n v="718.88"/>
    <x v="2"/>
    <s v="Repeat Customer"/>
  </r>
  <r>
    <n v="10234"/>
    <s v="CUST203"/>
    <d v="2024-02-14T00:00:00"/>
    <s v="Home"/>
    <s v="East"/>
    <n v="4"/>
    <n v="443.47"/>
    <n v="1773.88"/>
    <x v="3"/>
    <s v="Repeat Customer"/>
  </r>
  <r>
    <n v="10235"/>
    <s v="CUST378"/>
    <d v="2025-04-29T00:00:00"/>
    <s v="Fashion"/>
    <s v="East"/>
    <n v="5"/>
    <n v="23.13"/>
    <n v="115.65"/>
    <x v="2"/>
    <s v="Repeat Customer"/>
  </r>
  <r>
    <n v="10236"/>
    <s v="CUST124"/>
    <d v="2025-11-02T00:00:00"/>
    <s v="Home"/>
    <s v="West"/>
    <n v="6"/>
    <n v="140.24"/>
    <n v="841.44"/>
    <x v="3"/>
    <s v="Repeat Customer"/>
  </r>
  <r>
    <n v="10237"/>
    <s v="CUST325"/>
    <d v="2025-01-30T00:00:00"/>
    <s v="Beauty"/>
    <s v="West"/>
    <n v="6"/>
    <n v="486.99"/>
    <n v="2921.94"/>
    <x v="2"/>
    <s v="Repeat Customer"/>
  </r>
  <r>
    <n v="10238"/>
    <s v="CUST365"/>
    <d v="2024-09-30T00:00:00"/>
    <s v="Electronics"/>
    <s v="West"/>
    <n v="2"/>
    <n v="364.91"/>
    <n v="729.82"/>
    <x v="1"/>
    <s v="Repeat Customer"/>
  </r>
  <r>
    <n v="10239"/>
    <s v="CUST379"/>
    <d v="2024-10-27T00:00:00"/>
    <s v="Home"/>
    <s v="East"/>
    <n v="6"/>
    <n v="55.79"/>
    <n v="334.74"/>
    <x v="2"/>
    <s v="Repeat Customer"/>
  </r>
  <r>
    <n v="10240"/>
    <s v="CUST328"/>
    <d v="2025-09-09T00:00:00"/>
    <s v="Beauty"/>
    <s v="East"/>
    <n v="7"/>
    <n v="87.49"/>
    <n v="612.42999999999995"/>
    <x v="3"/>
    <s v="Repeat Customer"/>
  </r>
  <r>
    <n v="10241"/>
    <s v="CUST121"/>
    <d v="2024-12-27T00:00:00"/>
    <s v="Home"/>
    <s v="North"/>
    <n v="10"/>
    <n v="499.08"/>
    <n v="4990.8"/>
    <x v="0"/>
    <s v="Repeat Customer"/>
  </r>
  <r>
    <n v="10242"/>
    <s v="CUST307"/>
    <d v="2025-01-07T00:00:00"/>
    <s v="Fashion"/>
    <s v="North"/>
    <n v="9"/>
    <n v="401.54"/>
    <n v="3613.86"/>
    <x v="1"/>
    <s v="Repeat Customer"/>
  </r>
  <r>
    <n v="10243"/>
    <s v="CUST324"/>
    <d v="2024-02-05T00:00:00"/>
    <s v="Home"/>
    <s v="East"/>
    <n v="3"/>
    <n v="38.28"/>
    <n v="114.84"/>
    <x v="3"/>
    <s v="Repeat Customer"/>
  </r>
  <r>
    <n v="10244"/>
    <s v="CUST390"/>
    <d v="2024-02-03T00:00:00"/>
    <s v="Beauty"/>
    <s v="East"/>
    <n v="10"/>
    <n v="80.95"/>
    <n v="809.5"/>
    <x v="2"/>
    <s v="Repeat Customer"/>
  </r>
  <r>
    <n v="10245"/>
    <s v="CUST327"/>
    <d v="2024-03-19T00:00:00"/>
    <s v="Home"/>
    <s v="West"/>
    <n v="10"/>
    <n v="73.16"/>
    <n v="731.6"/>
    <x v="2"/>
    <s v="Repeat Customer"/>
  </r>
  <r>
    <n v="10246"/>
    <s v="CUST242"/>
    <d v="2024-09-12T00:00:00"/>
    <s v="Fashion"/>
    <s v="West"/>
    <n v="2"/>
    <n v="17.829999999999998"/>
    <n v="35.659999999999997"/>
    <x v="3"/>
    <s v="Repeat Customer"/>
  </r>
  <r>
    <n v="10247"/>
    <s v="CUST387"/>
    <d v="2024-04-30T00:00:00"/>
    <s v="Beauty"/>
    <s v="South"/>
    <n v="5"/>
    <n v="388.61"/>
    <n v="1943.05"/>
    <x v="2"/>
    <s v="Repeat Customer"/>
  </r>
  <r>
    <n v="10248"/>
    <s v="CUST351"/>
    <d v="2024-07-23T00:00:00"/>
    <s v="Electronics"/>
    <s v="West"/>
    <n v="2"/>
    <n v="72.19"/>
    <n v="144.38"/>
    <x v="1"/>
    <s v="Repeat Customer"/>
  </r>
  <r>
    <n v="10249"/>
    <s v="CUST327"/>
    <d v="2024-03-30T00:00:00"/>
    <s v="Electronics"/>
    <s v="East"/>
    <n v="6"/>
    <n v="335.58"/>
    <n v="2013.48"/>
    <x v="2"/>
    <s v="Repeat Customer"/>
  </r>
  <r>
    <n v="10250"/>
    <s v="CUST180"/>
    <d v="2025-12-29T00:00:00"/>
    <s v="Sports"/>
    <s v="South"/>
    <n v="3"/>
    <n v="397.88"/>
    <n v="1193.6400000000001"/>
    <x v="0"/>
    <s v="Repeat Customer"/>
  </r>
  <r>
    <n v="10251"/>
    <s v="CUST202"/>
    <d v="2024-05-22T00:00:00"/>
    <s v="Electronics"/>
    <s v="East"/>
    <n v="4"/>
    <n v="396.23"/>
    <n v="1584.92"/>
    <x v="2"/>
    <s v="Repeat Customer"/>
  </r>
  <r>
    <n v="10252"/>
    <s v="CUST339"/>
    <d v="2025-07-18T00:00:00"/>
    <s v="Electronics"/>
    <s v="North"/>
    <n v="3"/>
    <n v="307.91000000000003"/>
    <n v="923.73"/>
    <x v="2"/>
    <s v="Repeat Customer"/>
  </r>
  <r>
    <n v="10253"/>
    <s v="CUST303"/>
    <d v="2025-05-05T00:00:00"/>
    <s v="Beauty"/>
    <s v="North"/>
    <n v="9"/>
    <n v="208.34"/>
    <n v="1875.06"/>
    <x v="1"/>
    <s v="New Customer"/>
  </r>
  <r>
    <n v="10254"/>
    <s v="CUST262"/>
    <d v="2025-10-19T00:00:00"/>
    <s v="Sports"/>
    <s v="East"/>
    <n v="2"/>
    <n v="227.74"/>
    <n v="455.48"/>
    <x v="1"/>
    <s v="Repeat Customer"/>
  </r>
  <r>
    <n v="10255"/>
    <s v="CUST382"/>
    <d v="2025-10-17T00:00:00"/>
    <s v="Fashion"/>
    <s v="West"/>
    <n v="10"/>
    <n v="95.07"/>
    <n v="950.7"/>
    <x v="0"/>
    <s v="Repeat Customer"/>
  </r>
  <r>
    <n v="10256"/>
    <s v="CUST163"/>
    <d v="2025-06-14T00:00:00"/>
    <s v="Fashion"/>
    <s v="East"/>
    <n v="3"/>
    <n v="155.54"/>
    <n v="466.62"/>
    <x v="1"/>
    <s v="Repeat Customer"/>
  </r>
  <r>
    <n v="10257"/>
    <s v="CUST277"/>
    <d v="2025-06-15T00:00:00"/>
    <s v="Home"/>
    <s v="South"/>
    <n v="5"/>
    <n v="423.74"/>
    <n v="2118.6999999999998"/>
    <x v="2"/>
    <s v="Repeat Customer"/>
  </r>
  <r>
    <n v="10258"/>
    <s v="CUST164"/>
    <d v="2025-10-02T00:00:00"/>
    <s v="Electronics"/>
    <s v="South"/>
    <n v="5"/>
    <n v="309.14"/>
    <n v="1545.7"/>
    <x v="1"/>
    <s v="Repeat Customer"/>
  </r>
  <r>
    <n v="10259"/>
    <s v="CUST187"/>
    <d v="2025-11-05T00:00:00"/>
    <s v="Sports"/>
    <s v="East"/>
    <n v="10"/>
    <n v="361.71"/>
    <n v="3617.1"/>
    <x v="0"/>
    <s v="Repeat Customer"/>
  </r>
  <r>
    <n v="10260"/>
    <s v="CUST114"/>
    <d v="2024-03-24T00:00:00"/>
    <s v="Sports"/>
    <s v="East"/>
    <n v="1"/>
    <n v="474.53"/>
    <n v="474.53"/>
    <x v="1"/>
    <s v="Repeat Customer"/>
  </r>
  <r>
    <n v="10261"/>
    <s v="CUST392"/>
    <d v="2025-03-02T00:00:00"/>
    <s v="Beauty"/>
    <s v="East"/>
    <n v="10"/>
    <n v="321.3"/>
    <n v="3213"/>
    <x v="2"/>
    <s v="Repeat Customer"/>
  </r>
  <r>
    <n v="10262"/>
    <s v="CUST347"/>
    <d v="2024-09-07T00:00:00"/>
    <s v="Electronics"/>
    <s v="North"/>
    <n v="7"/>
    <n v="152.22999999999999"/>
    <n v="1065.6099999999999"/>
    <x v="1"/>
    <s v="Repeat Customer"/>
  </r>
  <r>
    <n v="10263"/>
    <s v="CUST325"/>
    <d v="2025-03-01T00:00:00"/>
    <s v="Home"/>
    <s v="South"/>
    <n v="8"/>
    <n v="234.9"/>
    <n v="1879.2"/>
    <x v="2"/>
    <s v="Repeat Customer"/>
  </r>
  <r>
    <n v="10264"/>
    <s v="CUST263"/>
    <d v="2024-12-19T00:00:00"/>
    <s v="Home"/>
    <s v="North"/>
    <n v="7"/>
    <n v="69.73"/>
    <n v="488.11"/>
    <x v="2"/>
    <s v="Repeat Customer"/>
  </r>
  <r>
    <n v="10265"/>
    <s v="CUST223"/>
    <d v="2025-04-22T00:00:00"/>
    <s v="Fashion"/>
    <s v="South"/>
    <n v="2"/>
    <n v="137.4"/>
    <n v="274.8"/>
    <x v="0"/>
    <s v="Repeat Customer"/>
  </r>
  <r>
    <n v="10266"/>
    <s v="CUST125"/>
    <d v="2024-10-24T00:00:00"/>
    <s v="Beauty"/>
    <s v="South"/>
    <n v="7"/>
    <n v="432.76"/>
    <n v="3029.32"/>
    <x v="1"/>
    <s v="Repeat Customer"/>
  </r>
  <r>
    <n v="10267"/>
    <s v="CUST267"/>
    <d v="2025-08-14T00:00:00"/>
    <s v="Fashion"/>
    <s v="West"/>
    <n v="6"/>
    <n v="98.97"/>
    <n v="593.82000000000005"/>
    <x v="3"/>
    <s v="Repeat Customer"/>
  </r>
  <r>
    <n v="10268"/>
    <s v="CUST355"/>
    <d v="2024-11-11T00:00:00"/>
    <s v="Beauty"/>
    <s v="West"/>
    <n v="8"/>
    <n v="16.47"/>
    <n v="131.76"/>
    <x v="1"/>
    <s v="Repeat Customer"/>
  </r>
  <r>
    <n v="10269"/>
    <s v="CUST210"/>
    <d v="2025-08-20T00:00:00"/>
    <s v="Home"/>
    <s v="West"/>
    <n v="6"/>
    <n v="29.09"/>
    <n v="174.54"/>
    <x v="3"/>
    <s v="Repeat Customer"/>
  </r>
  <r>
    <n v="10270"/>
    <s v="CUST246"/>
    <d v="2025-07-03T00:00:00"/>
    <s v="Beauty"/>
    <s v="South"/>
    <n v="1"/>
    <n v="424.35"/>
    <n v="424.35"/>
    <x v="2"/>
    <s v="Repeat Customer"/>
  </r>
  <r>
    <n v="10271"/>
    <s v="CUST287"/>
    <d v="2025-02-16T00:00:00"/>
    <s v="Electronics"/>
    <s v="South"/>
    <n v="6"/>
    <n v="27.39"/>
    <n v="164.34"/>
    <x v="2"/>
    <s v="Repeat Customer"/>
  </r>
  <r>
    <n v="10272"/>
    <s v="CUST383"/>
    <d v="2024-10-22T00:00:00"/>
    <s v="Beauty"/>
    <s v="East"/>
    <n v="2"/>
    <n v="196.24"/>
    <n v="392.48"/>
    <x v="0"/>
    <s v="Repeat Customer"/>
  </r>
  <r>
    <n v="10273"/>
    <s v="CUST165"/>
    <d v="2024-04-09T00:00:00"/>
    <s v="Home"/>
    <s v="East"/>
    <n v="7"/>
    <n v="189.73"/>
    <n v="1328.11"/>
    <x v="1"/>
    <s v="Repeat Customer"/>
  </r>
  <r>
    <n v="10274"/>
    <s v="CUST201"/>
    <d v="2025-09-08T00:00:00"/>
    <s v="Electronics"/>
    <s v="North"/>
    <n v="9"/>
    <n v="203.69"/>
    <n v="1833.21"/>
    <x v="0"/>
    <s v="Repeat Customer"/>
  </r>
  <r>
    <n v="10275"/>
    <s v="CUST170"/>
    <d v="2025-12-31T00:00:00"/>
    <s v="Sports"/>
    <s v="West"/>
    <n v="6"/>
    <n v="402.96"/>
    <n v="2417.7600000000002"/>
    <x v="1"/>
    <s v="Repeat Customer"/>
  </r>
  <r>
    <n v="10276"/>
    <s v="CUST363"/>
    <d v="2024-05-23T00:00:00"/>
    <s v="Home"/>
    <s v="South"/>
    <n v="6"/>
    <n v="466.03"/>
    <n v="2796.18"/>
    <x v="3"/>
    <s v="Repeat Customer"/>
  </r>
  <r>
    <n v="10277"/>
    <s v="CUST253"/>
    <d v="2025-08-30T00:00:00"/>
    <s v="Sports"/>
    <s v="West"/>
    <n v="6"/>
    <n v="256.12"/>
    <n v="1536.72"/>
    <x v="2"/>
    <s v="Repeat Customer"/>
  </r>
  <r>
    <n v="10278"/>
    <s v="CUST343"/>
    <d v="2024-01-18T00:00:00"/>
    <s v="Electronics"/>
    <s v="West"/>
    <n v="6"/>
    <n v="168.96"/>
    <n v="1013.76"/>
    <x v="2"/>
    <s v="Repeat Customer"/>
  </r>
  <r>
    <n v="10279"/>
    <s v="CUST113"/>
    <d v="2025-09-03T00:00:00"/>
    <s v="Sports"/>
    <s v="South"/>
    <n v="8"/>
    <n v="136.44"/>
    <n v="1091.52"/>
    <x v="0"/>
    <s v="Repeat Customer"/>
  </r>
  <r>
    <n v="10280"/>
    <s v="CUST398"/>
    <d v="2025-05-06T00:00:00"/>
    <s v="Sports"/>
    <s v="West"/>
    <n v="3"/>
    <n v="264.5"/>
    <n v="793.5"/>
    <x v="1"/>
    <s v="Repeat Customer"/>
  </r>
  <r>
    <n v="10281"/>
    <s v="CUST224"/>
    <d v="2024-02-02T00:00:00"/>
    <s v="Electronics"/>
    <s v="South"/>
    <n v="10"/>
    <n v="474.36"/>
    <n v="4743.6000000000004"/>
    <x v="0"/>
    <s v="Repeat Customer"/>
  </r>
  <r>
    <n v="10282"/>
    <s v="CUST325"/>
    <d v="2024-11-17T00:00:00"/>
    <s v="Fashion"/>
    <s v="West"/>
    <n v="7"/>
    <n v="79.959999999999994"/>
    <n v="559.72"/>
    <x v="3"/>
    <s v="Repeat Customer"/>
  </r>
  <r>
    <n v="10283"/>
    <s v="CUST131"/>
    <d v="2025-12-23T00:00:00"/>
    <s v="Sports"/>
    <s v="East"/>
    <n v="3"/>
    <n v="261.75"/>
    <n v="785.25"/>
    <x v="3"/>
    <s v="Repeat Customer"/>
  </r>
  <r>
    <n v="10284"/>
    <s v="CUST369"/>
    <d v="2025-01-20T00:00:00"/>
    <s v="Beauty"/>
    <s v="East"/>
    <n v="6"/>
    <n v="478.56"/>
    <n v="2871.36"/>
    <x v="2"/>
    <s v="Repeat Customer"/>
  </r>
  <r>
    <n v="10285"/>
    <s v="CUST235"/>
    <d v="2025-09-16T00:00:00"/>
    <s v="Fashion"/>
    <s v="East"/>
    <n v="8"/>
    <n v="100.17"/>
    <n v="801.36"/>
    <x v="2"/>
    <s v="Repeat Customer"/>
  </r>
  <r>
    <n v="10286"/>
    <s v="CUST215"/>
    <d v="2024-10-31T00:00:00"/>
    <s v="Beauty"/>
    <s v="East"/>
    <n v="5"/>
    <n v="353.93"/>
    <n v="1769.65"/>
    <x v="3"/>
    <s v="Repeat Customer"/>
  </r>
  <r>
    <n v="10287"/>
    <s v="CUST278"/>
    <d v="2025-07-27T00:00:00"/>
    <s v="Sports"/>
    <s v="West"/>
    <n v="5"/>
    <n v="147.46"/>
    <n v="737.3"/>
    <x v="3"/>
    <s v="Repeat Customer"/>
  </r>
  <r>
    <n v="10288"/>
    <s v="CUST276"/>
    <d v="2024-05-29T00:00:00"/>
    <s v="Electronics"/>
    <s v="East"/>
    <n v="5"/>
    <n v="25.82"/>
    <n v="129.1"/>
    <x v="3"/>
    <s v="Repeat Customer"/>
  </r>
  <r>
    <n v="10289"/>
    <s v="CUST231"/>
    <d v="2025-05-05T00:00:00"/>
    <s v="Sports"/>
    <s v="East"/>
    <n v="4"/>
    <n v="105.02"/>
    <n v="420.08"/>
    <x v="2"/>
    <s v="Repeat Customer"/>
  </r>
  <r>
    <n v="10290"/>
    <s v="CUST170"/>
    <d v="2024-04-21T00:00:00"/>
    <s v="Fashion"/>
    <s v="South"/>
    <n v="10"/>
    <n v="371.74"/>
    <n v="3717.4"/>
    <x v="0"/>
    <s v="Repeat Customer"/>
  </r>
  <r>
    <n v="10291"/>
    <s v="CUST371"/>
    <d v="2024-08-19T00:00:00"/>
    <s v="Beauty"/>
    <s v="East"/>
    <n v="4"/>
    <n v="30.98"/>
    <n v="123.92"/>
    <x v="3"/>
    <s v="Repeat Customer"/>
  </r>
  <r>
    <n v="10292"/>
    <s v="CUST151"/>
    <d v="2025-11-28T00:00:00"/>
    <s v="Sports"/>
    <s v="South"/>
    <n v="3"/>
    <n v="7.56"/>
    <n v="22.68"/>
    <x v="3"/>
    <s v="Repeat Customer"/>
  </r>
  <r>
    <n v="10293"/>
    <s v="CUST343"/>
    <d v="2025-05-03T00:00:00"/>
    <s v="Home"/>
    <s v="East"/>
    <n v="4"/>
    <n v="379.18"/>
    <n v="1516.72"/>
    <x v="2"/>
    <s v="Repeat Customer"/>
  </r>
  <r>
    <n v="10294"/>
    <s v="CUST130"/>
    <d v="2024-04-01T00:00:00"/>
    <s v="Electronics"/>
    <s v="South"/>
    <n v="10"/>
    <n v="119.95"/>
    <n v="1199.5"/>
    <x v="3"/>
    <s v="Repeat Customer"/>
  </r>
  <r>
    <n v="10295"/>
    <s v="CUST190"/>
    <d v="2024-02-07T00:00:00"/>
    <s v="Fashion"/>
    <s v="East"/>
    <n v="7"/>
    <n v="395.04"/>
    <n v="2765.28"/>
    <x v="0"/>
    <s v="Repeat Customer"/>
  </r>
  <r>
    <n v="10296"/>
    <s v="CUST104"/>
    <d v="2024-11-01T00:00:00"/>
    <s v="Home"/>
    <s v="East"/>
    <n v="10"/>
    <n v="303.38"/>
    <n v="3033.8"/>
    <x v="3"/>
    <s v="Repeat Customer"/>
  </r>
  <r>
    <n v="10297"/>
    <s v="CUST378"/>
    <d v="2025-06-20T00:00:00"/>
    <s v="Fashion"/>
    <s v="West"/>
    <n v="8"/>
    <n v="445.18"/>
    <n v="3561.44"/>
    <x v="2"/>
    <s v="Repeat Customer"/>
  </r>
  <r>
    <n v="10298"/>
    <s v="CUST198"/>
    <d v="2024-04-25T00:00:00"/>
    <s v="Beauty"/>
    <s v="East"/>
    <n v="6"/>
    <n v="85.43"/>
    <n v="512.58000000000004"/>
    <x v="1"/>
    <s v="Repeat Customer"/>
  </r>
  <r>
    <n v="10299"/>
    <s v="CUST107"/>
    <d v="2024-12-11T00:00:00"/>
    <s v="Fashion"/>
    <s v="South"/>
    <n v="5"/>
    <n v="286.05"/>
    <n v="1430.25"/>
    <x v="3"/>
    <s v="Repeat Customer"/>
  </r>
  <r>
    <n v="10300"/>
    <s v="CUST318"/>
    <d v="2025-06-11T00:00:00"/>
    <s v="Electronics"/>
    <s v="South"/>
    <n v="6"/>
    <n v="47.94"/>
    <n v="287.64"/>
    <x v="1"/>
    <s v="Repeat Customer"/>
  </r>
  <r>
    <n v="10301"/>
    <s v="CUST344"/>
    <d v="2024-11-27T00:00:00"/>
    <s v="Beauty"/>
    <s v="South"/>
    <n v="4"/>
    <n v="8.3800000000000008"/>
    <n v="33.520000000000003"/>
    <x v="3"/>
    <s v="Repeat Customer"/>
  </r>
  <r>
    <n v="10302"/>
    <s v="CUST236"/>
    <d v="2024-12-03T00:00:00"/>
    <s v="Sports"/>
    <s v="North"/>
    <n v="5"/>
    <n v="293.32"/>
    <n v="1466.6"/>
    <x v="2"/>
    <s v="Repeat Customer"/>
  </r>
  <r>
    <n v="10303"/>
    <s v="CUST284"/>
    <d v="2025-12-10T00:00:00"/>
    <s v="Electronics"/>
    <s v="West"/>
    <n v="4"/>
    <n v="35.75"/>
    <n v="143"/>
    <x v="2"/>
    <s v="Repeat Customer"/>
  </r>
  <r>
    <n v="10304"/>
    <s v="CUST181"/>
    <d v="2025-02-19T00:00:00"/>
    <s v="Home"/>
    <s v="North"/>
    <n v="9"/>
    <n v="461.94"/>
    <n v="4157.46"/>
    <x v="2"/>
    <s v="Repeat Customer"/>
  </r>
  <r>
    <n v="10305"/>
    <s v="CUST288"/>
    <d v="2025-09-21T00:00:00"/>
    <s v="Fashion"/>
    <s v="West"/>
    <n v="4"/>
    <n v="113.47"/>
    <n v="453.88"/>
    <x v="1"/>
    <s v="Repeat Customer"/>
  </r>
  <r>
    <n v="10306"/>
    <s v="CUST332"/>
    <d v="2025-09-12T00:00:00"/>
    <s v="Sports"/>
    <s v="West"/>
    <n v="6"/>
    <n v="210.84"/>
    <n v="1265.04"/>
    <x v="1"/>
    <s v="Repeat Customer"/>
  </r>
  <r>
    <n v="10307"/>
    <s v="CUST226"/>
    <d v="2025-11-27T00:00:00"/>
    <s v="Electronics"/>
    <s v="West"/>
    <n v="10"/>
    <n v="437.2"/>
    <n v="4372"/>
    <x v="2"/>
    <s v="Repeat Customer"/>
  </r>
  <r>
    <n v="10308"/>
    <s v="CUST139"/>
    <d v="2025-07-31T00:00:00"/>
    <s v="Sports"/>
    <s v="South"/>
    <n v="2"/>
    <n v="35.57"/>
    <n v="71.14"/>
    <x v="1"/>
    <s v="Repeat Customer"/>
  </r>
  <r>
    <n v="10309"/>
    <s v="CUST184"/>
    <d v="2024-12-01T00:00:00"/>
    <s v="Fashion"/>
    <s v="West"/>
    <n v="9"/>
    <n v="223.71"/>
    <n v="2013.39"/>
    <x v="0"/>
    <s v="Repeat Customer"/>
  </r>
  <r>
    <n v="10310"/>
    <s v="CUST361"/>
    <d v="2025-04-01T00:00:00"/>
    <s v="Sports"/>
    <s v="West"/>
    <n v="1"/>
    <n v="229.45"/>
    <n v="229.45"/>
    <x v="3"/>
    <s v="New Customer"/>
  </r>
  <r>
    <n v="10311"/>
    <s v="CUST388"/>
    <d v="2024-02-29T00:00:00"/>
    <s v="Home"/>
    <s v="North"/>
    <n v="9"/>
    <n v="233.88"/>
    <n v="2104.92"/>
    <x v="3"/>
    <s v="Repeat Customer"/>
  </r>
  <r>
    <n v="10312"/>
    <s v="CUST230"/>
    <d v="2024-01-04T00:00:00"/>
    <s v="Electronics"/>
    <s v="West"/>
    <n v="4"/>
    <n v="291.26"/>
    <n v="1165.04"/>
    <x v="2"/>
    <s v="Repeat Customer"/>
  </r>
  <r>
    <n v="10313"/>
    <s v="CUST132"/>
    <d v="2025-07-08T00:00:00"/>
    <s v="Electronics"/>
    <s v="West"/>
    <n v="1"/>
    <n v="467.62"/>
    <n v="467.62"/>
    <x v="0"/>
    <s v="Repeat Customer"/>
  </r>
  <r>
    <n v="10314"/>
    <s v="CUST246"/>
    <d v="2025-02-22T00:00:00"/>
    <s v="Beauty"/>
    <s v="East"/>
    <n v="3"/>
    <n v="385.64"/>
    <n v="1156.92"/>
    <x v="3"/>
    <s v="Repeat Customer"/>
  </r>
  <r>
    <n v="10315"/>
    <s v="CUST329"/>
    <d v="2025-01-21T00:00:00"/>
    <s v="Sports"/>
    <s v="South"/>
    <n v="7"/>
    <n v="44.72"/>
    <n v="313.04000000000002"/>
    <x v="2"/>
    <s v="Repeat Customer"/>
  </r>
  <r>
    <n v="10316"/>
    <s v="CUST160"/>
    <d v="2024-07-01T00:00:00"/>
    <s v="Fashion"/>
    <s v="South"/>
    <n v="9"/>
    <n v="199.56"/>
    <n v="1796.04"/>
    <x v="0"/>
    <s v="Repeat Customer"/>
  </r>
  <r>
    <n v="10317"/>
    <s v="CUST111"/>
    <d v="2024-11-01T00:00:00"/>
    <s v="Sports"/>
    <s v="West"/>
    <n v="8"/>
    <n v="338.38"/>
    <n v="2707.04"/>
    <x v="3"/>
    <s v="Repeat Customer"/>
  </r>
  <r>
    <n v="10318"/>
    <s v="CUST217"/>
    <d v="2024-09-10T00:00:00"/>
    <s v="Home"/>
    <s v="South"/>
    <n v="8"/>
    <n v="176.35"/>
    <n v="1410.8"/>
    <x v="0"/>
    <s v="Repeat Customer"/>
  </r>
  <r>
    <n v="10319"/>
    <s v="CUST116"/>
    <d v="2025-11-07T00:00:00"/>
    <s v="Electronics"/>
    <s v="South"/>
    <n v="7"/>
    <n v="309.39"/>
    <n v="2165.73"/>
    <x v="1"/>
    <s v="Repeat Customer"/>
  </r>
  <r>
    <n v="10320"/>
    <s v="CUST134"/>
    <d v="2024-04-13T00:00:00"/>
    <s v="Sports"/>
    <s v="North"/>
    <n v="10"/>
    <n v="21.62"/>
    <n v="216.2"/>
    <x v="1"/>
    <s v="Repeat Customer"/>
  </r>
  <r>
    <n v="10321"/>
    <s v="CUST122"/>
    <d v="2025-02-15T00:00:00"/>
    <s v="Fashion"/>
    <s v="North"/>
    <n v="8"/>
    <n v="121"/>
    <n v="968"/>
    <x v="1"/>
    <s v="Repeat Customer"/>
  </r>
  <r>
    <n v="10322"/>
    <s v="CUST357"/>
    <d v="2024-10-23T00:00:00"/>
    <s v="Sports"/>
    <s v="East"/>
    <n v="4"/>
    <n v="408.81"/>
    <n v="1635.24"/>
    <x v="2"/>
    <s v="Repeat Customer"/>
  </r>
  <r>
    <n v="10323"/>
    <s v="CUST221"/>
    <d v="2024-11-05T00:00:00"/>
    <s v="Sports"/>
    <s v="South"/>
    <n v="3"/>
    <n v="492.92"/>
    <n v="1478.76"/>
    <x v="3"/>
    <s v="Repeat Customer"/>
  </r>
  <r>
    <n v="10324"/>
    <s v="CUST253"/>
    <d v="2024-10-08T00:00:00"/>
    <s v="Sports"/>
    <s v="South"/>
    <n v="1"/>
    <n v="280.58"/>
    <n v="280.58"/>
    <x v="3"/>
    <s v="Repeat Customer"/>
  </r>
  <r>
    <n v="10325"/>
    <s v="CUST384"/>
    <d v="2025-05-22T00:00:00"/>
    <s v="Beauty"/>
    <s v="East"/>
    <n v="1"/>
    <n v="486.28"/>
    <n v="486.28"/>
    <x v="3"/>
    <s v="Repeat Customer"/>
  </r>
  <r>
    <n v="10326"/>
    <s v="CUST309"/>
    <d v="2024-06-01T00:00:00"/>
    <s v="Sports"/>
    <s v="West"/>
    <n v="5"/>
    <n v="191.35"/>
    <n v="956.75"/>
    <x v="1"/>
    <s v="Repeat Customer"/>
  </r>
  <r>
    <n v="10327"/>
    <s v="CUST215"/>
    <d v="2024-11-03T00:00:00"/>
    <s v="Electronics"/>
    <s v="West"/>
    <n v="3"/>
    <n v="403.86"/>
    <n v="1211.58"/>
    <x v="3"/>
    <s v="Repeat Customer"/>
  </r>
  <r>
    <n v="10328"/>
    <s v="CUST385"/>
    <d v="2025-06-26T00:00:00"/>
    <s v="Home"/>
    <s v="South"/>
    <n v="3"/>
    <n v="197.27"/>
    <n v="591.80999999999995"/>
    <x v="2"/>
    <s v="Repeat Customer"/>
  </r>
  <r>
    <n v="10329"/>
    <s v="CUST140"/>
    <d v="2025-04-05T00:00:00"/>
    <s v="Fashion"/>
    <s v="North"/>
    <n v="6"/>
    <n v="50.77"/>
    <n v="304.62"/>
    <x v="2"/>
    <s v="Repeat Customer"/>
  </r>
  <r>
    <n v="10330"/>
    <s v="CUST293"/>
    <d v="2025-11-20T00:00:00"/>
    <s v="Electronics"/>
    <s v="South"/>
    <n v="10"/>
    <n v="303.45"/>
    <n v="3034.5"/>
    <x v="1"/>
    <s v="Repeat Customer"/>
  </r>
  <r>
    <n v="10331"/>
    <s v="CUST345"/>
    <d v="2024-08-01T00:00:00"/>
    <s v="Electronics"/>
    <s v="South"/>
    <n v="6"/>
    <n v="155.08000000000001"/>
    <n v="930.48"/>
    <x v="1"/>
    <s v="Repeat Customer"/>
  </r>
  <r>
    <n v="10332"/>
    <s v="CUST160"/>
    <d v="2025-05-05T00:00:00"/>
    <s v="Fashion"/>
    <s v="West"/>
    <n v="4"/>
    <n v="349.34"/>
    <n v="1397.36"/>
    <x v="1"/>
    <s v="Repeat Customer"/>
  </r>
  <r>
    <n v="10333"/>
    <s v="CUST382"/>
    <d v="2024-11-25T00:00:00"/>
    <s v="Sports"/>
    <s v="East"/>
    <n v="5"/>
    <n v="193.43"/>
    <n v="967.15"/>
    <x v="2"/>
    <s v="Repeat Customer"/>
  </r>
  <r>
    <n v="10334"/>
    <s v="CUST233"/>
    <d v="2025-01-03T00:00:00"/>
    <s v="Beauty"/>
    <s v="North"/>
    <n v="9"/>
    <n v="441.99"/>
    <n v="3977.91"/>
    <x v="3"/>
    <s v="Repeat Customer"/>
  </r>
  <r>
    <n v="10335"/>
    <s v="CUST263"/>
    <d v="2024-07-27T00:00:00"/>
    <s v="Electronics"/>
    <s v="South"/>
    <n v="6"/>
    <n v="159.9"/>
    <n v="959.4"/>
    <x v="1"/>
    <s v="Repeat Customer"/>
  </r>
  <r>
    <n v="10336"/>
    <s v="CUST108"/>
    <d v="2024-09-24T00:00:00"/>
    <s v="Sports"/>
    <s v="West"/>
    <n v="9"/>
    <n v="467.71"/>
    <n v="4209.3900000000003"/>
    <x v="2"/>
    <s v="Repeat Customer"/>
  </r>
  <r>
    <n v="10337"/>
    <s v="CUST178"/>
    <d v="2024-07-19T00:00:00"/>
    <s v="Sports"/>
    <s v="South"/>
    <n v="6"/>
    <n v="118.86"/>
    <n v="713.16"/>
    <x v="3"/>
    <s v="Repeat Customer"/>
  </r>
  <r>
    <n v="10338"/>
    <s v="CUST381"/>
    <d v="2025-11-01T00:00:00"/>
    <s v="Beauty"/>
    <s v="West"/>
    <n v="6"/>
    <n v="132.38"/>
    <n v="794.28"/>
    <x v="3"/>
    <s v="Repeat Customer"/>
  </r>
  <r>
    <n v="10339"/>
    <s v="CUST186"/>
    <d v="2024-12-26T00:00:00"/>
    <s v="Sports"/>
    <s v="West"/>
    <n v="3"/>
    <n v="74.28"/>
    <n v="222.84"/>
    <x v="1"/>
    <s v="Repeat Customer"/>
  </r>
  <r>
    <n v="10340"/>
    <s v="CUST377"/>
    <d v="2025-10-19T00:00:00"/>
    <s v="Electronics"/>
    <s v="North"/>
    <n v="1"/>
    <n v="264.35000000000002"/>
    <n v="264.35000000000002"/>
    <x v="0"/>
    <s v="Repeat Customer"/>
  </r>
  <r>
    <n v="10341"/>
    <s v="CUST311"/>
    <d v="2024-05-20T00:00:00"/>
    <s v="Fashion"/>
    <s v="North"/>
    <n v="4"/>
    <n v="38.64"/>
    <n v="154.56"/>
    <x v="1"/>
    <s v="Repeat Customer"/>
  </r>
  <r>
    <n v="10342"/>
    <s v="CUST358"/>
    <d v="2025-04-11T00:00:00"/>
    <s v="Sports"/>
    <s v="West"/>
    <n v="6"/>
    <n v="34.92"/>
    <n v="209.52"/>
    <x v="3"/>
    <s v="Repeat Customer"/>
  </r>
  <r>
    <n v="10343"/>
    <s v="CUST108"/>
    <d v="2024-01-07T00:00:00"/>
    <s v="Electronics"/>
    <s v="North"/>
    <n v="9"/>
    <n v="278.06"/>
    <n v="2502.54"/>
    <x v="2"/>
    <s v="Repeat Customer"/>
  </r>
  <r>
    <n v="10344"/>
    <s v="CUST374"/>
    <d v="2024-10-20T00:00:00"/>
    <s v="Beauty"/>
    <s v="South"/>
    <n v="1"/>
    <n v="253.6"/>
    <n v="253.6"/>
    <x v="0"/>
    <s v="Repeat Customer"/>
  </r>
  <r>
    <n v="10345"/>
    <s v="CUST149"/>
    <d v="2025-06-20T00:00:00"/>
    <s v="Sports"/>
    <s v="East"/>
    <n v="3"/>
    <n v="124.28"/>
    <n v="372.84"/>
    <x v="2"/>
    <s v="Repeat Customer"/>
  </r>
  <r>
    <n v="10346"/>
    <s v="CUST236"/>
    <d v="2025-02-10T00:00:00"/>
    <s v="Beauty"/>
    <s v="West"/>
    <n v="2"/>
    <n v="189.66"/>
    <n v="379.32"/>
    <x v="1"/>
    <s v="Repeat Customer"/>
  </r>
  <r>
    <n v="10347"/>
    <s v="CUST215"/>
    <d v="2024-11-03T00:00:00"/>
    <s v="Electronics"/>
    <s v="North"/>
    <n v="2"/>
    <n v="328.6"/>
    <n v="657.2"/>
    <x v="3"/>
    <s v="Repeat Customer"/>
  </r>
  <r>
    <n v="10348"/>
    <s v="CUST294"/>
    <d v="2025-01-21T00:00:00"/>
    <s v="Electronics"/>
    <s v="South"/>
    <n v="9"/>
    <n v="240.62"/>
    <n v="2165.58"/>
    <x v="0"/>
    <s v="Repeat Customer"/>
  </r>
  <r>
    <n v="10349"/>
    <s v="CUST355"/>
    <d v="2025-03-20T00:00:00"/>
    <s v="Electronics"/>
    <s v="North"/>
    <n v="6"/>
    <n v="285.10000000000002"/>
    <n v="1710.6"/>
    <x v="1"/>
    <s v="Repeat Customer"/>
  </r>
  <r>
    <n v="10350"/>
    <s v="CUST208"/>
    <d v="2025-12-09T00:00:00"/>
    <s v="Electronics"/>
    <s v="North"/>
    <n v="10"/>
    <n v="240.37"/>
    <n v="2403.6999999999998"/>
    <x v="2"/>
    <s v="Repeat Customer"/>
  </r>
  <r>
    <n v="10351"/>
    <s v="CUST378"/>
    <d v="2025-07-31T00:00:00"/>
    <s v="Home"/>
    <s v="North"/>
    <n v="1"/>
    <n v="93.78"/>
    <n v="93.78"/>
    <x v="1"/>
    <s v="Repeat Customer"/>
  </r>
  <r>
    <n v="10352"/>
    <s v="CUST173"/>
    <d v="2025-12-30T00:00:00"/>
    <s v="Home"/>
    <s v="South"/>
    <n v="7"/>
    <n v="464.79"/>
    <n v="3253.53"/>
    <x v="1"/>
    <s v="Repeat Customer"/>
  </r>
  <r>
    <n v="10353"/>
    <s v="CUST390"/>
    <d v="2025-02-02T00:00:00"/>
    <s v="Fashion"/>
    <s v="North"/>
    <n v="9"/>
    <n v="169.21"/>
    <n v="1522.89"/>
    <x v="2"/>
    <s v="Repeat Customer"/>
  </r>
  <r>
    <n v="10354"/>
    <s v="CUST127"/>
    <d v="2024-04-10T00:00:00"/>
    <s v="Electronics"/>
    <s v="East"/>
    <n v="7"/>
    <n v="119.91"/>
    <n v="839.37"/>
    <x v="3"/>
    <s v="Repeat Customer"/>
  </r>
  <r>
    <n v="10355"/>
    <s v="CUST267"/>
    <d v="2024-01-31T00:00:00"/>
    <s v="Beauty"/>
    <s v="West"/>
    <n v="5"/>
    <n v="392.86"/>
    <n v="1964.3"/>
    <x v="1"/>
    <s v="Repeat Customer"/>
  </r>
  <r>
    <n v="10356"/>
    <s v="CUST282"/>
    <d v="2025-07-20T00:00:00"/>
    <s v="Sports"/>
    <s v="West"/>
    <n v="7"/>
    <n v="218.76"/>
    <n v="1531.32"/>
    <x v="0"/>
    <s v="Repeat Customer"/>
  </r>
  <r>
    <n v="10357"/>
    <s v="CUST251"/>
    <d v="2024-09-09T00:00:00"/>
    <s v="Fashion"/>
    <s v="West"/>
    <n v="2"/>
    <n v="45.61"/>
    <n v="91.22"/>
    <x v="1"/>
    <s v="Repeat Customer"/>
  </r>
  <r>
    <n v="10358"/>
    <s v="CUST299"/>
    <d v="2024-11-20T00:00:00"/>
    <s v="Electronics"/>
    <s v="East"/>
    <n v="6"/>
    <n v="57.74"/>
    <n v="346.44"/>
    <x v="3"/>
    <s v="Repeat Customer"/>
  </r>
  <r>
    <n v="10359"/>
    <s v="CUST284"/>
    <d v="2024-10-03T00:00:00"/>
    <s v="Fashion"/>
    <s v="West"/>
    <n v="2"/>
    <n v="70.59"/>
    <n v="141.18"/>
    <x v="3"/>
    <s v="Repeat Customer"/>
  </r>
  <r>
    <n v="10360"/>
    <s v="CUST385"/>
    <d v="2025-07-22T00:00:00"/>
    <s v="Electronics"/>
    <s v="North"/>
    <n v="9"/>
    <n v="206.98"/>
    <n v="1862.82"/>
    <x v="2"/>
    <s v="Repeat Customer"/>
  </r>
  <r>
    <n v="10361"/>
    <s v="CUST383"/>
    <d v="2024-04-05T00:00:00"/>
    <s v="Home"/>
    <s v="West"/>
    <n v="10"/>
    <n v="301.02999999999997"/>
    <n v="3010.3"/>
    <x v="0"/>
    <s v="Repeat Customer"/>
  </r>
  <r>
    <n v="10362"/>
    <s v="CUST249"/>
    <d v="2025-02-27T00:00:00"/>
    <s v="Sports"/>
    <s v="South"/>
    <n v="7"/>
    <n v="390.69"/>
    <n v="2734.83"/>
    <x v="1"/>
    <s v="Repeat Customer"/>
  </r>
  <r>
    <n v="10363"/>
    <s v="CUST294"/>
    <d v="2024-06-22T00:00:00"/>
    <s v="Home"/>
    <s v="West"/>
    <n v="3"/>
    <n v="138.11000000000001"/>
    <n v="414.33"/>
    <x v="1"/>
    <s v="Repeat Customer"/>
  </r>
  <r>
    <n v="10364"/>
    <s v="CUST132"/>
    <d v="2024-06-20T00:00:00"/>
    <s v="Home"/>
    <s v="West"/>
    <n v="7"/>
    <n v="141.6"/>
    <n v="991.2"/>
    <x v="0"/>
    <s v="Repeat Customer"/>
  </r>
  <r>
    <n v="10365"/>
    <s v="CUST284"/>
    <d v="2024-09-14T00:00:00"/>
    <s v="Beauty"/>
    <s v="South"/>
    <n v="4"/>
    <n v="361.85"/>
    <n v="1447.4"/>
    <x v="3"/>
    <s v="Repeat Customer"/>
  </r>
  <r>
    <n v="10366"/>
    <s v="CUST154"/>
    <d v="2024-05-18T00:00:00"/>
    <s v="Beauty"/>
    <s v="East"/>
    <n v="5"/>
    <n v="8.35"/>
    <n v="41.75"/>
    <x v="3"/>
    <s v="Repeat Customer"/>
  </r>
  <r>
    <n v="10367"/>
    <s v="CUST268"/>
    <d v="2025-03-26T00:00:00"/>
    <s v="Sports"/>
    <s v="South"/>
    <n v="6"/>
    <n v="218.16"/>
    <n v="1308.96"/>
    <x v="2"/>
    <s v="Repeat Customer"/>
  </r>
  <r>
    <n v="10368"/>
    <s v="CUST264"/>
    <d v="2025-09-09T00:00:00"/>
    <s v="Fashion"/>
    <s v="West"/>
    <n v="4"/>
    <n v="242.11"/>
    <n v="968.44"/>
    <x v="2"/>
    <s v="Repeat Customer"/>
  </r>
  <r>
    <n v="10369"/>
    <s v="CUST249"/>
    <d v="2025-12-12T00:00:00"/>
    <s v="Fashion"/>
    <s v="East"/>
    <n v="8"/>
    <n v="484.04"/>
    <n v="3872.32"/>
    <x v="3"/>
    <s v="Repeat Customer"/>
  </r>
  <r>
    <n v="10370"/>
    <s v="CUST243"/>
    <d v="2025-02-06T00:00:00"/>
    <s v="Sports"/>
    <s v="South"/>
    <n v="6"/>
    <n v="61.37"/>
    <n v="368.22"/>
    <x v="1"/>
    <s v="Repeat Customer"/>
  </r>
  <r>
    <n v="10371"/>
    <s v="CUST381"/>
    <d v="2024-01-28T00:00:00"/>
    <s v="Fashion"/>
    <s v="West"/>
    <n v="8"/>
    <n v="471.77"/>
    <n v="3774.16"/>
    <x v="2"/>
    <s v="Repeat Customer"/>
  </r>
  <r>
    <n v="10372"/>
    <s v="CUST135"/>
    <d v="2025-02-22T00:00:00"/>
    <s v="Home"/>
    <s v="South"/>
    <n v="8"/>
    <n v="73.89"/>
    <n v="591.12"/>
    <x v="2"/>
    <s v="Repeat Customer"/>
  </r>
  <r>
    <n v="10373"/>
    <s v="CUST178"/>
    <d v="2025-03-09T00:00:00"/>
    <s v="Sports"/>
    <s v="West"/>
    <n v="7"/>
    <n v="41.61"/>
    <n v="291.27"/>
    <x v="3"/>
    <s v="Repeat Customer"/>
  </r>
  <r>
    <n v="10374"/>
    <s v="CUST373"/>
    <d v="2025-06-02T00:00:00"/>
    <s v="Home"/>
    <s v="North"/>
    <n v="7"/>
    <n v="274.10000000000002"/>
    <n v="1918.7"/>
    <x v="0"/>
    <s v="Repeat Customer"/>
  </r>
  <r>
    <n v="10375"/>
    <s v="CUST227"/>
    <d v="2025-11-04T00:00:00"/>
    <s v="Sports"/>
    <s v="North"/>
    <n v="6"/>
    <n v="87.34"/>
    <n v="524.04"/>
    <x v="3"/>
    <s v="Repeat Customer"/>
  </r>
  <r>
    <n v="10376"/>
    <s v="CUST269"/>
    <d v="2025-03-16T00:00:00"/>
    <s v="Home"/>
    <s v="South"/>
    <n v="2"/>
    <n v="10.220000000000001"/>
    <n v="20.440000000000001"/>
    <x v="1"/>
    <s v="Repeat Customer"/>
  </r>
  <r>
    <n v="10377"/>
    <s v="CUST328"/>
    <d v="2025-01-18T00:00:00"/>
    <s v="Sports"/>
    <s v="South"/>
    <n v="7"/>
    <n v="234.22"/>
    <n v="1639.54"/>
    <x v="2"/>
    <s v="Repeat Customer"/>
  </r>
  <r>
    <n v="10378"/>
    <s v="CUST112"/>
    <d v="2025-05-09T00:00:00"/>
    <s v="Electronics"/>
    <s v="North"/>
    <n v="2"/>
    <n v="151.24"/>
    <n v="302.48"/>
    <x v="1"/>
    <s v="Repeat Customer"/>
  </r>
  <r>
    <n v="10379"/>
    <s v="CUST278"/>
    <d v="2024-11-15T00:00:00"/>
    <s v="Fashion"/>
    <s v="West"/>
    <n v="6"/>
    <n v="230.39"/>
    <n v="1382.34"/>
    <x v="2"/>
    <s v="Repeat Customer"/>
  </r>
  <r>
    <n v="10380"/>
    <s v="CUST343"/>
    <d v="2024-04-09T00:00:00"/>
    <s v="Beauty"/>
    <s v="East"/>
    <n v="8"/>
    <n v="362.39"/>
    <n v="2899.12"/>
    <x v="0"/>
    <s v="Repeat Customer"/>
  </r>
  <r>
    <n v="10381"/>
    <s v="CUST253"/>
    <d v="2024-02-15T00:00:00"/>
    <s v="Home"/>
    <s v="North"/>
    <n v="2"/>
    <n v="16.18"/>
    <n v="32.36"/>
    <x v="1"/>
    <s v="Repeat Customer"/>
  </r>
  <r>
    <n v="10382"/>
    <s v="CUST224"/>
    <d v="2025-06-12T00:00:00"/>
    <s v="Home"/>
    <s v="West"/>
    <n v="3"/>
    <n v="278.2"/>
    <n v="834.6"/>
    <x v="3"/>
    <s v="Repeat Customer"/>
  </r>
  <r>
    <n v="10383"/>
    <s v="CUST218"/>
    <d v="2025-02-18T00:00:00"/>
    <s v="Beauty"/>
    <s v="West"/>
    <n v="3"/>
    <n v="97.26"/>
    <n v="291.77999999999997"/>
    <x v="0"/>
    <s v="Repeat Customer"/>
  </r>
  <r>
    <n v="10384"/>
    <s v="CUST201"/>
    <d v="2025-04-05T00:00:00"/>
    <s v="Electronics"/>
    <s v="South"/>
    <n v="10"/>
    <n v="217.63"/>
    <n v="2176.3000000000002"/>
    <x v="1"/>
    <s v="Repeat Customer"/>
  </r>
  <r>
    <n v="10385"/>
    <s v="CUST242"/>
    <d v="2025-12-21T00:00:00"/>
    <s v="Sports"/>
    <s v="South"/>
    <n v="2"/>
    <n v="290.79000000000002"/>
    <n v="581.58000000000004"/>
    <x v="2"/>
    <s v="Repeat Customer"/>
  </r>
  <r>
    <n v="10386"/>
    <s v="CUST266"/>
    <d v="2024-07-20T00:00:00"/>
    <s v="Beauty"/>
    <s v="East"/>
    <n v="8"/>
    <n v="61.41"/>
    <n v="491.28"/>
    <x v="3"/>
    <s v="Repeat Customer"/>
  </r>
  <r>
    <n v="10387"/>
    <s v="CUST300"/>
    <d v="2025-08-24T00:00:00"/>
    <s v="Beauty"/>
    <s v="South"/>
    <n v="2"/>
    <n v="177.22"/>
    <n v="354.44"/>
    <x v="2"/>
    <s v="Repeat Customer"/>
  </r>
  <r>
    <n v="10388"/>
    <s v="CUST143"/>
    <d v="2025-11-19T00:00:00"/>
    <s v="Fashion"/>
    <s v="East"/>
    <n v="3"/>
    <n v="160.03"/>
    <n v="480.09"/>
    <x v="0"/>
    <s v="Repeat Customer"/>
  </r>
  <r>
    <n v="10389"/>
    <s v="CUST193"/>
    <d v="2025-01-17T00:00:00"/>
    <s v="Beauty"/>
    <s v="South"/>
    <n v="3"/>
    <n v="257.86"/>
    <n v="773.58"/>
    <x v="3"/>
    <s v="Repeat Customer"/>
  </r>
  <r>
    <n v="10390"/>
    <s v="CUST316"/>
    <d v="2024-07-09T00:00:00"/>
    <s v="Fashion"/>
    <s v="South"/>
    <n v="8"/>
    <n v="319.57"/>
    <n v="2556.56"/>
    <x v="3"/>
    <s v="Repeat Customer"/>
  </r>
  <r>
    <n v="10391"/>
    <s v="CUST247"/>
    <d v="2024-05-23T00:00:00"/>
    <s v="Beauty"/>
    <s v="North"/>
    <n v="3"/>
    <n v="160.72"/>
    <n v="482.16"/>
    <x v="2"/>
    <s v="Repeat Customer"/>
  </r>
  <r>
    <n v="10392"/>
    <s v="CUST104"/>
    <d v="2025-05-11T00:00:00"/>
    <s v="Beauty"/>
    <s v="West"/>
    <n v="3"/>
    <n v="101.59"/>
    <n v="304.77"/>
    <x v="3"/>
    <s v="Repeat Customer"/>
  </r>
  <r>
    <n v="10393"/>
    <s v="CUST351"/>
    <d v="2025-03-01T00:00:00"/>
    <s v="Electronics"/>
    <s v="North"/>
    <n v="8"/>
    <n v="246.91"/>
    <n v="1975.28"/>
    <x v="1"/>
    <s v="Repeat Customer"/>
  </r>
  <r>
    <n v="10394"/>
    <s v="CUST249"/>
    <d v="2024-02-03T00:00:00"/>
    <s v="Home"/>
    <s v="South"/>
    <n v="5"/>
    <n v="116.3"/>
    <n v="581.5"/>
    <x v="3"/>
    <s v="Repeat Customer"/>
  </r>
  <r>
    <n v="10395"/>
    <s v="CUST389"/>
    <d v="2025-05-22T00:00:00"/>
    <s v="Sports"/>
    <s v="North"/>
    <n v="9"/>
    <n v="257.85000000000002"/>
    <n v="2320.65"/>
    <x v="2"/>
    <s v="Repeat Customer"/>
  </r>
  <r>
    <n v="10396"/>
    <s v="CUST378"/>
    <d v="2025-01-10T00:00:00"/>
    <s v="Electronics"/>
    <s v="West"/>
    <n v="9"/>
    <n v="412.19"/>
    <n v="3709.71"/>
    <x v="1"/>
    <s v="Repeat Customer"/>
  </r>
  <r>
    <n v="10397"/>
    <s v="CUST317"/>
    <d v="2024-04-14T00:00:00"/>
    <s v="Electronics"/>
    <s v="West"/>
    <n v="4"/>
    <n v="152.37"/>
    <n v="609.48"/>
    <x v="2"/>
    <s v="Repeat Customer"/>
  </r>
  <r>
    <n v="10398"/>
    <s v="CUST278"/>
    <d v="2024-03-30T00:00:00"/>
    <s v="Electronics"/>
    <s v="South"/>
    <n v="8"/>
    <n v="433.32"/>
    <n v="3466.56"/>
    <x v="1"/>
    <s v="Repeat Customer"/>
  </r>
  <r>
    <n v="10399"/>
    <s v="CUST279"/>
    <d v="2025-12-28T00:00:00"/>
    <s v="Fashion"/>
    <s v="South"/>
    <n v="10"/>
    <n v="318.22000000000003"/>
    <n v="3182.2"/>
    <x v="1"/>
    <s v="Repeat Customer"/>
  </r>
  <r>
    <n v="10400"/>
    <s v="CUST205"/>
    <d v="2024-03-01T00:00:00"/>
    <s v="Home"/>
    <s v="South"/>
    <n v="10"/>
    <n v="178.65"/>
    <n v="1786.5"/>
    <x v="2"/>
    <s v="Repeat Customer"/>
  </r>
  <r>
    <n v="10401"/>
    <s v="CUST249"/>
    <d v="2024-10-23T00:00:00"/>
    <s v="Sports"/>
    <s v="North"/>
    <n v="10"/>
    <n v="137.33000000000001"/>
    <n v="1373.3"/>
    <x v="1"/>
    <s v="Repeat Customer"/>
  </r>
  <r>
    <n v="10402"/>
    <s v="CUST310"/>
    <d v="2024-03-01T00:00:00"/>
    <s v="Fashion"/>
    <s v="South"/>
    <n v="5"/>
    <n v="434.19"/>
    <n v="2170.9499999999998"/>
    <x v="1"/>
    <s v="Repeat Customer"/>
  </r>
  <r>
    <n v="10403"/>
    <s v="CUST174"/>
    <d v="2025-12-29T00:00:00"/>
    <s v="Beauty"/>
    <s v="West"/>
    <n v="6"/>
    <n v="415.1"/>
    <n v="2490.6"/>
    <x v="1"/>
    <s v="Repeat Customer"/>
  </r>
  <r>
    <n v="10404"/>
    <s v="CUST395"/>
    <d v="2025-10-09T00:00:00"/>
    <s v="Beauty"/>
    <s v="West"/>
    <n v="5"/>
    <n v="315.77"/>
    <n v="1578.85"/>
    <x v="0"/>
    <s v="Repeat Customer"/>
  </r>
  <r>
    <n v="10405"/>
    <s v="CUST147"/>
    <d v="2025-02-16T00:00:00"/>
    <s v="Home"/>
    <s v="West"/>
    <n v="9"/>
    <n v="376.15"/>
    <n v="3385.35"/>
    <x v="3"/>
    <s v="Repeat Customer"/>
  </r>
  <r>
    <n v="10406"/>
    <s v="CUST267"/>
    <d v="2025-08-18T00:00:00"/>
    <s v="Electronics"/>
    <s v="West"/>
    <n v="1"/>
    <n v="435.11"/>
    <n v="435.11"/>
    <x v="2"/>
    <s v="Repeat Customer"/>
  </r>
  <r>
    <n v="10407"/>
    <s v="CUST132"/>
    <d v="2025-07-01T00:00:00"/>
    <s v="Beauty"/>
    <s v="South"/>
    <n v="7"/>
    <n v="112.83"/>
    <n v="789.81"/>
    <x v="3"/>
    <s v="Repeat Customer"/>
  </r>
  <r>
    <n v="10408"/>
    <s v="CUST237"/>
    <d v="2024-11-26T00:00:00"/>
    <s v="Sports"/>
    <s v="South"/>
    <n v="5"/>
    <n v="172.19"/>
    <n v="860.95"/>
    <x v="3"/>
    <s v="Repeat Customer"/>
  </r>
  <r>
    <n v="10409"/>
    <s v="CUST275"/>
    <d v="2025-11-29T00:00:00"/>
    <s v="Beauty"/>
    <s v="North"/>
    <n v="1"/>
    <n v="27.74"/>
    <n v="27.74"/>
    <x v="0"/>
    <s v="Repeat Customer"/>
  </r>
  <r>
    <n v="10410"/>
    <s v="CUST180"/>
    <d v="2025-03-27T00:00:00"/>
    <s v="Beauty"/>
    <s v="South"/>
    <n v="8"/>
    <n v="5.33"/>
    <n v="42.64"/>
    <x v="1"/>
    <s v="Repeat Customer"/>
  </r>
  <r>
    <n v="10411"/>
    <s v="CUST254"/>
    <d v="2024-06-11T00:00:00"/>
    <s v="Home"/>
    <s v="East"/>
    <n v="5"/>
    <n v="51.2"/>
    <n v="256"/>
    <x v="0"/>
    <s v="Repeat Customer"/>
  </r>
  <r>
    <n v="10412"/>
    <s v="CUST290"/>
    <d v="2025-11-11T00:00:00"/>
    <s v="Home"/>
    <s v="South"/>
    <n v="3"/>
    <n v="30.63"/>
    <n v="91.89"/>
    <x v="3"/>
    <s v="Repeat Customer"/>
  </r>
  <r>
    <n v="10413"/>
    <s v="CUST146"/>
    <d v="2025-12-21T00:00:00"/>
    <s v="Beauty"/>
    <s v="North"/>
    <n v="2"/>
    <n v="5.54"/>
    <n v="11.08"/>
    <x v="1"/>
    <s v="Repeat Customer"/>
  </r>
  <r>
    <n v="10414"/>
    <s v="CUST215"/>
    <d v="2025-06-15T00:00:00"/>
    <s v="Home"/>
    <s v="North"/>
    <n v="8"/>
    <n v="9.6"/>
    <n v="76.8"/>
    <x v="3"/>
    <s v="Repeat Customer"/>
  </r>
  <r>
    <n v="10415"/>
    <s v="CUST167"/>
    <d v="2025-05-04T00:00:00"/>
    <s v="Electronics"/>
    <s v="North"/>
    <n v="2"/>
    <n v="118.33"/>
    <n v="236.66"/>
    <x v="0"/>
    <s v="Repeat Customer"/>
  </r>
  <r>
    <n v="10416"/>
    <s v="CUST260"/>
    <d v="2025-01-11T00:00:00"/>
    <s v="Fashion"/>
    <s v="South"/>
    <n v="5"/>
    <n v="72.88"/>
    <n v="364.4"/>
    <x v="0"/>
    <s v="Repeat Customer"/>
  </r>
  <r>
    <n v="10417"/>
    <s v="CUST371"/>
    <d v="2025-07-30T00:00:00"/>
    <s v="Fashion"/>
    <s v="West"/>
    <n v="1"/>
    <n v="307.11"/>
    <n v="307.11"/>
    <x v="2"/>
    <s v="Repeat Customer"/>
  </r>
  <r>
    <n v="10418"/>
    <s v="CUST209"/>
    <d v="2025-10-05T00:00:00"/>
    <s v="Sports"/>
    <s v="West"/>
    <n v="3"/>
    <n v="460.35"/>
    <n v="1381.05"/>
    <x v="1"/>
    <s v="Repeat Customer"/>
  </r>
  <r>
    <n v="10419"/>
    <s v="CUST144"/>
    <d v="2024-04-12T00:00:00"/>
    <s v="Sports"/>
    <s v="West"/>
    <n v="3"/>
    <n v="377.46"/>
    <n v="1132.3800000000001"/>
    <x v="2"/>
    <s v="Repeat Customer"/>
  </r>
  <r>
    <n v="10420"/>
    <s v="CUST319"/>
    <d v="2024-11-18T00:00:00"/>
    <s v="Electronics"/>
    <s v="South"/>
    <n v="3"/>
    <n v="127.65"/>
    <n v="382.95"/>
    <x v="2"/>
    <s v="Repeat Customer"/>
  </r>
  <r>
    <n v="10421"/>
    <s v="CUST113"/>
    <d v="2025-11-05T00:00:00"/>
    <s v="Sports"/>
    <s v="South"/>
    <n v="5"/>
    <n v="106.7"/>
    <n v="533.5"/>
    <x v="3"/>
    <s v="Repeat Customer"/>
  </r>
  <r>
    <n v="10422"/>
    <s v="CUST251"/>
    <d v="2025-10-23T00:00:00"/>
    <s v="Fashion"/>
    <s v="West"/>
    <n v="1"/>
    <n v="392.98"/>
    <n v="392.98"/>
    <x v="3"/>
    <s v="Repeat Customer"/>
  </r>
  <r>
    <n v="10423"/>
    <s v="CUST157"/>
    <d v="2024-09-03T00:00:00"/>
    <s v="Electronics"/>
    <s v="North"/>
    <n v="8"/>
    <n v="320.85000000000002"/>
    <n v="2566.8000000000002"/>
    <x v="2"/>
    <s v="Repeat Customer"/>
  </r>
  <r>
    <n v="10424"/>
    <s v="CUST262"/>
    <d v="2024-05-15T00:00:00"/>
    <s v="Sports"/>
    <s v="West"/>
    <n v="7"/>
    <n v="431.1"/>
    <n v="3017.7"/>
    <x v="2"/>
    <s v="Repeat Customer"/>
  </r>
  <r>
    <n v="10425"/>
    <s v="CUST379"/>
    <d v="2025-11-30T00:00:00"/>
    <s v="Electronics"/>
    <s v="North"/>
    <n v="3"/>
    <n v="382.55"/>
    <n v="1147.6500000000001"/>
    <x v="0"/>
    <s v="Repeat Customer"/>
  </r>
  <r>
    <n v="10426"/>
    <s v="CUST107"/>
    <d v="2024-09-25T00:00:00"/>
    <s v="Electronics"/>
    <s v="West"/>
    <n v="4"/>
    <n v="24.71"/>
    <n v="98.84"/>
    <x v="2"/>
    <s v="Repeat Customer"/>
  </r>
  <r>
    <n v="10427"/>
    <s v="CUST356"/>
    <d v="2025-03-01T00:00:00"/>
    <s v="Electronics"/>
    <s v="South"/>
    <n v="7"/>
    <n v="352.4"/>
    <n v="2466.8000000000002"/>
    <x v="2"/>
    <s v="Repeat Customer"/>
  </r>
  <r>
    <n v="10428"/>
    <s v="CUST142"/>
    <d v="2024-11-13T00:00:00"/>
    <s v="Fashion"/>
    <s v="South"/>
    <n v="2"/>
    <n v="258.10000000000002"/>
    <n v="516.20000000000005"/>
    <x v="2"/>
    <s v="Repeat Customer"/>
  </r>
  <r>
    <n v="10429"/>
    <s v="CUST300"/>
    <d v="2025-08-23T00:00:00"/>
    <s v="Beauty"/>
    <s v="South"/>
    <n v="2"/>
    <n v="158.53"/>
    <n v="317.06"/>
    <x v="0"/>
    <s v="Repeat Customer"/>
  </r>
  <r>
    <n v="10430"/>
    <s v="CUST225"/>
    <d v="2024-03-29T00:00:00"/>
    <s v="Sports"/>
    <s v="North"/>
    <n v="7"/>
    <n v="62.41"/>
    <n v="436.87"/>
    <x v="2"/>
    <s v="Repeat Customer"/>
  </r>
  <r>
    <n v="10431"/>
    <s v="CUST189"/>
    <d v="2024-05-02T00:00:00"/>
    <s v="Electronics"/>
    <s v="South"/>
    <n v="1"/>
    <n v="355.41"/>
    <n v="355.41"/>
    <x v="3"/>
    <s v="Repeat Customer"/>
  </r>
  <r>
    <n v="10432"/>
    <s v="CUST277"/>
    <d v="2025-06-19T00:00:00"/>
    <s v="Home"/>
    <s v="South"/>
    <n v="9"/>
    <n v="392.58"/>
    <n v="3533.22"/>
    <x v="2"/>
    <s v="Repeat Customer"/>
  </r>
  <r>
    <n v="10433"/>
    <s v="CUST164"/>
    <d v="2024-10-02T00:00:00"/>
    <s v="Electronics"/>
    <s v="East"/>
    <n v="2"/>
    <n v="386.86"/>
    <n v="773.72"/>
    <x v="3"/>
    <s v="Repeat Customer"/>
  </r>
  <r>
    <n v="10434"/>
    <s v="CUST239"/>
    <d v="2025-06-20T00:00:00"/>
    <s v="Sports"/>
    <s v="North"/>
    <n v="2"/>
    <n v="135.16"/>
    <n v="270.32"/>
    <x v="3"/>
    <s v="Repeat Customer"/>
  </r>
  <r>
    <n v="10435"/>
    <s v="CUST333"/>
    <d v="2025-06-07T00:00:00"/>
    <s v="Sports"/>
    <s v="South"/>
    <n v="6"/>
    <n v="32.44"/>
    <n v="194.64"/>
    <x v="2"/>
    <s v="Repeat Customer"/>
  </r>
  <r>
    <n v="10436"/>
    <s v="CUST180"/>
    <d v="2024-09-18T00:00:00"/>
    <s v="Electronics"/>
    <s v="South"/>
    <n v="2"/>
    <n v="447.66"/>
    <n v="895.32"/>
    <x v="0"/>
    <s v="Repeat Customer"/>
  </r>
  <r>
    <n v="10437"/>
    <s v="CUST122"/>
    <d v="2024-01-13T00:00:00"/>
    <s v="Home"/>
    <s v="West"/>
    <n v="4"/>
    <n v="27.76"/>
    <n v="111.04"/>
    <x v="1"/>
    <s v="Repeat Customer"/>
  </r>
  <r>
    <n v="10438"/>
    <s v="CUST191"/>
    <d v="2024-02-06T00:00:00"/>
    <s v="Beauty"/>
    <s v="South"/>
    <n v="9"/>
    <n v="402.54"/>
    <n v="3622.86"/>
    <x v="2"/>
    <s v="Repeat Customer"/>
  </r>
  <r>
    <n v="10439"/>
    <s v="CUST227"/>
    <d v="2025-03-02T00:00:00"/>
    <s v="Electronics"/>
    <s v="East"/>
    <n v="6"/>
    <n v="139.27000000000001"/>
    <n v="835.62"/>
    <x v="0"/>
    <s v="Repeat Customer"/>
  </r>
  <r>
    <n v="10440"/>
    <s v="CUST357"/>
    <d v="2025-11-20T00:00:00"/>
    <s v="Sports"/>
    <s v="North"/>
    <n v="1"/>
    <n v="93.78"/>
    <n v="93.78"/>
    <x v="3"/>
    <s v="Repeat Customer"/>
  </r>
  <r>
    <n v="10441"/>
    <s v="CUST135"/>
    <d v="2025-04-21T00:00:00"/>
    <s v="Home"/>
    <s v="East"/>
    <n v="5"/>
    <n v="387.9"/>
    <n v="1939.5"/>
    <x v="0"/>
    <s v="Repeat Customer"/>
  </r>
  <r>
    <n v="10442"/>
    <s v="CUST383"/>
    <d v="2025-04-12T00:00:00"/>
    <s v="Home"/>
    <s v="East"/>
    <n v="1"/>
    <n v="187.62"/>
    <n v="187.62"/>
    <x v="1"/>
    <s v="Repeat Customer"/>
  </r>
  <r>
    <n v="10443"/>
    <s v="CUST337"/>
    <d v="2025-01-12T00:00:00"/>
    <s v="Fashion"/>
    <s v="South"/>
    <n v="10"/>
    <n v="486.07"/>
    <n v="4860.7"/>
    <x v="1"/>
    <s v="Repeat Customer"/>
  </r>
  <r>
    <n v="10444"/>
    <s v="CUST103"/>
    <d v="2025-02-23T00:00:00"/>
    <s v="Home"/>
    <s v="North"/>
    <n v="1"/>
    <n v="120.33"/>
    <n v="120.33"/>
    <x v="2"/>
    <s v="Repeat Customer"/>
  </r>
  <r>
    <n v="10445"/>
    <s v="CUST100"/>
    <d v="2025-11-04T00:00:00"/>
    <s v="Home"/>
    <s v="North"/>
    <n v="7"/>
    <n v="425.26"/>
    <n v="2976.82"/>
    <x v="1"/>
    <s v="Repeat Customer"/>
  </r>
  <r>
    <n v="10446"/>
    <s v="CUST371"/>
    <d v="2024-08-31T00:00:00"/>
    <s v="Electronics"/>
    <s v="South"/>
    <n v="7"/>
    <n v="248.55"/>
    <n v="1739.85"/>
    <x v="2"/>
    <s v="Repeat Customer"/>
  </r>
  <r>
    <n v="10447"/>
    <s v="CUST147"/>
    <d v="2024-02-14T00:00:00"/>
    <s v="Sports"/>
    <s v="West"/>
    <n v="4"/>
    <n v="449.16"/>
    <n v="1796.64"/>
    <x v="2"/>
    <s v="Repeat Customer"/>
  </r>
  <r>
    <n v="10448"/>
    <s v="CUST334"/>
    <d v="2024-03-27T00:00:00"/>
    <s v="Fashion"/>
    <s v="West"/>
    <n v="10"/>
    <n v="52.31"/>
    <n v="523.1"/>
    <x v="0"/>
    <s v="Repeat Customer"/>
  </r>
  <r>
    <n v="10449"/>
    <s v="CUST390"/>
    <d v="2024-03-04T00:00:00"/>
    <s v="Fashion"/>
    <s v="South"/>
    <n v="7"/>
    <n v="332.91"/>
    <n v="2330.37"/>
    <x v="2"/>
    <s v="Repeat Customer"/>
  </r>
  <r>
    <n v="10450"/>
    <s v="CUST233"/>
    <d v="2024-11-18T00:00:00"/>
    <s v="Home"/>
    <s v="East"/>
    <n v="7"/>
    <n v="351.86"/>
    <n v="2463.02"/>
    <x v="3"/>
    <s v="Repeat Customer"/>
  </r>
  <r>
    <n v="10451"/>
    <s v="CUST239"/>
    <d v="2024-08-27T00:00:00"/>
    <s v="Fashion"/>
    <s v="North"/>
    <n v="2"/>
    <n v="472.06"/>
    <n v="944.12"/>
    <x v="1"/>
    <s v="Repeat Customer"/>
  </r>
  <r>
    <n v="10452"/>
    <s v="CUST154"/>
    <d v="2024-06-17T00:00:00"/>
    <s v="Beauty"/>
    <s v="North"/>
    <n v="8"/>
    <n v="235.7"/>
    <n v="1885.6"/>
    <x v="2"/>
    <s v="Repeat Customer"/>
  </r>
  <r>
    <n v="10453"/>
    <s v="CUST206"/>
    <d v="2025-04-07T00:00:00"/>
    <s v="Electronics"/>
    <s v="North"/>
    <n v="5"/>
    <n v="234.36"/>
    <n v="1171.8"/>
    <x v="1"/>
    <s v="Repeat Customer"/>
  </r>
  <r>
    <n v="10454"/>
    <s v="CUST255"/>
    <d v="2025-12-22T00:00:00"/>
    <s v="Home"/>
    <s v="South"/>
    <n v="10"/>
    <n v="24.96"/>
    <n v="249.6"/>
    <x v="0"/>
    <s v="Repeat Customer"/>
  </r>
  <r>
    <n v="10455"/>
    <s v="CUST227"/>
    <d v="2024-12-30T00:00:00"/>
    <s v="Home"/>
    <s v="East"/>
    <n v="7"/>
    <n v="259.16000000000003"/>
    <n v="1814.12"/>
    <x v="1"/>
    <s v="Repeat Customer"/>
  </r>
  <r>
    <n v="10456"/>
    <s v="CUST115"/>
    <d v="2025-02-18T00:00:00"/>
    <s v="Sports"/>
    <s v="South"/>
    <n v="8"/>
    <n v="280.2"/>
    <n v="2241.6"/>
    <x v="0"/>
    <s v="Repeat Customer"/>
  </r>
  <r>
    <n v="10457"/>
    <s v="CUST336"/>
    <d v="2024-04-14T00:00:00"/>
    <s v="Electronics"/>
    <s v="South"/>
    <n v="3"/>
    <n v="65.12"/>
    <n v="195.36"/>
    <x v="1"/>
    <s v="Repeat Customer"/>
  </r>
  <r>
    <n v="10458"/>
    <s v="CUST201"/>
    <d v="2025-02-14T00:00:00"/>
    <s v="Electronics"/>
    <s v="East"/>
    <n v="6"/>
    <n v="344.71"/>
    <n v="2068.2600000000002"/>
    <x v="0"/>
    <s v="Repeat Customer"/>
  </r>
  <r>
    <n v="10459"/>
    <s v="CUST111"/>
    <d v="2024-03-07T00:00:00"/>
    <s v="Beauty"/>
    <s v="South"/>
    <n v="4"/>
    <n v="451.74"/>
    <n v="1806.96"/>
    <x v="0"/>
    <s v="Repeat Customer"/>
  </r>
  <r>
    <n v="10460"/>
    <s v="CUST269"/>
    <d v="2024-05-05T00:00:00"/>
    <s v="Electronics"/>
    <s v="South"/>
    <n v="1"/>
    <n v="471.43"/>
    <n v="471.43"/>
    <x v="3"/>
    <s v="Repeat Customer"/>
  </r>
  <r>
    <n v="10461"/>
    <s v="CUST302"/>
    <d v="2025-05-23T00:00:00"/>
    <s v="Beauty"/>
    <s v="South"/>
    <n v="1"/>
    <n v="194.45"/>
    <n v="194.45"/>
    <x v="2"/>
    <s v="Repeat Customer"/>
  </r>
  <r>
    <n v="10462"/>
    <s v="CUST209"/>
    <d v="2024-07-10T00:00:00"/>
    <s v="Fashion"/>
    <s v="North"/>
    <n v="5"/>
    <n v="143.53"/>
    <n v="717.65"/>
    <x v="1"/>
    <s v="Repeat Customer"/>
  </r>
  <r>
    <n v="10463"/>
    <s v="CUST251"/>
    <d v="2025-05-25T00:00:00"/>
    <s v="Beauty"/>
    <s v="North"/>
    <n v="7"/>
    <n v="441.98"/>
    <n v="3093.86"/>
    <x v="0"/>
    <s v="Repeat Customer"/>
  </r>
  <r>
    <n v="10464"/>
    <s v="CUST243"/>
    <d v="2025-01-27T00:00:00"/>
    <s v="Sports"/>
    <s v="South"/>
    <n v="3"/>
    <n v="212.52"/>
    <n v="637.55999999999995"/>
    <x v="0"/>
    <s v="Repeat Customer"/>
  </r>
  <r>
    <n v="10465"/>
    <s v="CUST295"/>
    <d v="2025-12-31T00:00:00"/>
    <s v="Beauty"/>
    <s v="East"/>
    <n v="6"/>
    <n v="242.44"/>
    <n v="1454.64"/>
    <x v="2"/>
    <s v="Repeat Customer"/>
  </r>
  <r>
    <n v="10466"/>
    <s v="CUST298"/>
    <d v="2024-10-03T00:00:00"/>
    <s v="Sports"/>
    <s v="South"/>
    <n v="3"/>
    <n v="17.899999999999999"/>
    <n v="53.7"/>
    <x v="0"/>
    <s v="Repeat Customer"/>
  </r>
  <r>
    <n v="10467"/>
    <s v="CUST243"/>
    <d v="2024-02-29T00:00:00"/>
    <s v="Sports"/>
    <s v="South"/>
    <n v="8"/>
    <n v="267.07"/>
    <n v="2136.56"/>
    <x v="1"/>
    <s v="Repeat Customer"/>
  </r>
  <r>
    <n v="10468"/>
    <s v="CUST151"/>
    <d v="2024-09-10T00:00:00"/>
    <s v="Electronics"/>
    <s v="South"/>
    <n v="4"/>
    <n v="136.93"/>
    <n v="547.72"/>
    <x v="3"/>
    <s v="Repeat Customer"/>
  </r>
  <r>
    <n v="10469"/>
    <s v="CUST281"/>
    <d v="2024-06-26T00:00:00"/>
    <s v="Home"/>
    <s v="East"/>
    <n v="3"/>
    <n v="122.09"/>
    <n v="366.27"/>
    <x v="0"/>
    <s v="Repeat Customer"/>
  </r>
  <r>
    <n v="10470"/>
    <s v="CUST280"/>
    <d v="2025-08-04T00:00:00"/>
    <s v="Fashion"/>
    <s v="West"/>
    <n v="10"/>
    <n v="75.34"/>
    <n v="753.4"/>
    <x v="2"/>
    <s v="Repeat Customer"/>
  </r>
  <r>
    <n v="10471"/>
    <s v="CUST189"/>
    <d v="2025-05-17T00:00:00"/>
    <s v="Fashion"/>
    <s v="South"/>
    <n v="1"/>
    <n v="49.68"/>
    <n v="49.68"/>
    <x v="0"/>
    <s v="Repeat Customer"/>
  </r>
  <r>
    <n v="10472"/>
    <s v="CUST369"/>
    <d v="2025-05-04T00:00:00"/>
    <s v="Sports"/>
    <s v="South"/>
    <n v="1"/>
    <n v="169.21"/>
    <n v="169.21"/>
    <x v="1"/>
    <s v="Repeat Customer"/>
  </r>
  <r>
    <n v="10473"/>
    <s v="CUST274"/>
    <d v="2024-06-30T00:00:00"/>
    <s v="Fashion"/>
    <s v="South"/>
    <n v="6"/>
    <n v="34.479999999999997"/>
    <n v="206.88"/>
    <x v="0"/>
    <s v="Repeat Customer"/>
  </r>
  <r>
    <n v="10474"/>
    <s v="CUST369"/>
    <d v="2025-01-08T00:00:00"/>
    <s v="Beauty"/>
    <s v="North"/>
    <n v="2"/>
    <n v="189.93"/>
    <n v="379.86"/>
    <x v="2"/>
    <s v="Repeat Customer"/>
  </r>
  <r>
    <n v="10475"/>
    <s v="CUST254"/>
    <d v="2024-11-26T00:00:00"/>
    <s v="Beauty"/>
    <s v="West"/>
    <n v="3"/>
    <n v="488.05"/>
    <n v="1464.15"/>
    <x v="2"/>
    <s v="Repeat Customer"/>
  </r>
  <r>
    <n v="10476"/>
    <s v="CUST189"/>
    <d v="2025-12-25T00:00:00"/>
    <s v="Sports"/>
    <s v="East"/>
    <n v="9"/>
    <n v="348.31"/>
    <n v="3134.79"/>
    <x v="1"/>
    <s v="Repeat Customer"/>
  </r>
  <r>
    <n v="10477"/>
    <s v="CUST189"/>
    <d v="2025-01-22T00:00:00"/>
    <s v="Home"/>
    <s v="South"/>
    <n v="5"/>
    <n v="368.33"/>
    <n v="1841.65"/>
    <x v="1"/>
    <s v="Repeat Customer"/>
  </r>
  <r>
    <n v="10478"/>
    <s v="CUST100"/>
    <d v="2025-12-19T00:00:00"/>
    <s v="Sports"/>
    <s v="North"/>
    <n v="10"/>
    <n v="198.84"/>
    <n v="1988.4"/>
    <x v="1"/>
    <s v="Repeat Customer"/>
  </r>
  <r>
    <n v="10479"/>
    <s v="CUST262"/>
    <d v="2025-09-18T00:00:00"/>
    <s v="Electronics"/>
    <s v="West"/>
    <n v="4"/>
    <n v="321.63"/>
    <n v="1286.52"/>
    <x v="1"/>
    <s v="Repeat Customer"/>
  </r>
  <r>
    <n v="10480"/>
    <s v="CUST269"/>
    <d v="2024-03-20T00:00:00"/>
    <s v="Home"/>
    <s v="South"/>
    <n v="4"/>
    <n v="176.67"/>
    <n v="706.68"/>
    <x v="0"/>
    <s v="Repeat Customer"/>
  </r>
  <r>
    <n v="10481"/>
    <s v="CUST271"/>
    <d v="2025-04-02T00:00:00"/>
    <s v="Fashion"/>
    <s v="North"/>
    <n v="1"/>
    <n v="136.28"/>
    <n v="136.28"/>
    <x v="2"/>
    <s v="Repeat Customer"/>
  </r>
  <r>
    <n v="10482"/>
    <s v="CUST231"/>
    <d v="2024-04-20T00:00:00"/>
    <s v="Beauty"/>
    <s v="West"/>
    <n v="1"/>
    <n v="28.83"/>
    <n v="28.83"/>
    <x v="1"/>
    <s v="Repeat Customer"/>
  </r>
  <r>
    <n v="10483"/>
    <s v="CUST311"/>
    <d v="2025-05-19T00:00:00"/>
    <s v="Beauty"/>
    <s v="North"/>
    <n v="7"/>
    <n v="178.86"/>
    <n v="1252.02"/>
    <x v="3"/>
    <s v="Repeat Customer"/>
  </r>
  <r>
    <n v="10484"/>
    <s v="CUST395"/>
    <d v="2025-10-28T00:00:00"/>
    <s v="Electronics"/>
    <s v="North"/>
    <n v="4"/>
    <n v="85.51"/>
    <n v="342.04"/>
    <x v="2"/>
    <s v="Repeat Customer"/>
  </r>
  <r>
    <n v="10485"/>
    <s v="CUST110"/>
    <d v="2024-11-22T00:00:00"/>
    <s v="Electronics"/>
    <s v="East"/>
    <n v="5"/>
    <n v="476.07"/>
    <n v="2380.35"/>
    <x v="1"/>
    <s v="Repeat Customer"/>
  </r>
  <r>
    <n v="10486"/>
    <s v="CUST292"/>
    <d v="2024-06-13T00:00:00"/>
    <s v="Electronics"/>
    <s v="East"/>
    <n v="2"/>
    <n v="275.79000000000002"/>
    <n v="551.58000000000004"/>
    <x v="3"/>
    <s v="Repeat Customer"/>
  </r>
  <r>
    <n v="10487"/>
    <s v="CUST115"/>
    <d v="2025-03-17T00:00:00"/>
    <s v="Beauty"/>
    <s v="South"/>
    <n v="3"/>
    <n v="305.62"/>
    <n v="916.86"/>
    <x v="0"/>
    <s v="Repeat Customer"/>
  </r>
  <r>
    <n v="10488"/>
    <s v="CUST151"/>
    <d v="2024-12-05T00:00:00"/>
    <s v="Beauty"/>
    <s v="East"/>
    <n v="4"/>
    <n v="487.33"/>
    <n v="1949.32"/>
    <x v="2"/>
    <s v="Repeat Customer"/>
  </r>
  <r>
    <n v="10489"/>
    <s v="CUST252"/>
    <d v="2024-08-31T00:00:00"/>
    <s v="Sports"/>
    <s v="West"/>
    <n v="2"/>
    <n v="29.57"/>
    <n v="59.14"/>
    <x v="1"/>
    <s v="Repeat Customer"/>
  </r>
  <r>
    <n v="10490"/>
    <s v="CUST127"/>
    <d v="2025-01-04T00:00:00"/>
    <s v="Home"/>
    <s v="West"/>
    <n v="1"/>
    <n v="216.66"/>
    <n v="216.66"/>
    <x v="1"/>
    <s v="Repeat Customer"/>
  </r>
  <r>
    <n v="10491"/>
    <s v="CUST149"/>
    <d v="2024-01-27T00:00:00"/>
    <s v="Home"/>
    <s v="North"/>
    <n v="4"/>
    <n v="89.56"/>
    <n v="358.24"/>
    <x v="3"/>
    <s v="Repeat Customer"/>
  </r>
  <r>
    <n v="10492"/>
    <s v="CUST159"/>
    <d v="2024-11-11T00:00:00"/>
    <s v="Home"/>
    <s v="North"/>
    <n v="7"/>
    <n v="238.12"/>
    <n v="1666.84"/>
    <x v="3"/>
    <s v="Repeat Customer"/>
  </r>
  <r>
    <n v="10493"/>
    <s v="CUST194"/>
    <d v="2025-01-14T00:00:00"/>
    <s v="Beauty"/>
    <s v="North"/>
    <n v="7"/>
    <n v="187.85"/>
    <n v="1314.95"/>
    <x v="2"/>
    <s v="Repeat Customer"/>
  </r>
  <r>
    <n v="10494"/>
    <s v="CUST325"/>
    <d v="2025-04-21T00:00:00"/>
    <s v="Home"/>
    <s v="North"/>
    <n v="5"/>
    <n v="116.99"/>
    <n v="584.95000000000005"/>
    <x v="1"/>
    <s v="Repeat Customer"/>
  </r>
  <r>
    <n v="10495"/>
    <s v="CUST149"/>
    <d v="2024-03-28T00:00:00"/>
    <s v="Beauty"/>
    <s v="South"/>
    <n v="6"/>
    <n v="405.05"/>
    <n v="2430.3000000000002"/>
    <x v="0"/>
    <s v="Repeat Customer"/>
  </r>
  <r>
    <n v="10496"/>
    <s v="CUST298"/>
    <d v="2025-06-19T00:00:00"/>
    <s v="Beauty"/>
    <s v="South"/>
    <n v="7"/>
    <n v="482.99"/>
    <n v="3380.93"/>
    <x v="3"/>
    <s v="Repeat Customer"/>
  </r>
  <r>
    <n v="10497"/>
    <s v="CUST253"/>
    <d v="2024-03-21T00:00:00"/>
    <s v="Electronics"/>
    <s v="South"/>
    <n v="7"/>
    <n v="451.87"/>
    <n v="3163.09"/>
    <x v="0"/>
    <s v="Repeat Customer"/>
  </r>
  <r>
    <n v="10498"/>
    <s v="CUST329"/>
    <d v="2024-06-26T00:00:00"/>
    <s v="Fashion"/>
    <s v="South"/>
    <n v="3"/>
    <n v="486.22"/>
    <n v="1458.66"/>
    <x v="0"/>
    <s v="Repeat Customer"/>
  </r>
  <r>
    <n v="10499"/>
    <s v="CUST316"/>
    <d v="2024-03-21T00:00:00"/>
    <s v="Fashion"/>
    <s v="East"/>
    <n v="7"/>
    <n v="104.95"/>
    <n v="734.65"/>
    <x v="2"/>
    <s v="Repeat Customer"/>
  </r>
  <r>
    <n v="10500"/>
    <s v="CUST134"/>
    <d v="2024-03-30T00:00:00"/>
    <s v="Sports"/>
    <s v="East"/>
    <n v="7"/>
    <n v="280.39999999999998"/>
    <n v="1962.8"/>
    <x v="2"/>
    <s v="Repeat Customer"/>
  </r>
  <r>
    <n v="10501"/>
    <s v="CUST366"/>
    <d v="2025-04-14T00:00:00"/>
    <s v="Sports"/>
    <s v="West"/>
    <n v="1"/>
    <n v="394.34"/>
    <n v="394.34"/>
    <x v="0"/>
    <s v="Repeat Customer"/>
  </r>
  <r>
    <n v="10502"/>
    <s v="CUST312"/>
    <d v="2024-06-02T00:00:00"/>
    <s v="Sports"/>
    <s v="North"/>
    <n v="3"/>
    <n v="285.45999999999998"/>
    <n v="856.38"/>
    <x v="0"/>
    <s v="Repeat Customer"/>
  </r>
  <r>
    <n v="10503"/>
    <s v="CUST388"/>
    <d v="2024-04-13T00:00:00"/>
    <s v="Home"/>
    <s v="West"/>
    <n v="5"/>
    <n v="434.4"/>
    <n v="2172"/>
    <x v="2"/>
    <s v="Repeat Customer"/>
  </r>
  <r>
    <n v="10504"/>
    <s v="CUST296"/>
    <d v="2025-11-01T00:00:00"/>
    <s v="Beauty"/>
    <s v="North"/>
    <n v="8"/>
    <n v="288.14999999999998"/>
    <n v="2305.1999999999998"/>
    <x v="1"/>
    <s v="Repeat Customer"/>
  </r>
  <r>
    <n v="10505"/>
    <s v="CUST241"/>
    <d v="2025-02-16T00:00:00"/>
    <s v="Beauty"/>
    <s v="North"/>
    <n v="3"/>
    <n v="311.02999999999997"/>
    <n v="933.09"/>
    <x v="3"/>
    <s v="Repeat Customer"/>
  </r>
  <r>
    <n v="10506"/>
    <s v="CUST269"/>
    <d v="2025-12-08T00:00:00"/>
    <s v="Beauty"/>
    <s v="East"/>
    <n v="4"/>
    <n v="29.4"/>
    <n v="117.6"/>
    <x v="2"/>
    <s v="Repeat Customer"/>
  </r>
  <r>
    <n v="10507"/>
    <s v="CUST110"/>
    <d v="2024-12-11T00:00:00"/>
    <s v="Beauty"/>
    <s v="North"/>
    <n v="5"/>
    <n v="158.91999999999999"/>
    <n v="794.6"/>
    <x v="1"/>
    <s v="Repeat Customer"/>
  </r>
  <r>
    <n v="10508"/>
    <s v="CUST168"/>
    <d v="2024-11-03T00:00:00"/>
    <s v="Home"/>
    <s v="East"/>
    <n v="8"/>
    <n v="388.15"/>
    <n v="3105.2"/>
    <x v="3"/>
    <s v="Repeat Customer"/>
  </r>
  <r>
    <n v="10509"/>
    <s v="CUST145"/>
    <d v="2024-07-11T00:00:00"/>
    <s v="Beauty"/>
    <s v="West"/>
    <n v="8"/>
    <n v="109.64"/>
    <n v="877.12"/>
    <x v="2"/>
    <s v="Repeat Customer"/>
  </r>
  <r>
    <n v="10510"/>
    <s v="CUST128"/>
    <d v="2025-06-11T00:00:00"/>
    <s v="Sports"/>
    <s v="West"/>
    <n v="3"/>
    <n v="37.479999999999997"/>
    <n v="112.44"/>
    <x v="1"/>
    <s v="Repeat Customer"/>
  </r>
  <r>
    <n v="10511"/>
    <s v="CUST368"/>
    <d v="2025-08-05T00:00:00"/>
    <s v="Fashion"/>
    <s v="North"/>
    <n v="1"/>
    <n v="91"/>
    <n v="91"/>
    <x v="1"/>
    <s v="Repeat Customer"/>
  </r>
  <r>
    <n v="10512"/>
    <s v="CUST116"/>
    <d v="2025-04-12T00:00:00"/>
    <s v="Fashion"/>
    <s v="East"/>
    <n v="1"/>
    <n v="459.43"/>
    <n v="459.43"/>
    <x v="2"/>
    <s v="Repeat Customer"/>
  </r>
  <r>
    <n v="10513"/>
    <s v="CUST337"/>
    <d v="2025-06-01T00:00:00"/>
    <s v="Electronics"/>
    <s v="North"/>
    <n v="7"/>
    <n v="319.52999999999997"/>
    <n v="2236.71"/>
    <x v="1"/>
    <s v="Repeat Customer"/>
  </r>
  <r>
    <n v="10514"/>
    <s v="CUST290"/>
    <d v="2025-05-15T00:00:00"/>
    <s v="Beauty"/>
    <s v="East"/>
    <n v="10"/>
    <n v="225.82"/>
    <n v="2258.1999999999998"/>
    <x v="2"/>
    <s v="Repeat Customer"/>
  </r>
  <r>
    <n v="10515"/>
    <s v="CUST183"/>
    <d v="2024-09-21T00:00:00"/>
    <s v="Beauty"/>
    <s v="North"/>
    <n v="2"/>
    <n v="146.11000000000001"/>
    <n v="292.22000000000003"/>
    <x v="1"/>
    <s v="Repeat Customer"/>
  </r>
  <r>
    <n v="10516"/>
    <s v="CUST392"/>
    <d v="2024-08-07T00:00:00"/>
    <s v="Fashion"/>
    <s v="East"/>
    <n v="4"/>
    <n v="325.45"/>
    <n v="1301.8"/>
    <x v="3"/>
    <s v="Repeat Customer"/>
  </r>
  <r>
    <n v="10517"/>
    <s v="CUST362"/>
    <d v="2024-01-21T00:00:00"/>
    <s v="Fashion"/>
    <s v="South"/>
    <n v="1"/>
    <n v="239.68"/>
    <n v="239.68"/>
    <x v="0"/>
    <s v="Repeat Customer"/>
  </r>
  <r>
    <n v="10518"/>
    <s v="CUST214"/>
    <d v="2024-09-15T00:00:00"/>
    <s v="Home"/>
    <s v="East"/>
    <n v="10"/>
    <n v="403.52"/>
    <n v="4035.2"/>
    <x v="3"/>
    <s v="Repeat Customer"/>
  </r>
  <r>
    <n v="10519"/>
    <s v="CUST292"/>
    <d v="2024-12-23T00:00:00"/>
    <s v="Beauty"/>
    <s v="East"/>
    <n v="8"/>
    <n v="129.74"/>
    <n v="1037.92"/>
    <x v="3"/>
    <s v="Repeat Customer"/>
  </r>
  <r>
    <n v="10520"/>
    <s v="CUST399"/>
    <d v="2024-04-14T00:00:00"/>
    <s v="Home"/>
    <s v="East"/>
    <n v="1"/>
    <n v="258.2"/>
    <n v="258.2"/>
    <x v="2"/>
    <s v="Repeat Customer"/>
  </r>
  <r>
    <n v="10521"/>
    <s v="CUST155"/>
    <d v="2025-05-08T00:00:00"/>
    <s v="Home"/>
    <s v="East"/>
    <n v="2"/>
    <n v="171.46"/>
    <n v="342.92"/>
    <x v="2"/>
    <s v="Repeat Customer"/>
  </r>
  <r>
    <n v="10522"/>
    <s v="CUST233"/>
    <d v="2025-11-02T00:00:00"/>
    <s v="Sports"/>
    <s v="South"/>
    <n v="5"/>
    <n v="98.24"/>
    <n v="491.2"/>
    <x v="0"/>
    <s v="Repeat Customer"/>
  </r>
  <r>
    <n v="10523"/>
    <s v="CUST306"/>
    <d v="2025-11-07T00:00:00"/>
    <s v="Electronics"/>
    <s v="West"/>
    <n v="6"/>
    <n v="341.97"/>
    <n v="2051.8200000000002"/>
    <x v="2"/>
    <s v="Repeat Customer"/>
  </r>
  <r>
    <n v="10524"/>
    <s v="CUST232"/>
    <d v="2025-03-04T00:00:00"/>
    <s v="Electronics"/>
    <s v="South"/>
    <n v="7"/>
    <n v="197.2"/>
    <n v="1380.4"/>
    <x v="2"/>
    <s v="Repeat Customer"/>
  </r>
  <r>
    <n v="10525"/>
    <s v="CUST213"/>
    <d v="2025-12-03T00:00:00"/>
    <s v="Beauty"/>
    <s v="East"/>
    <n v="9"/>
    <n v="320.97000000000003"/>
    <n v="2888.73"/>
    <x v="2"/>
    <s v="Repeat Customer"/>
  </r>
  <r>
    <n v="10526"/>
    <s v="CUST187"/>
    <d v="2025-11-04T00:00:00"/>
    <s v="Electronics"/>
    <s v="West"/>
    <n v="9"/>
    <n v="94.66"/>
    <n v="851.94"/>
    <x v="1"/>
    <s v="Repeat Customer"/>
  </r>
  <r>
    <n v="10527"/>
    <s v="CUST232"/>
    <d v="2025-07-26T00:00:00"/>
    <s v="Home"/>
    <s v="North"/>
    <n v="3"/>
    <n v="473.73"/>
    <n v="1421.19"/>
    <x v="1"/>
    <s v="Repeat Customer"/>
  </r>
  <r>
    <n v="10528"/>
    <s v="CUST281"/>
    <d v="2024-08-16T00:00:00"/>
    <s v="Home"/>
    <s v="East"/>
    <n v="5"/>
    <n v="213.13"/>
    <n v="1065.6500000000001"/>
    <x v="2"/>
    <s v="Repeat Customer"/>
  </r>
  <r>
    <n v="10529"/>
    <s v="CUST399"/>
    <d v="2024-10-28T00:00:00"/>
    <s v="Beauty"/>
    <s v="North"/>
    <n v="8"/>
    <n v="426.35"/>
    <n v="3410.8"/>
    <x v="0"/>
    <s v="Repeat Customer"/>
  </r>
  <r>
    <n v="10530"/>
    <s v="CUST341"/>
    <d v="2024-07-18T00:00:00"/>
    <s v="Beauty"/>
    <s v="East"/>
    <n v="9"/>
    <n v="64.31"/>
    <n v="578.79"/>
    <x v="3"/>
    <s v="Repeat Customer"/>
  </r>
  <r>
    <n v="10531"/>
    <s v="CUST127"/>
    <d v="2024-06-03T00:00:00"/>
    <s v="Home"/>
    <s v="West"/>
    <n v="3"/>
    <n v="496.21"/>
    <n v="1488.63"/>
    <x v="3"/>
    <s v="Repeat Customer"/>
  </r>
  <r>
    <n v="10532"/>
    <s v="CUST173"/>
    <d v="2024-11-19T00:00:00"/>
    <s v="Beauty"/>
    <s v="East"/>
    <n v="3"/>
    <n v="390.58"/>
    <n v="1171.74"/>
    <x v="1"/>
    <s v="Repeat Customer"/>
  </r>
  <r>
    <n v="10533"/>
    <s v="CUST260"/>
    <d v="2025-10-11T00:00:00"/>
    <s v="Home"/>
    <s v="South"/>
    <n v="1"/>
    <n v="7.33"/>
    <n v="7.33"/>
    <x v="1"/>
    <s v="Repeat Customer"/>
  </r>
  <r>
    <n v="10534"/>
    <s v="CUST395"/>
    <d v="2024-06-11T00:00:00"/>
    <s v="Electronics"/>
    <s v="South"/>
    <n v="8"/>
    <n v="393.68"/>
    <n v="3149.44"/>
    <x v="3"/>
    <s v="Repeat Customer"/>
  </r>
  <r>
    <n v="10535"/>
    <s v="CUST319"/>
    <d v="2025-02-17T00:00:00"/>
    <s v="Beauty"/>
    <s v="North"/>
    <n v="7"/>
    <n v="482.84"/>
    <n v="3379.88"/>
    <x v="0"/>
    <s v="Repeat Customer"/>
  </r>
  <r>
    <n v="10536"/>
    <s v="CUST373"/>
    <d v="2024-07-23T00:00:00"/>
    <s v="Home"/>
    <s v="South"/>
    <n v="6"/>
    <n v="475.28"/>
    <n v="2851.68"/>
    <x v="0"/>
    <s v="Repeat Customer"/>
  </r>
  <r>
    <n v="10537"/>
    <s v="CUST102"/>
    <d v="2025-10-03T00:00:00"/>
    <s v="Home"/>
    <s v="East"/>
    <n v="4"/>
    <n v="117"/>
    <n v="468"/>
    <x v="1"/>
    <s v="Repeat Customer"/>
  </r>
  <r>
    <n v="10538"/>
    <s v="CUST152"/>
    <d v="2025-01-27T00:00:00"/>
    <s v="Fashion"/>
    <s v="North"/>
    <n v="9"/>
    <n v="296.39"/>
    <n v="2667.51"/>
    <x v="0"/>
    <s v="Repeat Customer"/>
  </r>
  <r>
    <n v="10539"/>
    <s v="CUST252"/>
    <d v="2024-10-24T00:00:00"/>
    <s v="Sports"/>
    <s v="East"/>
    <n v="8"/>
    <n v="365.28"/>
    <n v="2922.24"/>
    <x v="3"/>
    <s v="Repeat Customer"/>
  </r>
  <r>
    <n v="10540"/>
    <s v="CUST168"/>
    <d v="2024-12-16T00:00:00"/>
    <s v="Fashion"/>
    <s v="South"/>
    <n v="8"/>
    <n v="182.83"/>
    <n v="1462.64"/>
    <x v="3"/>
    <s v="Repeat Customer"/>
  </r>
  <r>
    <n v="10541"/>
    <s v="CUST109"/>
    <d v="2024-08-21T00:00:00"/>
    <s v="Fashion"/>
    <s v="South"/>
    <n v="4"/>
    <n v="364.95"/>
    <n v="1459.8"/>
    <x v="0"/>
    <s v="Repeat Customer"/>
  </r>
  <r>
    <n v="10542"/>
    <s v="CUST358"/>
    <d v="2024-06-22T00:00:00"/>
    <s v="Electronics"/>
    <s v="West"/>
    <n v="2"/>
    <n v="186.46"/>
    <n v="372.92"/>
    <x v="2"/>
    <s v="Repeat Customer"/>
  </r>
  <r>
    <n v="10543"/>
    <s v="CUST373"/>
    <d v="2025-09-30T00:00:00"/>
    <s v="Electronics"/>
    <s v="North"/>
    <n v="1"/>
    <n v="298.99"/>
    <n v="298.99"/>
    <x v="0"/>
    <s v="Repeat Customer"/>
  </r>
  <r>
    <n v="10544"/>
    <s v="CUST124"/>
    <d v="2025-12-07T00:00:00"/>
    <s v="Beauty"/>
    <s v="North"/>
    <n v="2"/>
    <n v="211.3"/>
    <n v="422.6"/>
    <x v="2"/>
    <s v="Repeat Customer"/>
  </r>
  <r>
    <n v="10545"/>
    <s v="CUST342"/>
    <d v="2025-12-19T00:00:00"/>
    <s v="Electronics"/>
    <s v="East"/>
    <n v="3"/>
    <n v="106.72"/>
    <n v="320.16000000000003"/>
    <x v="3"/>
    <s v="Repeat Customer"/>
  </r>
  <r>
    <n v="10546"/>
    <s v="CUST151"/>
    <d v="2025-11-09T00:00:00"/>
    <s v="Sports"/>
    <s v="South"/>
    <n v="9"/>
    <n v="138.63999999999999"/>
    <n v="1247.76"/>
    <x v="3"/>
    <s v="Repeat Customer"/>
  </r>
  <r>
    <n v="10547"/>
    <s v="CUST153"/>
    <d v="2025-06-07T00:00:00"/>
    <s v="Electronics"/>
    <s v="North"/>
    <n v="10"/>
    <n v="63.28"/>
    <n v="632.79999999999995"/>
    <x v="3"/>
    <s v="Repeat Customer"/>
  </r>
  <r>
    <n v="10548"/>
    <s v="CUST201"/>
    <d v="2025-09-15T00:00:00"/>
    <s v="Sports"/>
    <s v="South"/>
    <n v="4"/>
    <n v="390.09"/>
    <n v="1560.36"/>
    <x v="2"/>
    <s v="Repeat Customer"/>
  </r>
  <r>
    <n v="10549"/>
    <s v="CUST309"/>
    <d v="2024-10-29T00:00:00"/>
    <s v="Beauty"/>
    <s v="South"/>
    <n v="3"/>
    <n v="24.51"/>
    <n v="73.53"/>
    <x v="3"/>
    <s v="Repeat Customer"/>
  </r>
  <r>
    <n v="10550"/>
    <s v="CUST269"/>
    <d v="2024-08-28T00:00:00"/>
    <s v="Electronics"/>
    <s v="North"/>
    <n v="1"/>
    <n v="11.31"/>
    <n v="11.31"/>
    <x v="3"/>
    <s v="Repeat Customer"/>
  </r>
  <r>
    <n v="10551"/>
    <s v="CUST176"/>
    <d v="2024-04-02T00:00:00"/>
    <s v="Electronics"/>
    <s v="East"/>
    <n v="9"/>
    <n v="42.15"/>
    <n v="379.35"/>
    <x v="1"/>
    <s v="Repeat Customer"/>
  </r>
  <r>
    <n v="10552"/>
    <s v="CUST333"/>
    <d v="2024-10-30T00:00:00"/>
    <s v="Electronics"/>
    <s v="South"/>
    <n v="5"/>
    <n v="234.82"/>
    <n v="1174.0999999999999"/>
    <x v="0"/>
    <s v="Repeat Customer"/>
  </r>
  <r>
    <n v="10553"/>
    <s v="CUST248"/>
    <d v="2025-01-03T00:00:00"/>
    <s v="Electronics"/>
    <s v="North"/>
    <n v="6"/>
    <n v="215.87"/>
    <n v="1295.22"/>
    <x v="0"/>
    <s v="Repeat Customer"/>
  </r>
  <r>
    <n v="10554"/>
    <s v="CUST104"/>
    <d v="2024-05-21T00:00:00"/>
    <s v="Beauty"/>
    <s v="East"/>
    <n v="3"/>
    <n v="167.69"/>
    <n v="503.07"/>
    <x v="0"/>
    <s v="Repeat Customer"/>
  </r>
  <r>
    <n v="10555"/>
    <s v="CUST290"/>
    <d v="2024-12-16T00:00:00"/>
    <s v="Beauty"/>
    <s v="West"/>
    <n v="3"/>
    <n v="61.35"/>
    <n v="184.05"/>
    <x v="2"/>
    <s v="Repeat Customer"/>
  </r>
  <r>
    <n v="10556"/>
    <s v="CUST297"/>
    <d v="2025-12-07T00:00:00"/>
    <s v="Fashion"/>
    <s v="North"/>
    <n v="8"/>
    <n v="400.95"/>
    <n v="3207.6"/>
    <x v="1"/>
    <s v="Repeat Customer"/>
  </r>
  <r>
    <n v="10557"/>
    <s v="CUST130"/>
    <d v="2024-06-12T00:00:00"/>
    <s v="Sports"/>
    <s v="West"/>
    <n v="2"/>
    <n v="210.93"/>
    <n v="421.86"/>
    <x v="3"/>
    <s v="Repeat Customer"/>
  </r>
  <r>
    <n v="10558"/>
    <s v="CUST192"/>
    <d v="2025-09-17T00:00:00"/>
    <s v="Sports"/>
    <s v="North"/>
    <n v="7"/>
    <n v="390.69"/>
    <n v="2734.83"/>
    <x v="1"/>
    <s v="Repeat Customer"/>
  </r>
  <r>
    <n v="10559"/>
    <s v="CUST347"/>
    <d v="2025-05-14T00:00:00"/>
    <s v="Beauty"/>
    <s v="North"/>
    <n v="2"/>
    <n v="444.36"/>
    <n v="888.72"/>
    <x v="0"/>
    <s v="Repeat Customer"/>
  </r>
  <r>
    <n v="10560"/>
    <s v="CUST233"/>
    <d v="2025-11-01T00:00:00"/>
    <s v="Sports"/>
    <s v="South"/>
    <n v="6"/>
    <n v="11.12"/>
    <n v="66.72"/>
    <x v="2"/>
    <s v="Repeat Customer"/>
  </r>
  <r>
    <n v="10561"/>
    <s v="CUST365"/>
    <d v="2025-06-19T00:00:00"/>
    <s v="Fashion"/>
    <s v="West"/>
    <n v="10"/>
    <n v="52.14"/>
    <n v="521.4"/>
    <x v="2"/>
    <s v="Repeat Customer"/>
  </r>
  <r>
    <n v="10562"/>
    <s v="CUST297"/>
    <d v="2024-06-01T00:00:00"/>
    <s v="Sports"/>
    <s v="North"/>
    <n v="9"/>
    <n v="446.57"/>
    <n v="4019.13"/>
    <x v="0"/>
    <s v="Repeat Customer"/>
  </r>
  <r>
    <n v="10563"/>
    <s v="CUST180"/>
    <d v="2025-06-01T00:00:00"/>
    <s v="Fashion"/>
    <s v="North"/>
    <n v="8"/>
    <n v="426.68"/>
    <n v="3413.44"/>
    <x v="3"/>
    <s v="Repeat Customer"/>
  </r>
  <r>
    <n v="10564"/>
    <s v="CUST264"/>
    <d v="2024-09-03T00:00:00"/>
    <s v="Electronics"/>
    <s v="South"/>
    <n v="6"/>
    <n v="485.22"/>
    <n v="2911.32"/>
    <x v="3"/>
    <s v="Repeat Customer"/>
  </r>
  <r>
    <n v="10565"/>
    <s v="CUST306"/>
    <d v="2024-08-28T00:00:00"/>
    <s v="Sports"/>
    <s v="West"/>
    <n v="2"/>
    <n v="232.25"/>
    <n v="464.5"/>
    <x v="0"/>
    <s v="Repeat Customer"/>
  </r>
  <r>
    <n v="10566"/>
    <s v="CUST355"/>
    <d v="2025-04-02T00:00:00"/>
    <s v="Beauty"/>
    <s v="North"/>
    <n v="6"/>
    <n v="63.76"/>
    <n v="382.56"/>
    <x v="0"/>
    <s v="Repeat Customer"/>
  </r>
  <r>
    <n v="10567"/>
    <s v="CUST306"/>
    <d v="2025-02-26T00:00:00"/>
    <s v="Electronics"/>
    <s v="North"/>
    <n v="1"/>
    <n v="280.77999999999997"/>
    <n v="280.77999999999997"/>
    <x v="2"/>
    <s v="Repeat Customer"/>
  </r>
  <r>
    <n v="10568"/>
    <s v="CUST360"/>
    <d v="2025-07-29T00:00:00"/>
    <s v="Beauty"/>
    <s v="East"/>
    <n v="4"/>
    <n v="329.03"/>
    <n v="1316.12"/>
    <x v="2"/>
    <s v="Repeat Customer"/>
  </r>
  <r>
    <n v="10569"/>
    <s v="CUST127"/>
    <d v="2024-08-16T00:00:00"/>
    <s v="Sports"/>
    <s v="West"/>
    <n v="8"/>
    <n v="169.33"/>
    <n v="1354.64"/>
    <x v="2"/>
    <s v="Repeat Customer"/>
  </r>
  <r>
    <n v="10570"/>
    <s v="CUST331"/>
    <d v="2024-04-26T00:00:00"/>
    <s v="Fashion"/>
    <s v="North"/>
    <n v="2"/>
    <n v="380.86"/>
    <n v="761.72"/>
    <x v="2"/>
    <s v="Repeat Customer"/>
  </r>
  <r>
    <n v="10571"/>
    <s v="CUST281"/>
    <d v="2025-10-10T00:00:00"/>
    <s v="Home"/>
    <s v="North"/>
    <n v="5"/>
    <n v="276.11"/>
    <n v="1380.55"/>
    <x v="0"/>
    <s v="Repeat Customer"/>
  </r>
  <r>
    <n v="10572"/>
    <s v="CUST184"/>
    <d v="2025-05-19T00:00:00"/>
    <s v="Beauty"/>
    <s v="North"/>
    <n v="3"/>
    <n v="411.81"/>
    <n v="1235.43"/>
    <x v="2"/>
    <s v="Repeat Customer"/>
  </r>
  <r>
    <n v="10573"/>
    <s v="CUST200"/>
    <d v="2024-07-11T00:00:00"/>
    <s v="Beauty"/>
    <s v="South"/>
    <n v="2"/>
    <n v="465.46"/>
    <n v="930.92"/>
    <x v="3"/>
    <s v="Repeat Customer"/>
  </r>
  <r>
    <n v="10574"/>
    <s v="CUST197"/>
    <d v="2024-12-12T00:00:00"/>
    <s v="Electronics"/>
    <s v="North"/>
    <n v="2"/>
    <n v="379.79"/>
    <n v="759.58"/>
    <x v="3"/>
    <s v="Repeat Customer"/>
  </r>
  <r>
    <n v="10575"/>
    <s v="CUST334"/>
    <d v="2025-11-05T00:00:00"/>
    <s v="Fashion"/>
    <s v="West"/>
    <n v="10"/>
    <n v="478.31"/>
    <n v="4783.1000000000004"/>
    <x v="0"/>
    <s v="Repeat Customer"/>
  </r>
  <r>
    <n v="10576"/>
    <s v="CUST371"/>
    <d v="2024-02-19T00:00:00"/>
    <s v="Sports"/>
    <s v="West"/>
    <n v="9"/>
    <n v="467.98"/>
    <n v="4211.82"/>
    <x v="1"/>
    <s v="Repeat Customer"/>
  </r>
  <r>
    <n v="10577"/>
    <s v="CUST396"/>
    <d v="2024-06-26T00:00:00"/>
    <s v="Sports"/>
    <s v="East"/>
    <n v="3"/>
    <n v="56.26"/>
    <n v="168.78"/>
    <x v="3"/>
    <s v="Repeat Customer"/>
  </r>
  <r>
    <n v="10578"/>
    <s v="CUST314"/>
    <d v="2025-09-15T00:00:00"/>
    <s v="Home"/>
    <s v="East"/>
    <n v="4"/>
    <n v="140.43"/>
    <n v="561.72"/>
    <x v="3"/>
    <s v="Repeat Customer"/>
  </r>
  <r>
    <n v="10579"/>
    <s v="CUST168"/>
    <d v="2024-05-21T00:00:00"/>
    <s v="Sports"/>
    <s v="East"/>
    <n v="7"/>
    <n v="303.25"/>
    <n v="2122.75"/>
    <x v="2"/>
    <s v="Repeat Customer"/>
  </r>
  <r>
    <n v="10580"/>
    <s v="CUST383"/>
    <d v="2025-10-09T00:00:00"/>
    <s v="Sports"/>
    <s v="East"/>
    <n v="4"/>
    <n v="104.44"/>
    <n v="417.76"/>
    <x v="2"/>
    <s v="Repeat Customer"/>
  </r>
  <r>
    <n v="10581"/>
    <s v="CUST167"/>
    <d v="2025-12-28T00:00:00"/>
    <s v="Home"/>
    <s v="North"/>
    <n v="3"/>
    <n v="254.43"/>
    <n v="763.29"/>
    <x v="2"/>
    <s v="Repeat Customer"/>
  </r>
  <r>
    <n v="10582"/>
    <s v="CUST387"/>
    <d v="2025-05-06T00:00:00"/>
    <s v="Beauty"/>
    <s v="East"/>
    <n v="10"/>
    <n v="287.47000000000003"/>
    <n v="2874.7"/>
    <x v="3"/>
    <s v="Repeat Customer"/>
  </r>
  <r>
    <n v="10583"/>
    <s v="CUST106"/>
    <d v="2025-06-19T00:00:00"/>
    <s v="Fashion"/>
    <s v="North"/>
    <n v="2"/>
    <n v="17.510000000000002"/>
    <n v="35.020000000000003"/>
    <x v="0"/>
    <s v="Repeat Customer"/>
  </r>
  <r>
    <n v="10584"/>
    <s v="CUST202"/>
    <d v="2024-09-30T00:00:00"/>
    <s v="Home"/>
    <s v="South"/>
    <n v="3"/>
    <n v="491.85"/>
    <n v="1475.55"/>
    <x v="0"/>
    <s v="Repeat Customer"/>
  </r>
  <r>
    <n v="10585"/>
    <s v="CUST251"/>
    <d v="2024-07-27T00:00:00"/>
    <s v="Beauty"/>
    <s v="North"/>
    <n v="9"/>
    <n v="20.99"/>
    <n v="188.91"/>
    <x v="1"/>
    <s v="Repeat Customer"/>
  </r>
  <r>
    <n v="10586"/>
    <s v="CUST387"/>
    <d v="2025-02-02T00:00:00"/>
    <s v="Home"/>
    <s v="North"/>
    <n v="4"/>
    <n v="257.91000000000003"/>
    <n v="1031.6400000000001"/>
    <x v="3"/>
    <s v="Repeat Customer"/>
  </r>
  <r>
    <n v="10587"/>
    <s v="CUST298"/>
    <d v="2025-03-02T00:00:00"/>
    <s v="Electronics"/>
    <s v="North"/>
    <n v="6"/>
    <n v="483.09"/>
    <n v="2898.54"/>
    <x v="2"/>
    <s v="Repeat Customer"/>
  </r>
  <r>
    <n v="10588"/>
    <s v="CUST203"/>
    <d v="2025-09-27T00:00:00"/>
    <s v="Home"/>
    <s v="South"/>
    <n v="8"/>
    <n v="415.84"/>
    <n v="3326.72"/>
    <x v="1"/>
    <s v="Repeat Customer"/>
  </r>
  <r>
    <n v="10589"/>
    <s v="CUST250"/>
    <d v="2025-04-04T00:00:00"/>
    <s v="Electronics"/>
    <s v="South"/>
    <n v="3"/>
    <n v="491.81"/>
    <n v="1475.43"/>
    <x v="1"/>
    <s v="Repeat Customer"/>
  </r>
  <r>
    <n v="10590"/>
    <s v="CUST363"/>
    <d v="2024-05-02T00:00:00"/>
    <s v="Home"/>
    <s v="East"/>
    <n v="7"/>
    <n v="25.11"/>
    <n v="175.77"/>
    <x v="1"/>
    <s v="Repeat Customer"/>
  </r>
  <r>
    <n v="10591"/>
    <s v="CUST182"/>
    <d v="2025-08-21T00:00:00"/>
    <s v="Beauty"/>
    <s v="South"/>
    <n v="5"/>
    <n v="7.79"/>
    <n v="38.950000000000003"/>
    <x v="0"/>
    <s v="Repeat Customer"/>
  </r>
  <r>
    <n v="10592"/>
    <s v="CUST178"/>
    <d v="2024-11-26T00:00:00"/>
    <s v="Sports"/>
    <s v="East"/>
    <n v="10"/>
    <n v="30.17"/>
    <n v="301.7"/>
    <x v="3"/>
    <s v="Repeat Customer"/>
  </r>
  <r>
    <n v="10593"/>
    <s v="CUST393"/>
    <d v="2025-07-17T00:00:00"/>
    <s v="Home"/>
    <s v="South"/>
    <n v="6"/>
    <n v="41.08"/>
    <n v="246.48"/>
    <x v="1"/>
    <s v="Repeat Customer"/>
  </r>
  <r>
    <n v="10594"/>
    <s v="CUST366"/>
    <d v="2024-03-10T00:00:00"/>
    <s v="Sports"/>
    <s v="West"/>
    <n v="9"/>
    <n v="83.89"/>
    <n v="755.01"/>
    <x v="0"/>
    <s v="Repeat Customer"/>
  </r>
  <r>
    <n v="10595"/>
    <s v="CUST278"/>
    <d v="2024-08-14T00:00:00"/>
    <s v="Home"/>
    <s v="East"/>
    <n v="4"/>
    <n v="333.35"/>
    <n v="1333.4"/>
    <x v="2"/>
    <s v="Repeat Customer"/>
  </r>
  <r>
    <n v="10596"/>
    <s v="CUST211"/>
    <d v="2025-09-25T00:00:00"/>
    <s v="Sports"/>
    <s v="North"/>
    <n v="9"/>
    <n v="240.05"/>
    <n v="2160.4499999999998"/>
    <x v="0"/>
    <s v="Repeat Customer"/>
  </r>
  <r>
    <n v="10597"/>
    <s v="CUST277"/>
    <d v="2025-04-01T00:00:00"/>
    <s v="Sports"/>
    <s v="South"/>
    <n v="4"/>
    <n v="452.73"/>
    <n v="1810.92"/>
    <x v="0"/>
    <s v="Repeat Customer"/>
  </r>
  <r>
    <n v="10598"/>
    <s v="CUST264"/>
    <d v="2025-01-25T00:00:00"/>
    <s v="Sports"/>
    <s v="East"/>
    <n v="2"/>
    <n v="196.01"/>
    <n v="392.02"/>
    <x v="0"/>
    <s v="Repeat Customer"/>
  </r>
  <r>
    <n v="10599"/>
    <s v="CUST364"/>
    <d v="2025-01-18T00:00:00"/>
    <s v="Beauty"/>
    <s v="West"/>
    <n v="9"/>
    <n v="402.39"/>
    <n v="3621.51"/>
    <x v="0"/>
    <s v="Repeat Customer"/>
  </r>
  <r>
    <n v="10600"/>
    <s v="CUST251"/>
    <d v="2025-10-29T00:00:00"/>
    <s v="Electronics"/>
    <s v="North"/>
    <n v="4"/>
    <n v="163.55000000000001"/>
    <n v="654.20000000000005"/>
    <x v="1"/>
    <s v="Repeat Customer"/>
  </r>
  <r>
    <n v="10601"/>
    <s v="CUST375"/>
    <d v="2025-06-30T00:00:00"/>
    <s v="Fashion"/>
    <s v="South"/>
    <n v="1"/>
    <n v="315.33"/>
    <n v="315.33"/>
    <x v="3"/>
    <s v="Repeat Customer"/>
  </r>
  <r>
    <n v="10602"/>
    <s v="CUST153"/>
    <d v="2024-07-29T00:00:00"/>
    <s v="Beauty"/>
    <s v="North"/>
    <n v="9"/>
    <n v="415.23"/>
    <n v="3737.07"/>
    <x v="1"/>
    <s v="Repeat Customer"/>
  </r>
  <r>
    <n v="10603"/>
    <s v="CUST112"/>
    <d v="2025-04-15T00:00:00"/>
    <s v="Electronics"/>
    <s v="North"/>
    <n v="6"/>
    <n v="23.75"/>
    <n v="142.5"/>
    <x v="1"/>
    <s v="Repeat Customer"/>
  </r>
  <r>
    <n v="10604"/>
    <s v="CUST228"/>
    <d v="2025-07-25T00:00:00"/>
    <s v="Fashion"/>
    <s v="East"/>
    <n v="2"/>
    <n v="289.61"/>
    <n v="579.22"/>
    <x v="3"/>
    <s v="Repeat Customer"/>
  </r>
  <r>
    <n v="10605"/>
    <s v="CUST298"/>
    <d v="2025-04-06T00:00:00"/>
    <s v="Electronics"/>
    <s v="West"/>
    <n v="7"/>
    <n v="219.35"/>
    <n v="1535.45"/>
    <x v="0"/>
    <s v="Repeat Customer"/>
  </r>
  <r>
    <n v="10606"/>
    <s v="CUST373"/>
    <d v="2024-01-07T00:00:00"/>
    <s v="Sports"/>
    <s v="North"/>
    <n v="10"/>
    <n v="36.299999999999997"/>
    <n v="363"/>
    <x v="0"/>
    <s v="Repeat Customer"/>
  </r>
  <r>
    <n v="10607"/>
    <s v="CUST283"/>
    <d v="2025-05-29T00:00:00"/>
    <s v="Home"/>
    <s v="North"/>
    <n v="2"/>
    <n v="148.47"/>
    <n v="296.94"/>
    <x v="2"/>
    <s v="Repeat Customer"/>
  </r>
  <r>
    <n v="10608"/>
    <s v="CUST324"/>
    <d v="2025-01-25T00:00:00"/>
    <s v="Electronics"/>
    <s v="West"/>
    <n v="7"/>
    <n v="411.95"/>
    <n v="2883.65"/>
    <x v="1"/>
    <s v="Repeat Customer"/>
  </r>
  <r>
    <n v="10609"/>
    <s v="CUST373"/>
    <d v="2024-08-13T00:00:00"/>
    <s v="Sports"/>
    <s v="East"/>
    <n v="3"/>
    <n v="374.64"/>
    <n v="1123.92"/>
    <x v="1"/>
    <s v="Repeat Customer"/>
  </r>
  <r>
    <n v="10610"/>
    <s v="CUST252"/>
    <d v="2025-11-24T00:00:00"/>
    <s v="Electronics"/>
    <s v="South"/>
    <n v="6"/>
    <n v="478.91"/>
    <n v="2873.46"/>
    <x v="0"/>
    <s v="Repeat Customer"/>
  </r>
  <r>
    <n v="10611"/>
    <s v="CUST121"/>
    <d v="2024-01-06T00:00:00"/>
    <s v="Sports"/>
    <s v="North"/>
    <n v="10"/>
    <n v="300.33999999999997"/>
    <n v="3003.4"/>
    <x v="2"/>
    <s v="Repeat Customer"/>
  </r>
  <r>
    <n v="10612"/>
    <s v="CUST207"/>
    <d v="2024-12-18T00:00:00"/>
    <s v="Sports"/>
    <s v="South"/>
    <n v="4"/>
    <n v="209.26"/>
    <n v="837.04"/>
    <x v="1"/>
    <s v="Repeat Customer"/>
  </r>
  <r>
    <n v="10613"/>
    <s v="CUST194"/>
    <d v="2024-08-14T00:00:00"/>
    <s v="Fashion"/>
    <s v="North"/>
    <n v="10"/>
    <n v="418.2"/>
    <n v="4182"/>
    <x v="1"/>
    <s v="Repeat Customer"/>
  </r>
  <r>
    <n v="10614"/>
    <s v="CUST390"/>
    <d v="2024-02-25T00:00:00"/>
    <s v="Sports"/>
    <s v="North"/>
    <n v="9"/>
    <n v="233.33"/>
    <n v="2099.9699999999998"/>
    <x v="2"/>
    <s v="Repeat Customer"/>
  </r>
  <r>
    <n v="10615"/>
    <s v="CUST134"/>
    <d v="2024-09-13T00:00:00"/>
    <s v="Sports"/>
    <s v="West"/>
    <n v="2"/>
    <n v="102.72"/>
    <n v="205.44"/>
    <x v="2"/>
    <s v="Repeat Customer"/>
  </r>
  <r>
    <n v="10616"/>
    <s v="CUST282"/>
    <d v="2024-05-11T00:00:00"/>
    <s v="Sports"/>
    <s v="North"/>
    <n v="4"/>
    <n v="54.52"/>
    <n v="218.08"/>
    <x v="1"/>
    <s v="Repeat Customer"/>
  </r>
  <r>
    <n v="10617"/>
    <s v="CUST262"/>
    <d v="2025-05-12T00:00:00"/>
    <s v="Home"/>
    <s v="South"/>
    <n v="8"/>
    <n v="167.53"/>
    <n v="1340.24"/>
    <x v="2"/>
    <s v="Repeat Customer"/>
  </r>
  <r>
    <n v="10618"/>
    <s v="CUST261"/>
    <d v="2025-03-14T00:00:00"/>
    <s v="Fashion"/>
    <s v="South"/>
    <n v="3"/>
    <n v="7.39"/>
    <n v="22.17"/>
    <x v="3"/>
    <s v="Repeat Customer"/>
  </r>
  <r>
    <n v="10619"/>
    <s v="CUST241"/>
    <d v="2025-01-03T00:00:00"/>
    <s v="Home"/>
    <s v="West"/>
    <n v="3"/>
    <n v="341.39"/>
    <n v="1024.17"/>
    <x v="3"/>
    <s v="Repeat Customer"/>
  </r>
  <r>
    <n v="10620"/>
    <s v="CUST328"/>
    <d v="2025-01-02T00:00:00"/>
    <s v="Electronics"/>
    <s v="South"/>
    <n v="5"/>
    <n v="246.05"/>
    <n v="1230.25"/>
    <x v="0"/>
    <s v="Repeat Customer"/>
  </r>
  <r>
    <n v="10621"/>
    <s v="CUST243"/>
    <d v="2024-05-23T00:00:00"/>
    <s v="Electronics"/>
    <s v="North"/>
    <n v="9"/>
    <n v="102.23"/>
    <n v="920.07"/>
    <x v="0"/>
    <s v="Repeat Customer"/>
  </r>
  <r>
    <n v="10622"/>
    <s v="CUST359"/>
    <d v="2025-10-08T00:00:00"/>
    <s v="Sports"/>
    <s v="West"/>
    <n v="1"/>
    <n v="407.26"/>
    <n v="407.26"/>
    <x v="1"/>
    <s v="Repeat Customer"/>
  </r>
  <r>
    <n v="10623"/>
    <s v="CUST118"/>
    <d v="2025-07-18T00:00:00"/>
    <s v="Sports"/>
    <s v="West"/>
    <n v="5"/>
    <n v="274.02"/>
    <n v="1370.1"/>
    <x v="1"/>
    <s v="Repeat Customer"/>
  </r>
  <r>
    <n v="10624"/>
    <s v="CUST287"/>
    <d v="2025-02-05T00:00:00"/>
    <s v="Sports"/>
    <s v="East"/>
    <n v="4"/>
    <n v="446.26"/>
    <n v="1785.04"/>
    <x v="1"/>
    <s v="Repeat Customer"/>
  </r>
  <r>
    <n v="10625"/>
    <s v="CUST337"/>
    <d v="2025-05-28T00:00:00"/>
    <s v="Home"/>
    <s v="North"/>
    <n v="9"/>
    <n v="49.82"/>
    <n v="448.38"/>
    <x v="1"/>
    <s v="Repeat Customer"/>
  </r>
  <r>
    <n v="10626"/>
    <s v="CUST184"/>
    <d v="2025-06-10T00:00:00"/>
    <s v="Fashion"/>
    <s v="South"/>
    <n v="3"/>
    <n v="225.88"/>
    <n v="677.64"/>
    <x v="3"/>
    <s v="Repeat Customer"/>
  </r>
  <r>
    <n v="10627"/>
    <s v="CUST283"/>
    <d v="2024-02-11T00:00:00"/>
    <s v="Fashion"/>
    <s v="North"/>
    <n v="4"/>
    <n v="381.93"/>
    <n v="1527.72"/>
    <x v="2"/>
    <s v="Repeat Customer"/>
  </r>
  <r>
    <n v="10628"/>
    <s v="CUST289"/>
    <d v="2024-08-27T00:00:00"/>
    <s v="Sports"/>
    <s v="East"/>
    <n v="1"/>
    <n v="335.95"/>
    <n v="335.95"/>
    <x v="3"/>
    <s v="Repeat Customer"/>
  </r>
  <r>
    <n v="10629"/>
    <s v="CUST340"/>
    <d v="2025-04-10T00:00:00"/>
    <s v="Home"/>
    <s v="North"/>
    <n v="1"/>
    <n v="24.75"/>
    <n v="24.75"/>
    <x v="2"/>
    <s v="Repeat Customer"/>
  </r>
  <r>
    <n v="10630"/>
    <s v="CUST234"/>
    <d v="2025-08-15T00:00:00"/>
    <s v="Beauty"/>
    <s v="West"/>
    <n v="9"/>
    <n v="287.23"/>
    <n v="2585.0700000000002"/>
    <x v="2"/>
    <s v="New Customer"/>
  </r>
  <r>
    <n v="10631"/>
    <s v="CUST139"/>
    <d v="2025-06-13T00:00:00"/>
    <s v="Fashion"/>
    <s v="West"/>
    <n v="5"/>
    <n v="191.28"/>
    <n v="956.4"/>
    <x v="2"/>
    <s v="Repeat Customer"/>
  </r>
  <r>
    <n v="10632"/>
    <s v="CUST276"/>
    <d v="2025-05-13T00:00:00"/>
    <s v="Electronics"/>
    <s v="South"/>
    <n v="8"/>
    <n v="444.15"/>
    <n v="3553.2"/>
    <x v="3"/>
    <s v="Repeat Customer"/>
  </r>
  <r>
    <n v="10633"/>
    <s v="CUST184"/>
    <d v="2024-08-23T00:00:00"/>
    <s v="Home"/>
    <s v="South"/>
    <n v="2"/>
    <n v="259.7"/>
    <n v="519.4"/>
    <x v="1"/>
    <s v="Repeat Customer"/>
  </r>
  <r>
    <n v="10634"/>
    <s v="CUST195"/>
    <d v="2024-06-10T00:00:00"/>
    <s v="Electronics"/>
    <s v="South"/>
    <n v="6"/>
    <n v="303"/>
    <n v="1818"/>
    <x v="3"/>
    <s v="Repeat Customer"/>
  </r>
  <r>
    <n v="10635"/>
    <s v="CUST269"/>
    <d v="2024-04-26T00:00:00"/>
    <s v="Beauty"/>
    <s v="South"/>
    <n v="8"/>
    <n v="339.24"/>
    <n v="2713.92"/>
    <x v="1"/>
    <s v="Repeat Customer"/>
  </r>
  <r>
    <n v="10636"/>
    <s v="CUST310"/>
    <d v="2024-01-23T00:00:00"/>
    <s v="Sports"/>
    <s v="South"/>
    <n v="4"/>
    <n v="26.36"/>
    <n v="105.44"/>
    <x v="1"/>
    <s v="Repeat Customer"/>
  </r>
  <r>
    <n v="10637"/>
    <s v="CUST362"/>
    <d v="2024-02-10T00:00:00"/>
    <s v="Fashion"/>
    <s v="East"/>
    <n v="10"/>
    <n v="77.7"/>
    <n v="777"/>
    <x v="1"/>
    <s v="Repeat Customer"/>
  </r>
  <r>
    <n v="10638"/>
    <s v="CUST364"/>
    <d v="2025-02-19T00:00:00"/>
    <s v="Electronics"/>
    <s v="East"/>
    <n v="10"/>
    <n v="484.78"/>
    <n v="4847.8"/>
    <x v="0"/>
    <s v="Repeat Customer"/>
  </r>
  <r>
    <n v="10639"/>
    <s v="CUST210"/>
    <d v="2025-04-04T00:00:00"/>
    <s v="Beauty"/>
    <s v="South"/>
    <n v="10"/>
    <n v="496.42"/>
    <n v="4964.2"/>
    <x v="1"/>
    <s v="Repeat Customer"/>
  </r>
  <r>
    <n v="10640"/>
    <s v="CUST310"/>
    <d v="2025-09-07T00:00:00"/>
    <s v="Fashion"/>
    <s v="East"/>
    <n v="3"/>
    <n v="398.33"/>
    <n v="1194.99"/>
    <x v="1"/>
    <s v="Repeat Customer"/>
  </r>
  <r>
    <n v="10641"/>
    <s v="CUST275"/>
    <d v="2025-04-09T00:00:00"/>
    <s v="Fashion"/>
    <s v="West"/>
    <n v="10"/>
    <n v="297.35000000000002"/>
    <n v="2973.5"/>
    <x v="3"/>
    <s v="Repeat Customer"/>
  </r>
  <r>
    <n v="10642"/>
    <s v="CUST167"/>
    <d v="2024-04-21T00:00:00"/>
    <s v="Sports"/>
    <s v="West"/>
    <n v="1"/>
    <n v="105.16"/>
    <n v="105.16"/>
    <x v="1"/>
    <s v="Repeat Customer"/>
  </r>
  <r>
    <n v="10643"/>
    <s v="CUST149"/>
    <d v="2024-06-30T00:00:00"/>
    <s v="Sports"/>
    <s v="North"/>
    <n v="8"/>
    <n v="451.3"/>
    <n v="3610.4"/>
    <x v="0"/>
    <s v="Repeat Customer"/>
  </r>
  <r>
    <n v="10644"/>
    <s v="CUST147"/>
    <d v="2025-05-08T00:00:00"/>
    <s v="Sports"/>
    <s v="North"/>
    <n v="3"/>
    <n v="451.48"/>
    <n v="1354.44"/>
    <x v="3"/>
    <s v="Repeat Customer"/>
  </r>
  <r>
    <n v="10645"/>
    <s v="CUST367"/>
    <d v="2025-03-06T00:00:00"/>
    <s v="Sports"/>
    <s v="West"/>
    <n v="6"/>
    <n v="438.04"/>
    <n v="2628.24"/>
    <x v="1"/>
    <s v="Repeat Customer"/>
  </r>
  <r>
    <n v="10646"/>
    <s v="CUST346"/>
    <d v="2025-01-25T00:00:00"/>
    <s v="Sports"/>
    <s v="North"/>
    <n v="6"/>
    <n v="296.58"/>
    <n v="1779.48"/>
    <x v="3"/>
    <s v="Repeat Customer"/>
  </r>
  <r>
    <n v="10647"/>
    <s v="CUST168"/>
    <d v="2024-09-17T00:00:00"/>
    <s v="Electronics"/>
    <s v="East"/>
    <n v="8"/>
    <n v="384.1"/>
    <n v="3072.8"/>
    <x v="3"/>
    <s v="Repeat Customer"/>
  </r>
  <r>
    <n v="10648"/>
    <s v="CUST231"/>
    <d v="2024-07-12T00:00:00"/>
    <s v="Electronics"/>
    <s v="North"/>
    <n v="1"/>
    <n v="356.03"/>
    <n v="356.03"/>
    <x v="0"/>
    <s v="Repeat Customer"/>
  </r>
  <r>
    <n v="10649"/>
    <s v="CUST292"/>
    <d v="2025-11-01T00:00:00"/>
    <s v="Home"/>
    <s v="West"/>
    <n v="4"/>
    <n v="345.44"/>
    <n v="1381.76"/>
    <x v="2"/>
    <s v="Repeat Customer"/>
  </r>
  <r>
    <n v="10650"/>
    <s v="CUST154"/>
    <d v="2024-06-07T00:00:00"/>
    <s v="Home"/>
    <s v="East"/>
    <n v="7"/>
    <n v="327.52999999999997"/>
    <n v="2292.71"/>
    <x v="3"/>
    <s v="Repeat Customer"/>
  </r>
  <r>
    <n v="10651"/>
    <s v="CUST389"/>
    <d v="2025-01-09T00:00:00"/>
    <s v="Beauty"/>
    <s v="South"/>
    <n v="10"/>
    <n v="141.4"/>
    <n v="1414"/>
    <x v="3"/>
    <s v="Repeat Customer"/>
  </r>
  <r>
    <n v="10652"/>
    <s v="CUST382"/>
    <d v="2025-07-24T00:00:00"/>
    <s v="Sports"/>
    <s v="West"/>
    <n v="8"/>
    <n v="93.47"/>
    <n v="747.76"/>
    <x v="2"/>
    <s v="Repeat Customer"/>
  </r>
  <r>
    <n v="10653"/>
    <s v="CUST257"/>
    <d v="2025-08-14T00:00:00"/>
    <s v="Beauty"/>
    <s v="South"/>
    <n v="6"/>
    <n v="388.23"/>
    <n v="2329.38"/>
    <x v="0"/>
    <s v="Repeat Customer"/>
  </r>
  <r>
    <n v="10654"/>
    <s v="CUST217"/>
    <d v="2025-04-02T00:00:00"/>
    <s v="Sports"/>
    <s v="West"/>
    <n v="3"/>
    <n v="54.64"/>
    <n v="163.92"/>
    <x v="2"/>
    <s v="Repeat Customer"/>
  </r>
  <r>
    <n v="10655"/>
    <s v="CUST381"/>
    <d v="2025-09-20T00:00:00"/>
    <s v="Electronics"/>
    <s v="North"/>
    <n v="1"/>
    <n v="84.57"/>
    <n v="84.57"/>
    <x v="1"/>
    <s v="Repeat Customer"/>
  </r>
  <r>
    <n v="10656"/>
    <s v="CUST341"/>
    <d v="2025-09-06T00:00:00"/>
    <s v="Home"/>
    <s v="South"/>
    <n v="7"/>
    <n v="48.63"/>
    <n v="340.41"/>
    <x v="2"/>
    <s v="Repeat Customer"/>
  </r>
  <r>
    <n v="10657"/>
    <s v="CUST140"/>
    <d v="2025-09-15T00:00:00"/>
    <s v="Beauty"/>
    <s v="East"/>
    <n v="1"/>
    <n v="363.62"/>
    <n v="363.62"/>
    <x v="0"/>
    <s v="Repeat Customer"/>
  </r>
  <r>
    <n v="10658"/>
    <s v="CUST189"/>
    <d v="2025-10-17T00:00:00"/>
    <s v="Fashion"/>
    <s v="East"/>
    <n v="8"/>
    <n v="222.29"/>
    <n v="1778.32"/>
    <x v="1"/>
    <s v="Repeat Customer"/>
  </r>
  <r>
    <n v="10659"/>
    <s v="CUST117"/>
    <d v="2025-09-05T00:00:00"/>
    <s v="Fashion"/>
    <s v="South"/>
    <n v="9"/>
    <n v="260.33"/>
    <n v="2342.9699999999998"/>
    <x v="0"/>
    <s v="Repeat Customer"/>
  </r>
  <r>
    <n v="10660"/>
    <s v="CUST284"/>
    <d v="2024-09-01T00:00:00"/>
    <s v="Electronics"/>
    <s v="East"/>
    <n v="1"/>
    <n v="487.94"/>
    <n v="487.94"/>
    <x v="3"/>
    <s v="Repeat Customer"/>
  </r>
  <r>
    <n v="10661"/>
    <s v="CUST280"/>
    <d v="2025-11-16T00:00:00"/>
    <s v="Fashion"/>
    <s v="North"/>
    <n v="7"/>
    <n v="205.7"/>
    <n v="1439.9"/>
    <x v="0"/>
    <s v="Repeat Customer"/>
  </r>
  <r>
    <n v="10662"/>
    <s v="CUST146"/>
    <d v="2025-07-16T00:00:00"/>
    <s v="Sports"/>
    <s v="East"/>
    <n v="5"/>
    <n v="364.44"/>
    <n v="1822.2"/>
    <x v="2"/>
    <s v="Repeat Customer"/>
  </r>
  <r>
    <n v="10663"/>
    <s v="CUST241"/>
    <d v="2024-08-19T00:00:00"/>
    <s v="Beauty"/>
    <s v="West"/>
    <n v="10"/>
    <n v="481.71"/>
    <n v="4817.1000000000004"/>
    <x v="0"/>
    <s v="Repeat Customer"/>
  </r>
  <r>
    <n v="10664"/>
    <s v="CUST233"/>
    <d v="2024-06-28T00:00:00"/>
    <s v="Sports"/>
    <s v="North"/>
    <n v="7"/>
    <n v="255.59"/>
    <n v="1789.13"/>
    <x v="2"/>
    <s v="Repeat Customer"/>
  </r>
  <r>
    <n v="10665"/>
    <s v="CUST274"/>
    <d v="2024-04-29T00:00:00"/>
    <s v="Sports"/>
    <s v="East"/>
    <n v="9"/>
    <n v="478.57"/>
    <n v="4307.13"/>
    <x v="3"/>
    <s v="Repeat Customer"/>
  </r>
  <r>
    <n v="10666"/>
    <s v="CUST293"/>
    <d v="2025-07-30T00:00:00"/>
    <s v="Home"/>
    <s v="West"/>
    <n v="8"/>
    <n v="386.13"/>
    <n v="3089.04"/>
    <x v="3"/>
    <s v="Repeat Customer"/>
  </r>
  <r>
    <n v="10667"/>
    <s v="CUST114"/>
    <d v="2025-05-08T00:00:00"/>
    <s v="Beauty"/>
    <s v="South"/>
    <n v="2"/>
    <n v="132.62"/>
    <n v="265.24"/>
    <x v="1"/>
    <s v="Repeat Customer"/>
  </r>
  <r>
    <n v="10668"/>
    <s v="CUST261"/>
    <d v="2025-02-26T00:00:00"/>
    <s v="Electronics"/>
    <s v="East"/>
    <n v="6"/>
    <n v="260.67"/>
    <n v="1564.02"/>
    <x v="1"/>
    <s v="Repeat Customer"/>
  </r>
  <r>
    <n v="10669"/>
    <s v="CUST247"/>
    <d v="2024-04-05T00:00:00"/>
    <s v="Home"/>
    <s v="North"/>
    <n v="7"/>
    <n v="338.48"/>
    <n v="2369.36"/>
    <x v="1"/>
    <s v="Repeat Customer"/>
  </r>
  <r>
    <n v="10670"/>
    <s v="CUST343"/>
    <d v="2024-11-17T00:00:00"/>
    <s v="Sports"/>
    <s v="East"/>
    <n v="6"/>
    <n v="113.19"/>
    <n v="679.14"/>
    <x v="1"/>
    <s v="Repeat Customer"/>
  </r>
  <r>
    <n v="10671"/>
    <s v="CUST197"/>
    <d v="2025-05-25T00:00:00"/>
    <s v="Fashion"/>
    <s v="East"/>
    <n v="4"/>
    <n v="121.26"/>
    <n v="485.04"/>
    <x v="1"/>
    <s v="Repeat Customer"/>
  </r>
  <r>
    <n v="10672"/>
    <s v="CUST217"/>
    <d v="2024-07-26T00:00:00"/>
    <s v="Home"/>
    <s v="South"/>
    <n v="4"/>
    <n v="418.99"/>
    <n v="1675.96"/>
    <x v="0"/>
    <s v="Repeat Customer"/>
  </r>
  <r>
    <n v="10673"/>
    <s v="CUST161"/>
    <d v="2024-03-21T00:00:00"/>
    <s v="Sports"/>
    <s v="North"/>
    <n v="8"/>
    <n v="308.83999999999997"/>
    <n v="2470.7199999999998"/>
    <x v="3"/>
    <s v="Repeat Customer"/>
  </r>
  <r>
    <n v="10674"/>
    <s v="CUST290"/>
    <d v="2025-09-27T00:00:00"/>
    <s v="Sports"/>
    <s v="East"/>
    <n v="6"/>
    <n v="248.71"/>
    <n v="1492.26"/>
    <x v="3"/>
    <s v="Repeat Customer"/>
  </r>
  <r>
    <n v="10675"/>
    <s v="CUST193"/>
    <d v="2025-06-07T00:00:00"/>
    <s v="Sports"/>
    <s v="South"/>
    <n v="5"/>
    <n v="201.95"/>
    <n v="1009.75"/>
    <x v="0"/>
    <s v="Repeat Customer"/>
  </r>
  <r>
    <n v="10676"/>
    <s v="CUST369"/>
    <d v="2025-03-09T00:00:00"/>
    <s v="Electronics"/>
    <s v="East"/>
    <n v="8"/>
    <n v="470.13"/>
    <n v="3761.04"/>
    <x v="3"/>
    <s v="Repeat Customer"/>
  </r>
  <r>
    <n v="10677"/>
    <s v="CUST189"/>
    <d v="2025-04-13T00:00:00"/>
    <s v="Beauty"/>
    <s v="East"/>
    <n v="2"/>
    <n v="350.63"/>
    <n v="701.26"/>
    <x v="0"/>
    <s v="Repeat Customer"/>
  </r>
  <r>
    <n v="10678"/>
    <s v="CUST106"/>
    <d v="2025-11-21T00:00:00"/>
    <s v="Electronics"/>
    <s v="East"/>
    <n v="4"/>
    <n v="192.82"/>
    <n v="771.28"/>
    <x v="2"/>
    <s v="Repeat Customer"/>
  </r>
  <r>
    <n v="10679"/>
    <s v="CUST232"/>
    <d v="2024-07-10T00:00:00"/>
    <s v="Home"/>
    <s v="West"/>
    <n v="9"/>
    <n v="135.11000000000001"/>
    <n v="1215.99"/>
    <x v="2"/>
    <s v="Repeat Customer"/>
  </r>
  <r>
    <n v="10680"/>
    <s v="CUST287"/>
    <d v="2024-07-07T00:00:00"/>
    <s v="Beauty"/>
    <s v="East"/>
    <n v="8"/>
    <n v="214.85"/>
    <n v="1718.8"/>
    <x v="2"/>
    <s v="Repeat Customer"/>
  </r>
  <r>
    <n v="10681"/>
    <s v="CUST305"/>
    <d v="2024-10-13T00:00:00"/>
    <s v="Fashion"/>
    <s v="South"/>
    <n v="8"/>
    <n v="94.05"/>
    <n v="752.4"/>
    <x v="0"/>
    <s v="Repeat Customer"/>
  </r>
  <r>
    <n v="10682"/>
    <s v="CUST238"/>
    <d v="2024-08-29T00:00:00"/>
    <s v="Beauty"/>
    <s v="South"/>
    <n v="9"/>
    <n v="218.95"/>
    <n v="1970.55"/>
    <x v="1"/>
    <s v="Repeat Customer"/>
  </r>
  <r>
    <n v="10683"/>
    <s v="CUST176"/>
    <d v="2025-04-29T00:00:00"/>
    <s v="Beauty"/>
    <s v="South"/>
    <n v="1"/>
    <n v="92.42"/>
    <n v="92.42"/>
    <x v="2"/>
    <s v="Repeat Customer"/>
  </r>
  <r>
    <n v="10684"/>
    <s v="CUST349"/>
    <d v="2024-11-03T00:00:00"/>
    <s v="Sports"/>
    <s v="North"/>
    <n v="5"/>
    <n v="283.26"/>
    <n v="1416.3"/>
    <x v="3"/>
    <s v="Repeat Customer"/>
  </r>
  <r>
    <n v="10685"/>
    <s v="CUST150"/>
    <d v="2025-12-08T00:00:00"/>
    <s v="Home"/>
    <s v="West"/>
    <n v="3"/>
    <n v="34.72"/>
    <n v="104.16"/>
    <x v="0"/>
    <s v="Repeat Customer"/>
  </r>
  <r>
    <n v="10686"/>
    <s v="CUST330"/>
    <d v="2024-12-08T00:00:00"/>
    <s v="Sports"/>
    <s v="East"/>
    <n v="5"/>
    <n v="183.68"/>
    <n v="918.4"/>
    <x v="2"/>
    <s v="Repeat Customer"/>
  </r>
  <r>
    <n v="10687"/>
    <s v="CUST110"/>
    <d v="2025-02-25T00:00:00"/>
    <s v="Sports"/>
    <s v="South"/>
    <n v="2"/>
    <n v="178.79"/>
    <n v="357.58"/>
    <x v="1"/>
    <s v="Repeat Customer"/>
  </r>
  <r>
    <n v="10688"/>
    <s v="CUST245"/>
    <d v="2024-12-29T00:00:00"/>
    <s v="Beauty"/>
    <s v="West"/>
    <n v="6"/>
    <n v="338.23"/>
    <n v="2029.38"/>
    <x v="0"/>
    <s v="Repeat Customer"/>
  </r>
  <r>
    <n v="10689"/>
    <s v="CUST295"/>
    <d v="2025-09-20T00:00:00"/>
    <s v="Fashion"/>
    <s v="South"/>
    <n v="5"/>
    <n v="234.56"/>
    <n v="1172.8"/>
    <x v="2"/>
    <s v="Repeat Customer"/>
  </r>
  <r>
    <n v="10690"/>
    <s v="CUST315"/>
    <d v="2025-10-08T00:00:00"/>
    <s v="Electronics"/>
    <s v="North"/>
    <n v="10"/>
    <n v="287.95999999999998"/>
    <n v="2879.6"/>
    <x v="1"/>
    <s v="Repeat Customer"/>
  </r>
  <r>
    <n v="10691"/>
    <s v="CUST275"/>
    <d v="2024-08-21T00:00:00"/>
    <s v="Home"/>
    <s v="East"/>
    <n v="6"/>
    <n v="161.85"/>
    <n v="971.1"/>
    <x v="3"/>
    <s v="Repeat Customer"/>
  </r>
  <r>
    <n v="10692"/>
    <s v="CUST238"/>
    <d v="2025-03-31T00:00:00"/>
    <s v="Sports"/>
    <s v="West"/>
    <n v="6"/>
    <n v="375.21"/>
    <n v="2251.2600000000002"/>
    <x v="3"/>
    <s v="Repeat Customer"/>
  </r>
  <r>
    <n v="10693"/>
    <s v="CUST185"/>
    <d v="2024-07-07T00:00:00"/>
    <s v="Fashion"/>
    <s v="East"/>
    <n v="1"/>
    <n v="66.89"/>
    <n v="66.89"/>
    <x v="0"/>
    <s v="Repeat Customer"/>
  </r>
  <r>
    <n v="10694"/>
    <s v="CUST207"/>
    <d v="2024-06-19T00:00:00"/>
    <s v="Electronics"/>
    <s v="West"/>
    <n v="7"/>
    <n v="55.99"/>
    <n v="391.93"/>
    <x v="0"/>
    <s v="Repeat Customer"/>
  </r>
  <r>
    <n v="10695"/>
    <s v="CUST113"/>
    <d v="2025-02-10T00:00:00"/>
    <s v="Electronics"/>
    <s v="North"/>
    <n v="9"/>
    <n v="383.67"/>
    <n v="3453.03"/>
    <x v="2"/>
    <s v="Repeat Customer"/>
  </r>
  <r>
    <n v="10696"/>
    <s v="CUST179"/>
    <d v="2024-03-27T00:00:00"/>
    <s v="Fashion"/>
    <s v="East"/>
    <n v="7"/>
    <n v="158.13999999999999"/>
    <n v="1106.98"/>
    <x v="3"/>
    <s v="Repeat Customer"/>
  </r>
  <r>
    <n v="10697"/>
    <s v="CUST164"/>
    <d v="2024-05-14T00:00:00"/>
    <s v="Electronics"/>
    <s v="North"/>
    <n v="9"/>
    <n v="420.07"/>
    <n v="3780.63"/>
    <x v="2"/>
    <s v="Repeat Customer"/>
  </r>
  <r>
    <n v="10698"/>
    <s v="CUST266"/>
    <d v="2025-05-02T00:00:00"/>
    <s v="Sports"/>
    <s v="East"/>
    <n v="8"/>
    <n v="487.62"/>
    <n v="3900.96"/>
    <x v="3"/>
    <s v="Repeat Customer"/>
  </r>
  <r>
    <n v="10699"/>
    <s v="CUST169"/>
    <d v="2025-12-15T00:00:00"/>
    <s v="Sports"/>
    <s v="West"/>
    <n v="9"/>
    <n v="92.63"/>
    <n v="833.67"/>
    <x v="3"/>
    <s v="Repeat Customer"/>
  </r>
  <r>
    <n v="10700"/>
    <s v="CUST368"/>
    <d v="2025-10-17T00:00:00"/>
    <s v="Home"/>
    <s v="West"/>
    <n v="9"/>
    <n v="158.28"/>
    <n v="1424.52"/>
    <x v="1"/>
    <s v="Repeat Customer"/>
  </r>
  <r>
    <n v="10701"/>
    <s v="CUST145"/>
    <d v="2025-03-28T00:00:00"/>
    <s v="Home"/>
    <s v="South"/>
    <n v="5"/>
    <n v="186.06"/>
    <n v="930.3"/>
    <x v="2"/>
    <s v="Repeat Customer"/>
  </r>
  <r>
    <n v="10702"/>
    <s v="CUST105"/>
    <d v="2024-01-01T00:00:00"/>
    <s v="Fashion"/>
    <s v="East"/>
    <n v="9"/>
    <n v="408.61"/>
    <n v="3677.49"/>
    <x v="2"/>
    <s v="Repeat Customer"/>
  </r>
  <r>
    <n v="10703"/>
    <s v="CUST340"/>
    <d v="2025-07-01T00:00:00"/>
    <s v="Beauty"/>
    <s v="West"/>
    <n v="1"/>
    <n v="345.45"/>
    <n v="345.45"/>
    <x v="2"/>
    <s v="Repeat Customer"/>
  </r>
  <r>
    <n v="10704"/>
    <s v="CUST104"/>
    <d v="2025-03-16T00:00:00"/>
    <s v="Electronics"/>
    <s v="East"/>
    <n v="5"/>
    <n v="300.52"/>
    <n v="1502.6"/>
    <x v="1"/>
    <s v="Repeat Customer"/>
  </r>
  <r>
    <n v="10705"/>
    <s v="CUST310"/>
    <d v="2025-07-28T00:00:00"/>
    <s v="Fashion"/>
    <s v="West"/>
    <n v="7"/>
    <n v="200.4"/>
    <n v="1402.8"/>
    <x v="3"/>
    <s v="Repeat Customer"/>
  </r>
  <r>
    <n v="10706"/>
    <s v="CUST212"/>
    <d v="2024-09-26T00:00:00"/>
    <s v="Fashion"/>
    <s v="East"/>
    <n v="2"/>
    <n v="214.01"/>
    <n v="428.02"/>
    <x v="2"/>
    <s v="Repeat Customer"/>
  </r>
  <r>
    <n v="10707"/>
    <s v="CUST372"/>
    <d v="2024-10-02T00:00:00"/>
    <s v="Electronics"/>
    <s v="South"/>
    <n v="7"/>
    <n v="98.06"/>
    <n v="686.42"/>
    <x v="1"/>
    <s v="Repeat Customer"/>
  </r>
  <r>
    <n v="10708"/>
    <s v="CUST248"/>
    <d v="2024-04-23T00:00:00"/>
    <s v="Home"/>
    <s v="West"/>
    <n v="8"/>
    <n v="310.77999999999997"/>
    <n v="2486.2399999999998"/>
    <x v="1"/>
    <s v="Repeat Customer"/>
  </r>
  <r>
    <n v="10709"/>
    <s v="CUST264"/>
    <d v="2024-01-20T00:00:00"/>
    <s v="Sports"/>
    <s v="North"/>
    <n v="3"/>
    <n v="29.57"/>
    <n v="88.71"/>
    <x v="1"/>
    <s v="Repeat Customer"/>
  </r>
  <r>
    <n v="10710"/>
    <s v="CUST152"/>
    <d v="2024-10-15T00:00:00"/>
    <s v="Beauty"/>
    <s v="North"/>
    <n v="5"/>
    <n v="66.89"/>
    <n v="334.45"/>
    <x v="1"/>
    <s v="Repeat Customer"/>
  </r>
  <r>
    <n v="10711"/>
    <s v="CUST146"/>
    <d v="2024-06-03T00:00:00"/>
    <s v="Home"/>
    <s v="West"/>
    <n v="1"/>
    <n v="249.32"/>
    <n v="249.32"/>
    <x v="2"/>
    <s v="Repeat Customer"/>
  </r>
  <r>
    <n v="10712"/>
    <s v="CUST355"/>
    <d v="2025-01-15T00:00:00"/>
    <s v="Electronics"/>
    <s v="East"/>
    <n v="8"/>
    <n v="349.98"/>
    <n v="2799.84"/>
    <x v="0"/>
    <s v="Repeat Customer"/>
  </r>
  <r>
    <n v="10713"/>
    <s v="CUST174"/>
    <d v="2024-02-27T00:00:00"/>
    <s v="Electronics"/>
    <s v="West"/>
    <n v="5"/>
    <n v="388.95"/>
    <n v="1944.75"/>
    <x v="1"/>
    <s v="Repeat Customer"/>
  </r>
  <r>
    <n v="10714"/>
    <s v="CUST198"/>
    <d v="2024-09-13T00:00:00"/>
    <s v="Electronics"/>
    <s v="South"/>
    <n v="7"/>
    <n v="414.98"/>
    <n v="2904.86"/>
    <x v="3"/>
    <s v="Repeat Customer"/>
  </r>
  <r>
    <n v="10715"/>
    <s v="CUST326"/>
    <d v="2024-09-10T00:00:00"/>
    <s v="Electronics"/>
    <s v="South"/>
    <n v="1"/>
    <n v="103.59"/>
    <n v="103.59"/>
    <x v="3"/>
    <s v="Repeat Customer"/>
  </r>
  <r>
    <n v="10716"/>
    <s v="CUST299"/>
    <d v="2025-11-28T00:00:00"/>
    <s v="Fashion"/>
    <s v="North"/>
    <n v="5"/>
    <n v="468.43"/>
    <n v="2342.15"/>
    <x v="0"/>
    <s v="Repeat Customer"/>
  </r>
  <r>
    <n v="10717"/>
    <s v="CUST229"/>
    <d v="2025-05-07T00:00:00"/>
    <s v="Electronics"/>
    <s v="South"/>
    <n v="5"/>
    <n v="103.37"/>
    <n v="516.85"/>
    <x v="0"/>
    <s v="Repeat Customer"/>
  </r>
  <r>
    <n v="10718"/>
    <s v="CUST220"/>
    <d v="2025-10-10T00:00:00"/>
    <s v="Fashion"/>
    <s v="East"/>
    <n v="7"/>
    <n v="165.63"/>
    <n v="1159.4100000000001"/>
    <x v="0"/>
    <s v="Repeat Customer"/>
  </r>
  <r>
    <n v="10719"/>
    <s v="CUST302"/>
    <d v="2024-09-05T00:00:00"/>
    <s v="Sports"/>
    <s v="West"/>
    <n v="1"/>
    <n v="484.57"/>
    <n v="484.57"/>
    <x v="1"/>
    <s v="Repeat Customer"/>
  </r>
  <r>
    <n v="10720"/>
    <s v="CUST290"/>
    <d v="2024-04-01T00:00:00"/>
    <s v="Electronics"/>
    <s v="East"/>
    <n v="4"/>
    <n v="83.06"/>
    <n v="332.24"/>
    <x v="0"/>
    <s v="Repeat Customer"/>
  </r>
  <r>
    <n v="10721"/>
    <s v="CUST130"/>
    <d v="2024-12-30T00:00:00"/>
    <s v="Electronics"/>
    <s v="South"/>
    <n v="3"/>
    <n v="352.16"/>
    <n v="1056.48"/>
    <x v="3"/>
    <s v="Repeat Customer"/>
  </r>
  <r>
    <n v="10722"/>
    <s v="CUST219"/>
    <d v="2024-11-20T00:00:00"/>
    <s v="Home"/>
    <s v="West"/>
    <n v="9"/>
    <n v="395.34"/>
    <n v="3558.06"/>
    <x v="1"/>
    <s v="Repeat Customer"/>
  </r>
  <r>
    <n v="10723"/>
    <s v="CUST110"/>
    <d v="2025-12-06T00:00:00"/>
    <s v="Fashion"/>
    <s v="East"/>
    <n v="7"/>
    <n v="182.29"/>
    <n v="1276.03"/>
    <x v="0"/>
    <s v="Repeat Customer"/>
  </r>
  <r>
    <n v="10724"/>
    <s v="CUST348"/>
    <d v="2025-12-24T00:00:00"/>
    <s v="Sports"/>
    <s v="West"/>
    <n v="8"/>
    <n v="281.72000000000003"/>
    <n v="2253.7600000000002"/>
    <x v="1"/>
    <s v="Repeat Customer"/>
  </r>
  <r>
    <n v="10725"/>
    <s v="CUST390"/>
    <d v="2024-07-10T00:00:00"/>
    <s v="Beauty"/>
    <s v="East"/>
    <n v="9"/>
    <n v="177.09"/>
    <n v="1593.81"/>
    <x v="1"/>
    <s v="Repeat Customer"/>
  </r>
  <r>
    <n v="10726"/>
    <s v="CUST135"/>
    <d v="2025-06-27T00:00:00"/>
    <s v="Home"/>
    <s v="East"/>
    <n v="3"/>
    <n v="227.45"/>
    <n v="682.35"/>
    <x v="3"/>
    <s v="Repeat Customer"/>
  </r>
  <r>
    <n v="10727"/>
    <s v="CUST100"/>
    <d v="2025-10-15T00:00:00"/>
    <s v="Fashion"/>
    <s v="North"/>
    <n v="9"/>
    <n v="192.63"/>
    <n v="1733.67"/>
    <x v="2"/>
    <s v="Repeat Customer"/>
  </r>
  <r>
    <n v="10728"/>
    <s v="CUST222"/>
    <d v="2024-11-24T00:00:00"/>
    <s v="Sports"/>
    <s v="West"/>
    <n v="2"/>
    <n v="330.85"/>
    <n v="661.7"/>
    <x v="1"/>
    <s v="Repeat Customer"/>
  </r>
  <r>
    <n v="10729"/>
    <s v="CUST368"/>
    <d v="2025-11-30T00:00:00"/>
    <s v="Fashion"/>
    <s v="East"/>
    <n v="8"/>
    <n v="384.04"/>
    <n v="3072.32"/>
    <x v="2"/>
    <s v="Repeat Customer"/>
  </r>
  <r>
    <n v="10730"/>
    <s v="CUST309"/>
    <d v="2025-10-18T00:00:00"/>
    <s v="Sports"/>
    <s v="North"/>
    <n v="6"/>
    <n v="59.68"/>
    <n v="358.08"/>
    <x v="0"/>
    <s v="Repeat Customer"/>
  </r>
  <r>
    <n v="10731"/>
    <s v="CUST166"/>
    <d v="2024-07-01T00:00:00"/>
    <s v="Beauty"/>
    <s v="South"/>
    <n v="1"/>
    <n v="105.03"/>
    <n v="105.03"/>
    <x v="0"/>
    <s v="New Customer"/>
  </r>
  <r>
    <n v="10732"/>
    <s v="CUST116"/>
    <d v="2025-08-07T00:00:00"/>
    <s v="Sports"/>
    <s v="East"/>
    <n v="7"/>
    <n v="330.67"/>
    <n v="2314.69"/>
    <x v="0"/>
    <s v="Repeat Customer"/>
  </r>
  <r>
    <n v="10733"/>
    <s v="CUST287"/>
    <d v="2024-08-14T00:00:00"/>
    <s v="Electronics"/>
    <s v="South"/>
    <n v="10"/>
    <n v="360.33"/>
    <n v="3603.3"/>
    <x v="3"/>
    <s v="Repeat Customer"/>
  </r>
  <r>
    <n v="10734"/>
    <s v="CUST140"/>
    <d v="2025-04-24T00:00:00"/>
    <s v="Beauty"/>
    <s v="East"/>
    <n v="1"/>
    <n v="183.66"/>
    <n v="183.66"/>
    <x v="0"/>
    <s v="Repeat Customer"/>
  </r>
  <r>
    <n v="10735"/>
    <s v="CUST236"/>
    <d v="2025-06-25T00:00:00"/>
    <s v="Home"/>
    <s v="North"/>
    <n v="1"/>
    <n v="368.48"/>
    <n v="368.48"/>
    <x v="1"/>
    <s v="Repeat Customer"/>
  </r>
  <r>
    <n v="10736"/>
    <s v="CUST365"/>
    <d v="2024-04-09T00:00:00"/>
    <s v="Sports"/>
    <s v="West"/>
    <n v="2"/>
    <n v="363.96"/>
    <n v="727.92"/>
    <x v="1"/>
    <s v="Repeat Customer"/>
  </r>
  <r>
    <n v="10737"/>
    <s v="CUST198"/>
    <d v="2025-06-22T00:00:00"/>
    <s v="Fashion"/>
    <s v="West"/>
    <n v="4"/>
    <n v="287.16000000000003"/>
    <n v="1148.6400000000001"/>
    <x v="0"/>
    <s v="Repeat Customer"/>
  </r>
  <r>
    <n v="10738"/>
    <s v="CUST395"/>
    <d v="2025-01-01T00:00:00"/>
    <s v="Beauty"/>
    <s v="North"/>
    <n v="8"/>
    <n v="352.76"/>
    <n v="2822.08"/>
    <x v="1"/>
    <s v="Repeat Customer"/>
  </r>
  <r>
    <n v="10739"/>
    <s v="CUST192"/>
    <d v="2025-07-17T00:00:00"/>
    <s v="Fashion"/>
    <s v="West"/>
    <n v="7"/>
    <n v="254.82"/>
    <n v="1783.74"/>
    <x v="2"/>
    <s v="Repeat Customer"/>
  </r>
  <r>
    <n v="10740"/>
    <s v="CUST261"/>
    <d v="2025-07-17T00:00:00"/>
    <s v="Beauty"/>
    <s v="West"/>
    <n v="6"/>
    <n v="423.2"/>
    <n v="2539.1999999999998"/>
    <x v="2"/>
    <s v="Repeat Customer"/>
  </r>
  <r>
    <n v="10741"/>
    <s v="CUST223"/>
    <d v="2025-07-30T00:00:00"/>
    <s v="Sports"/>
    <s v="East"/>
    <n v="9"/>
    <n v="110.89"/>
    <n v="998.01"/>
    <x v="2"/>
    <s v="Repeat Customer"/>
  </r>
  <r>
    <n v="10742"/>
    <s v="CUST331"/>
    <d v="2025-04-03T00:00:00"/>
    <s v="Electronics"/>
    <s v="East"/>
    <n v="7"/>
    <n v="5.0999999999999996"/>
    <n v="35.700000000000003"/>
    <x v="0"/>
    <s v="Repeat Customer"/>
  </r>
  <r>
    <n v="10743"/>
    <s v="CUST365"/>
    <d v="2024-05-18T00:00:00"/>
    <s v="Fashion"/>
    <s v="South"/>
    <n v="5"/>
    <n v="8.25"/>
    <n v="41.25"/>
    <x v="2"/>
    <s v="Repeat Customer"/>
  </r>
  <r>
    <n v="10744"/>
    <s v="CUST111"/>
    <d v="2025-12-07T00:00:00"/>
    <s v="Sports"/>
    <s v="South"/>
    <n v="5"/>
    <n v="459.96"/>
    <n v="2299.8000000000002"/>
    <x v="0"/>
    <s v="Repeat Customer"/>
  </r>
  <r>
    <n v="10745"/>
    <s v="CUST119"/>
    <d v="2025-04-16T00:00:00"/>
    <s v="Home"/>
    <s v="East"/>
    <n v="6"/>
    <n v="82.27"/>
    <n v="493.62"/>
    <x v="1"/>
    <s v="Repeat Customer"/>
  </r>
  <r>
    <n v="10746"/>
    <s v="CUST219"/>
    <d v="2024-09-19T00:00:00"/>
    <s v="Beauty"/>
    <s v="South"/>
    <n v="5"/>
    <n v="50.49"/>
    <n v="252.45"/>
    <x v="0"/>
    <s v="Repeat Customer"/>
  </r>
  <r>
    <n v="10747"/>
    <s v="CUST266"/>
    <d v="2025-05-09T00:00:00"/>
    <s v="Sports"/>
    <s v="North"/>
    <n v="3"/>
    <n v="246.7"/>
    <n v="740.1"/>
    <x v="2"/>
    <s v="Repeat Customer"/>
  </r>
  <r>
    <n v="10748"/>
    <s v="CUST119"/>
    <d v="2025-08-13T00:00:00"/>
    <s v="Electronics"/>
    <s v="East"/>
    <n v="7"/>
    <n v="43.85"/>
    <n v="306.95"/>
    <x v="2"/>
    <s v="Repeat Customer"/>
  </r>
  <r>
    <n v="10749"/>
    <s v="CUST322"/>
    <d v="2025-03-02T00:00:00"/>
    <s v="Fashion"/>
    <s v="North"/>
    <n v="2"/>
    <n v="435.54"/>
    <n v="871.08"/>
    <x v="3"/>
    <s v="Repeat Customer"/>
  </r>
  <r>
    <n v="10750"/>
    <s v="CUST127"/>
    <d v="2024-11-08T00:00:00"/>
    <s v="Sports"/>
    <s v="South"/>
    <n v="9"/>
    <n v="25.39"/>
    <n v="228.51"/>
    <x v="2"/>
    <s v="Repeat Customer"/>
  </r>
  <r>
    <n v="10751"/>
    <s v="CUST357"/>
    <d v="2025-12-15T00:00:00"/>
    <s v="Beauty"/>
    <s v="West"/>
    <n v="4"/>
    <n v="80.83"/>
    <n v="323.32"/>
    <x v="0"/>
    <s v="Repeat Customer"/>
  </r>
  <r>
    <n v="10752"/>
    <s v="CUST213"/>
    <d v="2025-03-18T00:00:00"/>
    <s v="Fashion"/>
    <s v="South"/>
    <n v="5"/>
    <n v="394.25"/>
    <n v="1971.25"/>
    <x v="2"/>
    <s v="Repeat Customer"/>
  </r>
  <r>
    <n v="10753"/>
    <s v="CUST142"/>
    <d v="2025-05-02T00:00:00"/>
    <s v="Sports"/>
    <s v="West"/>
    <n v="10"/>
    <n v="373.93"/>
    <n v="3739.3"/>
    <x v="2"/>
    <s v="Repeat Customer"/>
  </r>
  <r>
    <n v="10754"/>
    <s v="CUST143"/>
    <d v="2025-02-12T00:00:00"/>
    <s v="Fashion"/>
    <s v="South"/>
    <n v="9"/>
    <n v="220.07"/>
    <n v="1980.63"/>
    <x v="3"/>
    <s v="Repeat Customer"/>
  </r>
  <r>
    <n v="10755"/>
    <s v="CUST386"/>
    <d v="2024-07-21T00:00:00"/>
    <s v="Sports"/>
    <s v="South"/>
    <n v="8"/>
    <n v="200.68"/>
    <n v="1605.44"/>
    <x v="1"/>
    <s v="Repeat Customer"/>
  </r>
  <r>
    <n v="10756"/>
    <s v="CUST224"/>
    <d v="2024-03-14T00:00:00"/>
    <s v="Home"/>
    <s v="North"/>
    <n v="5"/>
    <n v="389.5"/>
    <n v="1947.5"/>
    <x v="0"/>
    <s v="Repeat Customer"/>
  </r>
  <r>
    <n v="10757"/>
    <s v="CUST311"/>
    <d v="2025-03-09T00:00:00"/>
    <s v="Home"/>
    <s v="East"/>
    <n v="6"/>
    <n v="177.41"/>
    <n v="1064.46"/>
    <x v="0"/>
    <s v="Repeat Customer"/>
  </r>
  <r>
    <n v="10758"/>
    <s v="CUST256"/>
    <d v="2024-06-22T00:00:00"/>
    <s v="Beauty"/>
    <s v="South"/>
    <n v="6"/>
    <n v="310.02999999999997"/>
    <n v="1860.18"/>
    <x v="3"/>
    <s v="Repeat Customer"/>
  </r>
  <r>
    <n v="10759"/>
    <s v="CUST122"/>
    <d v="2024-08-27T00:00:00"/>
    <s v="Fashion"/>
    <s v="North"/>
    <n v="4"/>
    <n v="344.25"/>
    <n v="1377"/>
    <x v="0"/>
    <s v="Repeat Customer"/>
  </r>
  <r>
    <n v="10760"/>
    <s v="CUST127"/>
    <d v="2024-09-05T00:00:00"/>
    <s v="Home"/>
    <s v="North"/>
    <n v="10"/>
    <n v="463.73"/>
    <n v="4637.3"/>
    <x v="2"/>
    <s v="Repeat Customer"/>
  </r>
  <r>
    <n v="10761"/>
    <s v="CUST156"/>
    <d v="2024-11-08T00:00:00"/>
    <s v="Home"/>
    <s v="South"/>
    <n v="8"/>
    <n v="238.24"/>
    <n v="1905.92"/>
    <x v="1"/>
    <s v="Repeat Customer"/>
  </r>
  <r>
    <n v="10762"/>
    <s v="CUST204"/>
    <d v="2025-07-13T00:00:00"/>
    <s v="Sports"/>
    <s v="West"/>
    <n v="9"/>
    <n v="376.43"/>
    <n v="3387.87"/>
    <x v="1"/>
    <s v="Repeat Customer"/>
  </r>
  <r>
    <n v="10763"/>
    <s v="CUST109"/>
    <d v="2025-01-20T00:00:00"/>
    <s v="Sports"/>
    <s v="North"/>
    <n v="10"/>
    <n v="453.49"/>
    <n v="4534.8999999999996"/>
    <x v="2"/>
    <s v="Repeat Customer"/>
  </r>
  <r>
    <n v="10764"/>
    <s v="CUST187"/>
    <d v="2024-03-02T00:00:00"/>
    <s v="Sports"/>
    <s v="East"/>
    <n v="5"/>
    <n v="104.34"/>
    <n v="521.70000000000005"/>
    <x v="0"/>
    <s v="Repeat Customer"/>
  </r>
  <r>
    <n v="10765"/>
    <s v="CUST338"/>
    <d v="2025-11-01T00:00:00"/>
    <s v="Home"/>
    <s v="East"/>
    <n v="1"/>
    <n v="37.97"/>
    <n v="37.97"/>
    <x v="0"/>
    <s v="Repeat Customer"/>
  </r>
  <r>
    <n v="10766"/>
    <s v="CUST109"/>
    <d v="2024-10-26T00:00:00"/>
    <s v="Beauty"/>
    <s v="North"/>
    <n v="7"/>
    <n v="119.43"/>
    <n v="836.01"/>
    <x v="2"/>
    <s v="Repeat Customer"/>
  </r>
  <r>
    <n v="10767"/>
    <s v="CUST348"/>
    <d v="2025-09-03T00:00:00"/>
    <s v="Fashion"/>
    <s v="West"/>
    <n v="9"/>
    <n v="48.57"/>
    <n v="437.13"/>
    <x v="0"/>
    <s v="Repeat Customer"/>
  </r>
  <r>
    <n v="10768"/>
    <s v="CUST120"/>
    <d v="2024-09-10T00:00:00"/>
    <s v="Beauty"/>
    <s v="West"/>
    <n v="9"/>
    <n v="155.94"/>
    <n v="1403.46"/>
    <x v="1"/>
    <s v="Repeat Customer"/>
  </r>
  <r>
    <n v="10769"/>
    <s v="CUST109"/>
    <d v="2024-12-21T00:00:00"/>
    <s v="Home"/>
    <s v="South"/>
    <n v="6"/>
    <n v="180.91"/>
    <n v="1085.46"/>
    <x v="2"/>
    <s v="Repeat Customer"/>
  </r>
  <r>
    <n v="10770"/>
    <s v="CUST131"/>
    <d v="2025-10-02T00:00:00"/>
    <s v="Electronics"/>
    <s v="East"/>
    <n v="5"/>
    <n v="439.95"/>
    <n v="2199.75"/>
    <x v="1"/>
    <s v="Repeat Customer"/>
  </r>
  <r>
    <n v="10771"/>
    <s v="CUST177"/>
    <d v="2024-12-15T00:00:00"/>
    <s v="Electronics"/>
    <s v="West"/>
    <n v="7"/>
    <n v="330.18"/>
    <n v="2311.2600000000002"/>
    <x v="1"/>
    <s v="Repeat Customer"/>
  </r>
  <r>
    <n v="10772"/>
    <s v="CUST313"/>
    <d v="2024-09-03T00:00:00"/>
    <s v="Home"/>
    <s v="East"/>
    <n v="10"/>
    <n v="80.61"/>
    <n v="806.1"/>
    <x v="3"/>
    <s v="Repeat Customer"/>
  </r>
  <r>
    <n v="10773"/>
    <s v="CUST377"/>
    <d v="2024-05-14T00:00:00"/>
    <s v="Sports"/>
    <s v="South"/>
    <n v="4"/>
    <n v="327.97"/>
    <n v="1311.88"/>
    <x v="1"/>
    <s v="Repeat Customer"/>
  </r>
  <r>
    <n v="10774"/>
    <s v="CUST258"/>
    <d v="2025-12-06T00:00:00"/>
    <s v="Beauty"/>
    <s v="South"/>
    <n v="9"/>
    <n v="455.23"/>
    <n v="4097.07"/>
    <x v="1"/>
    <s v="Repeat Customer"/>
  </r>
  <r>
    <n v="10775"/>
    <s v="CUST262"/>
    <d v="2024-03-10T00:00:00"/>
    <s v="Electronics"/>
    <s v="South"/>
    <n v="9"/>
    <n v="268.82"/>
    <n v="2419.38"/>
    <x v="2"/>
    <s v="Repeat Customer"/>
  </r>
  <r>
    <n v="10776"/>
    <s v="CUST174"/>
    <d v="2024-01-31T00:00:00"/>
    <s v="Beauty"/>
    <s v="West"/>
    <n v="6"/>
    <n v="440.67"/>
    <n v="2644.02"/>
    <x v="2"/>
    <s v="Repeat Customer"/>
  </r>
  <r>
    <n v="10777"/>
    <s v="CUST326"/>
    <d v="2025-10-14T00:00:00"/>
    <s v="Fashion"/>
    <s v="North"/>
    <n v="5"/>
    <n v="80.22"/>
    <n v="401.1"/>
    <x v="1"/>
    <s v="Repeat Customer"/>
  </r>
  <r>
    <n v="10778"/>
    <s v="CUST194"/>
    <d v="2024-01-27T00:00:00"/>
    <s v="Sports"/>
    <s v="South"/>
    <n v="10"/>
    <n v="310.39"/>
    <n v="3103.9"/>
    <x v="1"/>
    <s v="Repeat Customer"/>
  </r>
  <r>
    <n v="10779"/>
    <s v="CUST218"/>
    <d v="2025-12-04T00:00:00"/>
    <s v="Beauty"/>
    <s v="South"/>
    <n v="1"/>
    <n v="182.83"/>
    <n v="182.83"/>
    <x v="3"/>
    <s v="Repeat Customer"/>
  </r>
  <r>
    <n v="10780"/>
    <s v="CUST291"/>
    <d v="2024-07-07T00:00:00"/>
    <s v="Fashion"/>
    <s v="South"/>
    <n v="7"/>
    <n v="248.27"/>
    <n v="1737.89"/>
    <x v="1"/>
    <s v="Repeat Customer"/>
  </r>
  <r>
    <n v="10781"/>
    <s v="CUST215"/>
    <d v="2024-02-03T00:00:00"/>
    <s v="Electronics"/>
    <s v="East"/>
    <n v="7"/>
    <n v="383.45"/>
    <n v="2684.15"/>
    <x v="3"/>
    <s v="Repeat Customer"/>
  </r>
  <r>
    <n v="10782"/>
    <s v="CUST213"/>
    <d v="2025-11-18T00:00:00"/>
    <s v="Electronics"/>
    <s v="South"/>
    <n v="4"/>
    <n v="380.1"/>
    <n v="1520.4"/>
    <x v="3"/>
    <s v="Repeat Customer"/>
  </r>
  <r>
    <n v="10783"/>
    <s v="CUST350"/>
    <d v="2025-12-05T00:00:00"/>
    <s v="Fashion"/>
    <s v="West"/>
    <n v="6"/>
    <n v="434.05"/>
    <n v="2604.3000000000002"/>
    <x v="3"/>
    <s v="Repeat Customer"/>
  </r>
  <r>
    <n v="10784"/>
    <s v="CUST121"/>
    <d v="2025-09-14T00:00:00"/>
    <s v="Beauty"/>
    <s v="North"/>
    <n v="7"/>
    <n v="361.5"/>
    <n v="2530.5"/>
    <x v="0"/>
    <s v="Repeat Customer"/>
  </r>
  <r>
    <n v="10785"/>
    <s v="CUST331"/>
    <d v="2025-04-12T00:00:00"/>
    <s v="Fashion"/>
    <s v="West"/>
    <n v="1"/>
    <n v="439.5"/>
    <n v="439.5"/>
    <x v="0"/>
    <s v="Repeat Customer"/>
  </r>
  <r>
    <n v="10786"/>
    <s v="CUST385"/>
    <d v="2025-01-31T00:00:00"/>
    <s v="Electronics"/>
    <s v="South"/>
    <n v="9"/>
    <n v="383.75"/>
    <n v="3453.75"/>
    <x v="2"/>
    <s v="Repeat Customer"/>
  </r>
  <r>
    <n v="10787"/>
    <s v="CUST325"/>
    <d v="2025-02-11T00:00:00"/>
    <s v="Home"/>
    <s v="West"/>
    <n v="5"/>
    <n v="387.97"/>
    <n v="1939.85"/>
    <x v="1"/>
    <s v="Repeat Customer"/>
  </r>
  <r>
    <n v="10788"/>
    <s v="CUST316"/>
    <d v="2024-10-28T00:00:00"/>
    <s v="Sports"/>
    <s v="South"/>
    <n v="10"/>
    <n v="459.92"/>
    <n v="4599.2"/>
    <x v="3"/>
    <s v="Repeat Customer"/>
  </r>
  <r>
    <n v="10789"/>
    <s v="CUST331"/>
    <d v="2024-04-02T00:00:00"/>
    <s v="Sports"/>
    <s v="South"/>
    <n v="9"/>
    <n v="61.02"/>
    <n v="549.17999999999995"/>
    <x v="3"/>
    <s v="Repeat Customer"/>
  </r>
  <r>
    <n v="10790"/>
    <s v="CUST311"/>
    <d v="2024-11-27T00:00:00"/>
    <s v="Beauty"/>
    <s v="South"/>
    <n v="8"/>
    <n v="17.329999999999998"/>
    <n v="138.63999999999999"/>
    <x v="3"/>
    <s v="Repeat Customer"/>
  </r>
  <r>
    <n v="10791"/>
    <s v="CUST146"/>
    <d v="2024-09-13T00:00:00"/>
    <s v="Fashion"/>
    <s v="North"/>
    <n v="6"/>
    <n v="347.4"/>
    <n v="2084.4"/>
    <x v="0"/>
    <s v="Repeat Customer"/>
  </r>
  <r>
    <n v="10792"/>
    <s v="CUST158"/>
    <d v="2025-12-24T00:00:00"/>
    <s v="Electronics"/>
    <s v="West"/>
    <n v="8"/>
    <n v="318.87"/>
    <n v="2550.96"/>
    <x v="1"/>
    <s v="Repeat Customer"/>
  </r>
  <r>
    <n v="10793"/>
    <s v="CUST293"/>
    <d v="2025-07-17T00:00:00"/>
    <s v="Fashion"/>
    <s v="East"/>
    <n v="7"/>
    <n v="26.73"/>
    <n v="187.11"/>
    <x v="1"/>
    <s v="Repeat Customer"/>
  </r>
  <r>
    <n v="10794"/>
    <s v="CUST183"/>
    <d v="2024-05-28T00:00:00"/>
    <s v="Electronics"/>
    <s v="West"/>
    <n v="3"/>
    <n v="385.73"/>
    <n v="1157.19"/>
    <x v="2"/>
    <s v="Repeat Customer"/>
  </r>
  <r>
    <n v="10795"/>
    <s v="CUST258"/>
    <d v="2025-04-01T00:00:00"/>
    <s v="Electronics"/>
    <s v="South"/>
    <n v="5"/>
    <n v="315.08999999999997"/>
    <n v="1575.45"/>
    <x v="1"/>
    <s v="Repeat Customer"/>
  </r>
  <r>
    <n v="10796"/>
    <s v="CUST101"/>
    <d v="2025-09-29T00:00:00"/>
    <s v="Beauty"/>
    <s v="West"/>
    <n v="5"/>
    <n v="11.04"/>
    <n v="55.2"/>
    <x v="0"/>
    <s v="Repeat Customer"/>
  </r>
  <r>
    <n v="10797"/>
    <s v="CUST352"/>
    <d v="2024-08-31T00:00:00"/>
    <s v="Beauty"/>
    <s v="West"/>
    <n v="4"/>
    <n v="296.49"/>
    <n v="1185.96"/>
    <x v="3"/>
    <s v="New Customer"/>
  </r>
  <r>
    <n v="10798"/>
    <s v="CUST326"/>
    <d v="2024-03-22T00:00:00"/>
    <s v="Fashion"/>
    <s v="East"/>
    <n v="10"/>
    <n v="302.05"/>
    <n v="3020.5"/>
    <x v="1"/>
    <s v="Repeat Customer"/>
  </r>
  <r>
    <n v="10799"/>
    <s v="CUST125"/>
    <d v="2024-07-08T00:00:00"/>
    <s v="Home"/>
    <s v="North"/>
    <n v="3"/>
    <n v="32.26"/>
    <n v="96.78"/>
    <x v="1"/>
    <s v="Repeat Customer"/>
  </r>
  <r>
    <n v="10800"/>
    <s v="CUST116"/>
    <d v="2025-11-14T00:00:00"/>
    <s v="Home"/>
    <s v="East"/>
    <n v="10"/>
    <n v="419.82"/>
    <n v="4198.2"/>
    <x v="0"/>
    <s v="Repeat Customer"/>
  </r>
  <r>
    <n v="10801"/>
    <s v="CUST125"/>
    <d v="2024-04-21T00:00:00"/>
    <s v="Fashion"/>
    <s v="East"/>
    <n v="7"/>
    <n v="496.9"/>
    <n v="3478.3"/>
    <x v="1"/>
    <s v="Repeat Customer"/>
  </r>
  <r>
    <n v="10802"/>
    <s v="CUST333"/>
    <d v="2025-08-15T00:00:00"/>
    <s v="Electronics"/>
    <s v="East"/>
    <n v="6"/>
    <n v="466.08"/>
    <n v="2796.48"/>
    <x v="2"/>
    <s v="Repeat Customer"/>
  </r>
  <r>
    <n v="10803"/>
    <s v="CUST288"/>
    <d v="2025-01-23T00:00:00"/>
    <s v="Sports"/>
    <s v="North"/>
    <n v="2"/>
    <n v="380.43"/>
    <n v="760.86"/>
    <x v="2"/>
    <s v="Repeat Customer"/>
  </r>
  <r>
    <n v="10804"/>
    <s v="CUST341"/>
    <d v="2024-05-17T00:00:00"/>
    <s v="Home"/>
    <s v="East"/>
    <n v="2"/>
    <n v="348.84"/>
    <n v="697.68"/>
    <x v="3"/>
    <s v="Repeat Customer"/>
  </r>
  <r>
    <n v="10805"/>
    <s v="CUST368"/>
    <d v="2024-08-02T00:00:00"/>
    <s v="Electronics"/>
    <s v="North"/>
    <n v="4"/>
    <n v="307.97000000000003"/>
    <n v="1231.8800000000001"/>
    <x v="3"/>
    <s v="Repeat Customer"/>
  </r>
  <r>
    <n v="10806"/>
    <s v="CUST247"/>
    <d v="2025-03-13T00:00:00"/>
    <s v="Home"/>
    <s v="East"/>
    <n v="10"/>
    <n v="424.66"/>
    <n v="4246.6000000000004"/>
    <x v="1"/>
    <s v="Repeat Customer"/>
  </r>
  <r>
    <n v="10807"/>
    <s v="CUST388"/>
    <d v="2025-05-23T00:00:00"/>
    <s v="Beauty"/>
    <s v="West"/>
    <n v="9"/>
    <n v="365.95"/>
    <n v="3293.55"/>
    <x v="1"/>
    <s v="Repeat Customer"/>
  </r>
  <r>
    <n v="10808"/>
    <s v="CUST219"/>
    <d v="2025-12-26T00:00:00"/>
    <s v="Electronics"/>
    <s v="North"/>
    <n v="5"/>
    <n v="489.73"/>
    <n v="2448.65"/>
    <x v="0"/>
    <s v="Repeat Customer"/>
  </r>
  <r>
    <n v="10809"/>
    <s v="CUST338"/>
    <d v="2025-10-02T00:00:00"/>
    <s v="Fashion"/>
    <s v="West"/>
    <n v="2"/>
    <n v="370.05"/>
    <n v="740.1"/>
    <x v="3"/>
    <s v="Repeat Customer"/>
  </r>
  <r>
    <n v="10810"/>
    <s v="CUST123"/>
    <d v="2024-12-07T00:00:00"/>
    <s v="Fashion"/>
    <s v="North"/>
    <n v="6"/>
    <n v="282.41000000000003"/>
    <n v="1694.46"/>
    <x v="1"/>
    <s v="Repeat Customer"/>
  </r>
  <r>
    <n v="10811"/>
    <s v="CUST244"/>
    <d v="2024-09-17T00:00:00"/>
    <s v="Sports"/>
    <s v="East"/>
    <n v="2"/>
    <n v="157.35"/>
    <n v="314.7"/>
    <x v="0"/>
    <s v="Repeat Customer"/>
  </r>
  <r>
    <n v="10812"/>
    <s v="CUST158"/>
    <d v="2025-12-03T00:00:00"/>
    <s v="Sports"/>
    <s v="North"/>
    <n v="6"/>
    <n v="173.97"/>
    <n v="1043.82"/>
    <x v="1"/>
    <s v="Repeat Customer"/>
  </r>
  <r>
    <n v="10813"/>
    <s v="CUST199"/>
    <d v="2024-12-04T00:00:00"/>
    <s v="Beauty"/>
    <s v="West"/>
    <n v="6"/>
    <n v="461.53"/>
    <n v="2769.18"/>
    <x v="0"/>
    <s v="Repeat Customer"/>
  </r>
  <r>
    <n v="10814"/>
    <s v="CUST169"/>
    <d v="2025-05-08T00:00:00"/>
    <s v="Sports"/>
    <s v="East"/>
    <n v="3"/>
    <n v="315.45999999999998"/>
    <n v="946.38"/>
    <x v="3"/>
    <s v="Repeat Customer"/>
  </r>
  <r>
    <n v="10815"/>
    <s v="CUST311"/>
    <d v="2024-02-27T00:00:00"/>
    <s v="Home"/>
    <s v="North"/>
    <n v="9"/>
    <n v="153.18"/>
    <n v="1378.62"/>
    <x v="1"/>
    <s v="Repeat Customer"/>
  </r>
  <r>
    <n v="10816"/>
    <s v="CUST395"/>
    <d v="2025-12-02T00:00:00"/>
    <s v="Home"/>
    <s v="North"/>
    <n v="6"/>
    <n v="400.77"/>
    <n v="2404.62"/>
    <x v="1"/>
    <s v="Repeat Customer"/>
  </r>
  <r>
    <n v="10817"/>
    <s v="CUST243"/>
    <d v="2024-02-01T00:00:00"/>
    <s v="Sports"/>
    <s v="South"/>
    <n v="6"/>
    <n v="491.89"/>
    <n v="2951.34"/>
    <x v="3"/>
    <s v="Repeat Customer"/>
  </r>
  <r>
    <n v="10818"/>
    <s v="CUST195"/>
    <d v="2025-09-01T00:00:00"/>
    <s v="Home"/>
    <s v="East"/>
    <n v="2"/>
    <n v="432.97"/>
    <n v="865.94"/>
    <x v="0"/>
    <s v="Repeat Customer"/>
  </r>
  <r>
    <n v="10819"/>
    <s v="CUST239"/>
    <d v="2025-02-27T00:00:00"/>
    <s v="Fashion"/>
    <s v="East"/>
    <n v="2"/>
    <n v="251.04"/>
    <n v="502.08"/>
    <x v="3"/>
    <s v="Repeat Customer"/>
  </r>
  <r>
    <n v="10820"/>
    <s v="CUST254"/>
    <d v="2024-08-09T00:00:00"/>
    <s v="Electronics"/>
    <s v="East"/>
    <n v="9"/>
    <n v="154.65"/>
    <n v="1391.85"/>
    <x v="0"/>
    <s v="Repeat Customer"/>
  </r>
  <r>
    <n v="10821"/>
    <s v="CUST203"/>
    <d v="2024-04-04T00:00:00"/>
    <s v="Beauty"/>
    <s v="South"/>
    <n v="8"/>
    <n v="255.47"/>
    <n v="2043.76"/>
    <x v="1"/>
    <s v="Repeat Customer"/>
  </r>
  <r>
    <n v="10822"/>
    <s v="CUST274"/>
    <d v="2025-05-10T00:00:00"/>
    <s v="Home"/>
    <s v="South"/>
    <n v="9"/>
    <n v="158.63"/>
    <n v="1427.67"/>
    <x v="0"/>
    <s v="Repeat Customer"/>
  </r>
  <r>
    <n v="10823"/>
    <s v="CUST364"/>
    <d v="2025-11-23T00:00:00"/>
    <s v="Electronics"/>
    <s v="West"/>
    <n v="3"/>
    <n v="106.57"/>
    <n v="319.70999999999998"/>
    <x v="3"/>
    <s v="Repeat Customer"/>
  </r>
  <r>
    <n v="10824"/>
    <s v="CUST367"/>
    <d v="2024-04-28T00:00:00"/>
    <s v="Electronics"/>
    <s v="North"/>
    <n v="1"/>
    <n v="158.94"/>
    <n v="158.94"/>
    <x v="2"/>
    <s v="Repeat Customer"/>
  </r>
  <r>
    <n v="10825"/>
    <s v="CUST339"/>
    <d v="2024-02-17T00:00:00"/>
    <s v="Home"/>
    <s v="North"/>
    <n v="2"/>
    <n v="262.69"/>
    <n v="525.38"/>
    <x v="2"/>
    <s v="Repeat Customer"/>
  </r>
  <r>
    <n v="10826"/>
    <s v="CUST207"/>
    <d v="2024-11-24T00:00:00"/>
    <s v="Home"/>
    <s v="East"/>
    <n v="4"/>
    <n v="100.31"/>
    <n v="401.24"/>
    <x v="3"/>
    <s v="Repeat Customer"/>
  </r>
  <r>
    <n v="10827"/>
    <s v="CUST160"/>
    <d v="2024-10-06T00:00:00"/>
    <s v="Electronics"/>
    <s v="North"/>
    <n v="3"/>
    <n v="82.96"/>
    <n v="248.88"/>
    <x v="0"/>
    <s v="Repeat Customer"/>
  </r>
  <r>
    <n v="10828"/>
    <s v="CUST205"/>
    <d v="2025-07-09T00:00:00"/>
    <s v="Home"/>
    <s v="South"/>
    <n v="6"/>
    <n v="276.94"/>
    <n v="1661.64"/>
    <x v="2"/>
    <s v="Repeat Customer"/>
  </r>
  <r>
    <n v="10829"/>
    <s v="CUST393"/>
    <d v="2024-09-07T00:00:00"/>
    <s v="Sports"/>
    <s v="East"/>
    <n v="3"/>
    <n v="40.270000000000003"/>
    <n v="120.81"/>
    <x v="3"/>
    <s v="Repeat Customer"/>
  </r>
  <r>
    <n v="10830"/>
    <s v="CUST125"/>
    <d v="2024-05-13T00:00:00"/>
    <s v="Electronics"/>
    <s v="North"/>
    <n v="1"/>
    <n v="238.01"/>
    <n v="238.01"/>
    <x v="3"/>
    <s v="Repeat Customer"/>
  </r>
  <r>
    <n v="10831"/>
    <s v="CUST127"/>
    <d v="2024-03-29T00:00:00"/>
    <s v="Sports"/>
    <s v="West"/>
    <n v="7"/>
    <n v="199"/>
    <n v="1393"/>
    <x v="2"/>
    <s v="Repeat Customer"/>
  </r>
  <r>
    <n v="10832"/>
    <s v="CUST259"/>
    <d v="2024-12-06T00:00:00"/>
    <s v="Sports"/>
    <s v="North"/>
    <n v="4"/>
    <n v="357.88"/>
    <n v="1431.52"/>
    <x v="3"/>
    <s v="Repeat Customer"/>
  </r>
  <r>
    <n v="10833"/>
    <s v="CUST390"/>
    <d v="2024-05-14T00:00:00"/>
    <s v="Beauty"/>
    <s v="North"/>
    <n v="2"/>
    <n v="407.36"/>
    <n v="814.72"/>
    <x v="3"/>
    <s v="Repeat Customer"/>
  </r>
  <r>
    <n v="10834"/>
    <s v="CUST258"/>
    <d v="2025-12-01T00:00:00"/>
    <s v="Fashion"/>
    <s v="South"/>
    <n v="8"/>
    <n v="237.92"/>
    <n v="1903.36"/>
    <x v="2"/>
    <s v="Repeat Customer"/>
  </r>
  <r>
    <n v="10835"/>
    <s v="CUST286"/>
    <d v="2025-02-05T00:00:00"/>
    <s v="Home"/>
    <s v="East"/>
    <n v="3"/>
    <n v="351.31"/>
    <n v="1053.93"/>
    <x v="3"/>
    <s v="Repeat Customer"/>
  </r>
  <r>
    <n v="10836"/>
    <s v="CUST349"/>
    <d v="2024-01-31T00:00:00"/>
    <s v="Home"/>
    <s v="West"/>
    <n v="2"/>
    <n v="240.29"/>
    <n v="480.58"/>
    <x v="3"/>
    <s v="Repeat Customer"/>
  </r>
  <r>
    <n v="10837"/>
    <s v="CUST187"/>
    <d v="2024-10-16T00:00:00"/>
    <s v="Fashion"/>
    <s v="North"/>
    <n v="6"/>
    <n v="304.2"/>
    <n v="1825.2"/>
    <x v="3"/>
    <s v="Repeat Customer"/>
  </r>
  <r>
    <n v="10838"/>
    <s v="CUST154"/>
    <d v="2024-11-29T00:00:00"/>
    <s v="Home"/>
    <s v="West"/>
    <n v="9"/>
    <n v="326.48"/>
    <n v="2938.32"/>
    <x v="3"/>
    <s v="Repeat Customer"/>
  </r>
  <r>
    <n v="10839"/>
    <s v="CUST311"/>
    <d v="2024-09-01T00:00:00"/>
    <s v="Fashion"/>
    <s v="West"/>
    <n v="10"/>
    <n v="125.63"/>
    <n v="1256.3"/>
    <x v="3"/>
    <s v="Repeat Customer"/>
  </r>
  <r>
    <n v="10840"/>
    <s v="CUST133"/>
    <d v="2024-12-14T00:00:00"/>
    <s v="Sports"/>
    <s v="West"/>
    <n v="4"/>
    <n v="407.89"/>
    <n v="1631.56"/>
    <x v="3"/>
    <s v="Repeat Customer"/>
  </r>
  <r>
    <n v="10841"/>
    <s v="CUST390"/>
    <d v="2024-12-16T00:00:00"/>
    <s v="Fashion"/>
    <s v="North"/>
    <n v="9"/>
    <n v="348.6"/>
    <n v="3137.4"/>
    <x v="3"/>
    <s v="Repeat Customer"/>
  </r>
  <r>
    <n v="10842"/>
    <s v="CUST158"/>
    <d v="2025-08-29T00:00:00"/>
    <s v="Sports"/>
    <s v="North"/>
    <n v="10"/>
    <n v="234.14"/>
    <n v="2341.4"/>
    <x v="3"/>
    <s v="Repeat Customer"/>
  </r>
  <r>
    <n v="10843"/>
    <s v="CUST190"/>
    <d v="2024-11-11T00:00:00"/>
    <s v="Electronics"/>
    <s v="West"/>
    <n v="7"/>
    <n v="39.46"/>
    <n v="276.22000000000003"/>
    <x v="2"/>
    <s v="Repeat Customer"/>
  </r>
  <r>
    <n v="10844"/>
    <s v="CUST353"/>
    <d v="2025-10-22T00:00:00"/>
    <s v="Fashion"/>
    <s v="North"/>
    <n v="1"/>
    <n v="49.81"/>
    <n v="49.81"/>
    <x v="1"/>
    <s v="New Customer"/>
  </r>
  <r>
    <n v="10845"/>
    <s v="CUST176"/>
    <d v="2025-04-08T00:00:00"/>
    <s v="Sports"/>
    <s v="West"/>
    <n v="9"/>
    <n v="149.29"/>
    <n v="1343.61"/>
    <x v="1"/>
    <s v="Repeat Customer"/>
  </r>
  <r>
    <n v="10846"/>
    <s v="CUST205"/>
    <d v="2025-11-28T00:00:00"/>
    <s v="Home"/>
    <s v="West"/>
    <n v="6"/>
    <n v="153.37"/>
    <n v="920.22"/>
    <x v="2"/>
    <s v="Repeat Customer"/>
  </r>
  <r>
    <n v="10847"/>
    <s v="CUST145"/>
    <d v="2025-08-19T00:00:00"/>
    <s v="Sports"/>
    <s v="West"/>
    <n v="1"/>
    <n v="307.69"/>
    <n v="307.69"/>
    <x v="1"/>
    <s v="Repeat Customer"/>
  </r>
  <r>
    <n v="10848"/>
    <s v="CUST250"/>
    <d v="2024-03-04T00:00:00"/>
    <s v="Electronics"/>
    <s v="North"/>
    <n v="6"/>
    <n v="451.03"/>
    <n v="2706.18"/>
    <x v="2"/>
    <s v="Repeat Customer"/>
  </r>
  <r>
    <n v="10849"/>
    <s v="CUST156"/>
    <d v="2024-10-15T00:00:00"/>
    <s v="Sports"/>
    <s v="West"/>
    <n v="1"/>
    <n v="121.44"/>
    <n v="121.44"/>
    <x v="2"/>
    <s v="Repeat Customer"/>
  </r>
  <r>
    <n v="10850"/>
    <s v="CUST295"/>
    <d v="2025-02-19T00:00:00"/>
    <s v="Fashion"/>
    <s v="South"/>
    <n v="7"/>
    <n v="220.42"/>
    <n v="1542.94"/>
    <x v="3"/>
    <s v="Repeat Customer"/>
  </r>
  <r>
    <n v="10851"/>
    <s v="CUST171"/>
    <d v="2024-07-11T00:00:00"/>
    <s v="Home"/>
    <s v="West"/>
    <n v="9"/>
    <n v="195.37"/>
    <n v="1758.33"/>
    <x v="1"/>
    <s v="Repeat Customer"/>
  </r>
  <r>
    <n v="10852"/>
    <s v="CUST247"/>
    <d v="2025-11-17T00:00:00"/>
    <s v="Electronics"/>
    <s v="North"/>
    <n v="3"/>
    <n v="71.47"/>
    <n v="214.41"/>
    <x v="1"/>
    <s v="Repeat Customer"/>
  </r>
  <r>
    <n v="10853"/>
    <s v="CUST349"/>
    <d v="2025-11-04T00:00:00"/>
    <s v="Fashion"/>
    <s v="North"/>
    <n v="7"/>
    <n v="487.61"/>
    <n v="3413.27"/>
    <x v="1"/>
    <s v="Repeat Customer"/>
  </r>
  <r>
    <n v="10854"/>
    <s v="CUST312"/>
    <d v="2025-04-11T00:00:00"/>
    <s v="Sports"/>
    <s v="South"/>
    <n v="10"/>
    <n v="465.5"/>
    <n v="4655"/>
    <x v="3"/>
    <s v="Repeat Customer"/>
  </r>
  <r>
    <n v="10855"/>
    <s v="CUST360"/>
    <d v="2025-03-10T00:00:00"/>
    <s v="Beauty"/>
    <s v="East"/>
    <n v="9"/>
    <n v="410.94"/>
    <n v="3698.46"/>
    <x v="1"/>
    <s v="Repeat Customer"/>
  </r>
  <r>
    <n v="10856"/>
    <s v="CUST195"/>
    <d v="2025-03-10T00:00:00"/>
    <s v="Beauty"/>
    <s v="South"/>
    <n v="10"/>
    <n v="8.68"/>
    <n v="86.8"/>
    <x v="2"/>
    <s v="Repeat Customer"/>
  </r>
  <r>
    <n v="10857"/>
    <s v="CUST310"/>
    <d v="2025-07-13T00:00:00"/>
    <s v="Electronics"/>
    <s v="West"/>
    <n v="10"/>
    <n v="186.65"/>
    <n v="1866.5"/>
    <x v="2"/>
    <s v="Repeat Customer"/>
  </r>
  <r>
    <n v="10858"/>
    <s v="CUST157"/>
    <d v="2025-08-17T00:00:00"/>
    <s v="Electronics"/>
    <s v="South"/>
    <n v="8"/>
    <n v="481.06"/>
    <n v="3848.48"/>
    <x v="2"/>
    <s v="Repeat Customer"/>
  </r>
  <r>
    <n v="10859"/>
    <s v="CUST338"/>
    <d v="2025-06-13T00:00:00"/>
    <s v="Sports"/>
    <s v="North"/>
    <n v="2"/>
    <n v="264.06"/>
    <n v="528.12"/>
    <x v="1"/>
    <s v="Repeat Customer"/>
  </r>
  <r>
    <n v="10860"/>
    <s v="CUST341"/>
    <d v="2025-10-07T00:00:00"/>
    <s v="Sports"/>
    <s v="East"/>
    <n v="2"/>
    <n v="343.62"/>
    <n v="687.24"/>
    <x v="0"/>
    <s v="Repeat Customer"/>
  </r>
  <r>
    <n v="10861"/>
    <s v="CUST275"/>
    <d v="2025-07-01T00:00:00"/>
    <s v="Sports"/>
    <s v="West"/>
    <n v="1"/>
    <n v="237.09"/>
    <n v="237.09"/>
    <x v="2"/>
    <s v="Repeat Customer"/>
  </r>
  <r>
    <n v="10862"/>
    <s v="CUST315"/>
    <d v="2024-12-27T00:00:00"/>
    <s v="Electronics"/>
    <s v="East"/>
    <n v="5"/>
    <n v="148.16"/>
    <n v="740.8"/>
    <x v="2"/>
    <s v="Repeat Customer"/>
  </r>
  <r>
    <n v="10863"/>
    <s v="CUST131"/>
    <d v="2025-10-06T00:00:00"/>
    <s v="Sports"/>
    <s v="North"/>
    <n v="8"/>
    <n v="291.18"/>
    <n v="2329.44"/>
    <x v="2"/>
    <s v="Repeat Customer"/>
  </r>
  <r>
    <n v="10864"/>
    <s v="CUST113"/>
    <d v="2024-10-20T00:00:00"/>
    <s v="Sports"/>
    <s v="North"/>
    <n v="8"/>
    <n v="45.84"/>
    <n v="366.72"/>
    <x v="2"/>
    <s v="Repeat Customer"/>
  </r>
  <r>
    <n v="10865"/>
    <s v="CUST229"/>
    <d v="2024-05-15T00:00:00"/>
    <s v="Home"/>
    <s v="North"/>
    <n v="10"/>
    <n v="144.08000000000001"/>
    <n v="1440.8"/>
    <x v="0"/>
    <s v="Repeat Customer"/>
  </r>
  <r>
    <n v="10866"/>
    <s v="CUST189"/>
    <d v="2025-08-28T00:00:00"/>
    <s v="Home"/>
    <s v="South"/>
    <n v="3"/>
    <n v="331.28"/>
    <n v="993.84"/>
    <x v="2"/>
    <s v="Repeat Customer"/>
  </r>
  <r>
    <n v="10867"/>
    <s v="CUST220"/>
    <d v="2025-05-11T00:00:00"/>
    <s v="Electronics"/>
    <s v="East"/>
    <n v="3"/>
    <n v="400.69"/>
    <n v="1202.07"/>
    <x v="0"/>
    <s v="Repeat Customer"/>
  </r>
  <r>
    <n v="10868"/>
    <s v="CUST174"/>
    <d v="2025-09-01T00:00:00"/>
    <s v="Beauty"/>
    <s v="West"/>
    <n v="3"/>
    <n v="419.62"/>
    <n v="1258.8599999999999"/>
    <x v="1"/>
    <s v="Repeat Customer"/>
  </r>
  <r>
    <n v="10869"/>
    <s v="CUST325"/>
    <d v="2025-10-14T00:00:00"/>
    <s v="Home"/>
    <s v="North"/>
    <n v="3"/>
    <n v="109.37"/>
    <n v="328.11"/>
    <x v="2"/>
    <s v="Repeat Customer"/>
  </r>
  <r>
    <n v="10870"/>
    <s v="CUST159"/>
    <d v="2024-02-23T00:00:00"/>
    <s v="Beauty"/>
    <s v="East"/>
    <n v="3"/>
    <n v="234.69"/>
    <n v="704.07"/>
    <x v="3"/>
    <s v="Repeat Customer"/>
  </r>
  <r>
    <n v="10871"/>
    <s v="CUST372"/>
    <d v="2024-08-27T00:00:00"/>
    <s v="Beauty"/>
    <s v="West"/>
    <n v="7"/>
    <n v="343.34"/>
    <n v="2403.38"/>
    <x v="2"/>
    <s v="Repeat Customer"/>
  </r>
  <r>
    <n v="10872"/>
    <s v="CUST174"/>
    <d v="2025-06-27T00:00:00"/>
    <s v="Beauty"/>
    <s v="West"/>
    <n v="7"/>
    <n v="10.87"/>
    <n v="76.09"/>
    <x v="2"/>
    <s v="Repeat Customer"/>
  </r>
  <r>
    <n v="10873"/>
    <s v="CUST371"/>
    <d v="2025-11-30T00:00:00"/>
    <s v="Sports"/>
    <s v="East"/>
    <n v="1"/>
    <n v="53.2"/>
    <n v="53.2"/>
    <x v="3"/>
    <s v="Repeat Customer"/>
  </r>
  <r>
    <n v="10874"/>
    <s v="CUST239"/>
    <d v="2024-12-09T00:00:00"/>
    <s v="Electronics"/>
    <s v="East"/>
    <n v="5"/>
    <n v="137.21"/>
    <n v="686.05"/>
    <x v="3"/>
    <s v="Repeat Customer"/>
  </r>
  <r>
    <n v="10875"/>
    <s v="CUST336"/>
    <d v="2025-11-22T00:00:00"/>
    <s v="Sports"/>
    <s v="South"/>
    <n v="4"/>
    <n v="368.49"/>
    <n v="1473.96"/>
    <x v="2"/>
    <s v="Repeat Customer"/>
  </r>
  <r>
    <n v="10876"/>
    <s v="CUST192"/>
    <d v="2024-11-16T00:00:00"/>
    <s v="Electronics"/>
    <s v="North"/>
    <n v="9"/>
    <n v="10.24"/>
    <n v="92.16"/>
    <x v="0"/>
    <s v="Repeat Customer"/>
  </r>
  <r>
    <n v="10877"/>
    <s v="CUST310"/>
    <d v="2024-04-10T00:00:00"/>
    <s v="Beauty"/>
    <s v="East"/>
    <n v="9"/>
    <n v="56.43"/>
    <n v="507.87"/>
    <x v="1"/>
    <s v="Repeat Customer"/>
  </r>
  <r>
    <n v="10878"/>
    <s v="CUST245"/>
    <d v="2024-09-14T00:00:00"/>
    <s v="Sports"/>
    <s v="North"/>
    <n v="4"/>
    <n v="21.85"/>
    <n v="87.4"/>
    <x v="0"/>
    <s v="Repeat Customer"/>
  </r>
  <r>
    <n v="10879"/>
    <s v="CUST211"/>
    <d v="2025-09-05T00:00:00"/>
    <s v="Electronics"/>
    <s v="North"/>
    <n v="2"/>
    <n v="355.5"/>
    <n v="711"/>
    <x v="1"/>
    <s v="Repeat Customer"/>
  </r>
  <r>
    <n v="10880"/>
    <s v="CUST292"/>
    <d v="2025-11-03T00:00:00"/>
    <s v="Fashion"/>
    <s v="North"/>
    <n v="10"/>
    <n v="402.58"/>
    <n v="4025.8"/>
    <x v="1"/>
    <s v="Repeat Customer"/>
  </r>
  <r>
    <n v="10881"/>
    <s v="CUST229"/>
    <d v="2024-10-28T00:00:00"/>
    <s v="Electronics"/>
    <s v="West"/>
    <n v="8"/>
    <n v="331.94"/>
    <n v="2655.52"/>
    <x v="2"/>
    <s v="Repeat Customer"/>
  </r>
  <r>
    <n v="10882"/>
    <s v="CUST318"/>
    <d v="2025-12-09T00:00:00"/>
    <s v="Electronics"/>
    <s v="East"/>
    <n v="6"/>
    <n v="132.38"/>
    <n v="794.28"/>
    <x v="0"/>
    <s v="Repeat Customer"/>
  </r>
  <r>
    <n v="10883"/>
    <s v="CUST295"/>
    <d v="2025-02-01T00:00:00"/>
    <s v="Home"/>
    <s v="East"/>
    <n v="6"/>
    <n v="498"/>
    <n v="2988"/>
    <x v="1"/>
    <s v="Repeat Customer"/>
  </r>
  <r>
    <n v="10884"/>
    <s v="CUST325"/>
    <d v="2024-03-12T00:00:00"/>
    <s v="Fashion"/>
    <s v="West"/>
    <n v="8"/>
    <n v="489.81"/>
    <n v="3918.48"/>
    <x v="1"/>
    <s v="Repeat Customer"/>
  </r>
  <r>
    <n v="10885"/>
    <s v="CUST351"/>
    <d v="2024-04-21T00:00:00"/>
    <s v="Beauty"/>
    <s v="South"/>
    <n v="3"/>
    <n v="272.61"/>
    <n v="817.83"/>
    <x v="0"/>
    <s v="Repeat Customer"/>
  </r>
  <r>
    <n v="10886"/>
    <s v="CUST326"/>
    <d v="2024-09-22T00:00:00"/>
    <s v="Electronics"/>
    <s v="East"/>
    <n v="2"/>
    <n v="22.26"/>
    <n v="44.52"/>
    <x v="3"/>
    <s v="Repeat Customer"/>
  </r>
  <r>
    <n v="10887"/>
    <s v="CUST109"/>
    <d v="2025-05-24T00:00:00"/>
    <s v="Electronics"/>
    <s v="North"/>
    <n v="3"/>
    <n v="328.17"/>
    <n v="984.51"/>
    <x v="3"/>
    <s v="Repeat Customer"/>
  </r>
  <r>
    <n v="10888"/>
    <s v="CUST236"/>
    <d v="2024-06-04T00:00:00"/>
    <s v="Sports"/>
    <s v="North"/>
    <n v="6"/>
    <n v="452.79"/>
    <n v="2716.74"/>
    <x v="3"/>
    <s v="Repeat Customer"/>
  </r>
  <r>
    <n v="10889"/>
    <s v="CUST344"/>
    <d v="2025-03-22T00:00:00"/>
    <s v="Electronics"/>
    <s v="South"/>
    <n v="7"/>
    <n v="422.8"/>
    <n v="2959.6"/>
    <x v="0"/>
    <s v="Repeat Customer"/>
  </r>
  <r>
    <n v="10890"/>
    <s v="CUST296"/>
    <d v="2025-12-06T00:00:00"/>
    <s v="Sports"/>
    <s v="East"/>
    <n v="8"/>
    <n v="65"/>
    <n v="520"/>
    <x v="2"/>
    <s v="Repeat Customer"/>
  </r>
  <r>
    <n v="10891"/>
    <s v="CUST255"/>
    <d v="2025-02-14T00:00:00"/>
    <s v="Electronics"/>
    <s v="East"/>
    <n v="1"/>
    <n v="317.97000000000003"/>
    <n v="317.97000000000003"/>
    <x v="2"/>
    <s v="Repeat Customer"/>
  </r>
  <r>
    <n v="10892"/>
    <s v="CUST141"/>
    <d v="2025-04-15T00:00:00"/>
    <s v="Fashion"/>
    <s v="North"/>
    <n v="5"/>
    <n v="325.66000000000003"/>
    <n v="1628.3"/>
    <x v="3"/>
    <s v="Repeat Customer"/>
  </r>
  <r>
    <n v="10893"/>
    <s v="CUST197"/>
    <d v="2024-11-02T00:00:00"/>
    <s v="Home"/>
    <s v="West"/>
    <n v="7"/>
    <n v="448.75"/>
    <n v="3141.25"/>
    <x v="0"/>
    <s v="Repeat Customer"/>
  </r>
  <r>
    <n v="10894"/>
    <s v="CUST324"/>
    <d v="2024-07-13T00:00:00"/>
    <s v="Electronics"/>
    <s v="South"/>
    <n v="3"/>
    <n v="22.67"/>
    <n v="68.010000000000005"/>
    <x v="3"/>
    <s v="Repeat Customer"/>
  </r>
  <r>
    <n v="10895"/>
    <s v="CUST299"/>
    <d v="2024-03-05T00:00:00"/>
    <s v="Beauty"/>
    <s v="West"/>
    <n v="9"/>
    <n v="323.49"/>
    <n v="2911.41"/>
    <x v="0"/>
    <s v="Repeat Customer"/>
  </r>
  <r>
    <n v="10896"/>
    <s v="CUST118"/>
    <d v="2024-12-13T00:00:00"/>
    <s v="Electronics"/>
    <s v="West"/>
    <n v="1"/>
    <n v="172.17"/>
    <n v="172.17"/>
    <x v="0"/>
    <s v="Repeat Customer"/>
  </r>
  <r>
    <n v="10897"/>
    <s v="CUST208"/>
    <d v="2025-10-31T00:00:00"/>
    <s v="Sports"/>
    <s v="South"/>
    <n v="9"/>
    <n v="231.89"/>
    <n v="2087.0100000000002"/>
    <x v="1"/>
    <s v="Repeat Customer"/>
  </r>
  <r>
    <n v="10898"/>
    <s v="CUST136"/>
    <d v="2024-02-07T00:00:00"/>
    <s v="Electronics"/>
    <s v="West"/>
    <n v="3"/>
    <n v="247"/>
    <n v="741"/>
    <x v="0"/>
    <s v="Repeat Customer"/>
  </r>
  <r>
    <n v="10899"/>
    <s v="CUST224"/>
    <d v="2025-12-19T00:00:00"/>
    <s v="Electronics"/>
    <s v="East"/>
    <n v="3"/>
    <n v="12.11"/>
    <n v="36.33"/>
    <x v="0"/>
    <s v="Repeat Customer"/>
  </r>
  <r>
    <n v="10900"/>
    <s v="CUST333"/>
    <d v="2025-09-17T00:00:00"/>
    <s v="Electronics"/>
    <s v="North"/>
    <n v="3"/>
    <n v="418.5"/>
    <n v="1255.5"/>
    <x v="0"/>
    <s v="Repeat Customer"/>
  </r>
  <r>
    <n v="10901"/>
    <s v="CUST354"/>
    <d v="2025-09-01T00:00:00"/>
    <s v="Fashion"/>
    <s v="West"/>
    <n v="10"/>
    <n v="114.18"/>
    <n v="1141.8"/>
    <x v="2"/>
    <s v="Repeat Customer"/>
  </r>
  <r>
    <n v="10902"/>
    <s v="CUST305"/>
    <d v="2024-11-28T00:00:00"/>
    <s v="Sports"/>
    <s v="South"/>
    <n v="2"/>
    <n v="488.05"/>
    <n v="976.1"/>
    <x v="2"/>
    <s v="Repeat Customer"/>
  </r>
  <r>
    <n v="10903"/>
    <s v="CUST209"/>
    <d v="2024-02-16T00:00:00"/>
    <s v="Electronics"/>
    <s v="North"/>
    <n v="10"/>
    <n v="90.86"/>
    <n v="908.6"/>
    <x v="2"/>
    <s v="Repeat Customer"/>
  </r>
  <r>
    <n v="10904"/>
    <s v="CUST172"/>
    <d v="2025-03-01T00:00:00"/>
    <s v="Sports"/>
    <s v="South"/>
    <n v="3"/>
    <n v="349.67"/>
    <n v="1049.01"/>
    <x v="3"/>
    <s v="Repeat Customer"/>
  </r>
  <r>
    <n v="10905"/>
    <s v="CUST224"/>
    <d v="2025-08-18T00:00:00"/>
    <s v="Sports"/>
    <s v="West"/>
    <n v="1"/>
    <n v="71.02"/>
    <n v="71.02"/>
    <x v="1"/>
    <s v="Repeat Customer"/>
  </r>
  <r>
    <n v="10906"/>
    <s v="CUST108"/>
    <d v="2025-05-13T00:00:00"/>
    <s v="Fashion"/>
    <s v="North"/>
    <n v="2"/>
    <n v="8.14"/>
    <n v="16.28"/>
    <x v="2"/>
    <s v="Repeat Customer"/>
  </r>
  <r>
    <n v="10907"/>
    <s v="CUST313"/>
    <d v="2025-12-11T00:00:00"/>
    <s v="Fashion"/>
    <s v="South"/>
    <n v="8"/>
    <n v="347.72"/>
    <n v="2781.76"/>
    <x v="2"/>
    <s v="Repeat Customer"/>
  </r>
  <r>
    <n v="10908"/>
    <s v="CUST367"/>
    <d v="2025-04-06T00:00:00"/>
    <s v="Fashion"/>
    <s v="North"/>
    <n v="7"/>
    <n v="123.43"/>
    <n v="864.01"/>
    <x v="1"/>
    <s v="Repeat Customer"/>
  </r>
  <r>
    <n v="10909"/>
    <s v="CUST355"/>
    <d v="2025-09-18T00:00:00"/>
    <s v="Home"/>
    <s v="East"/>
    <n v="2"/>
    <n v="315.45999999999998"/>
    <n v="630.91999999999996"/>
    <x v="3"/>
    <s v="Repeat Customer"/>
  </r>
  <r>
    <n v="10910"/>
    <s v="CUST102"/>
    <d v="2025-07-25T00:00:00"/>
    <s v="Sports"/>
    <s v="North"/>
    <n v="4"/>
    <n v="99.99"/>
    <n v="399.96"/>
    <x v="2"/>
    <s v="Repeat Customer"/>
  </r>
  <r>
    <n v="10911"/>
    <s v="CUST376"/>
    <d v="2025-06-03T00:00:00"/>
    <s v="Fashion"/>
    <s v="East"/>
    <n v="4"/>
    <n v="234.79"/>
    <n v="939.16"/>
    <x v="0"/>
    <s v="Repeat Customer"/>
  </r>
  <r>
    <n v="10912"/>
    <s v="CUST199"/>
    <d v="2024-04-25T00:00:00"/>
    <s v="Beauty"/>
    <s v="West"/>
    <n v="3"/>
    <n v="344.2"/>
    <n v="1032.5999999999999"/>
    <x v="1"/>
    <s v="Repeat Customer"/>
  </r>
  <r>
    <n v="10913"/>
    <s v="CUST181"/>
    <d v="2025-11-17T00:00:00"/>
    <s v="Home"/>
    <s v="East"/>
    <n v="1"/>
    <n v="31.74"/>
    <n v="31.74"/>
    <x v="1"/>
    <s v="Repeat Customer"/>
  </r>
  <r>
    <n v="10914"/>
    <s v="CUST322"/>
    <d v="2024-09-14T00:00:00"/>
    <s v="Beauty"/>
    <s v="North"/>
    <n v="6"/>
    <n v="310.33"/>
    <n v="1861.98"/>
    <x v="0"/>
    <s v="Repeat Customer"/>
  </r>
  <r>
    <n v="10915"/>
    <s v="CUST126"/>
    <d v="2025-07-04T00:00:00"/>
    <s v="Electronics"/>
    <s v="West"/>
    <n v="3"/>
    <n v="83.23"/>
    <n v="249.69"/>
    <x v="0"/>
    <s v="Repeat Customer"/>
  </r>
  <r>
    <n v="10916"/>
    <s v="CUST136"/>
    <d v="2024-08-28T00:00:00"/>
    <s v="Home"/>
    <s v="West"/>
    <n v="8"/>
    <n v="298.39"/>
    <n v="2387.12"/>
    <x v="1"/>
    <s v="Repeat Customer"/>
  </r>
  <r>
    <n v="10917"/>
    <s v="CUST266"/>
    <d v="2024-08-23T00:00:00"/>
    <s v="Electronics"/>
    <s v="South"/>
    <n v="2"/>
    <n v="166.44"/>
    <n v="332.88"/>
    <x v="3"/>
    <s v="Repeat Customer"/>
  </r>
  <r>
    <n v="10918"/>
    <s v="CUST202"/>
    <d v="2025-01-19T00:00:00"/>
    <s v="Sports"/>
    <s v="West"/>
    <n v="4"/>
    <n v="41.4"/>
    <n v="165.6"/>
    <x v="0"/>
    <s v="Repeat Customer"/>
  </r>
  <r>
    <n v="10919"/>
    <s v="CUST323"/>
    <d v="2024-05-28T00:00:00"/>
    <s v="Beauty"/>
    <s v="South"/>
    <n v="4"/>
    <n v="464.3"/>
    <n v="1857.2"/>
    <x v="3"/>
    <s v="Repeat Customer"/>
  </r>
  <r>
    <n v="10920"/>
    <s v="CUST291"/>
    <d v="2024-05-19T00:00:00"/>
    <s v="Home"/>
    <s v="East"/>
    <n v="8"/>
    <n v="361.31"/>
    <n v="2890.48"/>
    <x v="1"/>
    <s v="Repeat Customer"/>
  </r>
  <r>
    <n v="10921"/>
    <s v="CUST271"/>
    <d v="2024-05-10T00:00:00"/>
    <s v="Electronics"/>
    <s v="East"/>
    <n v="1"/>
    <n v="347.64"/>
    <n v="347.64"/>
    <x v="1"/>
    <s v="Repeat Customer"/>
  </r>
  <r>
    <n v="10922"/>
    <s v="CUST156"/>
    <d v="2025-04-21T00:00:00"/>
    <s v="Home"/>
    <s v="South"/>
    <n v="8"/>
    <n v="212.02"/>
    <n v="1696.16"/>
    <x v="2"/>
    <s v="Repeat Customer"/>
  </r>
  <r>
    <n v="10923"/>
    <s v="CUST180"/>
    <d v="2025-10-15T00:00:00"/>
    <s v="Sports"/>
    <s v="South"/>
    <n v="10"/>
    <n v="453.26"/>
    <n v="4532.6000000000004"/>
    <x v="0"/>
    <s v="Repeat Customer"/>
  </r>
  <r>
    <n v="10924"/>
    <s v="CUST310"/>
    <d v="2025-06-18T00:00:00"/>
    <s v="Fashion"/>
    <s v="West"/>
    <n v="8"/>
    <n v="431.79"/>
    <n v="3454.32"/>
    <x v="3"/>
    <s v="Repeat Customer"/>
  </r>
  <r>
    <n v="10925"/>
    <s v="CUST242"/>
    <d v="2024-01-15T00:00:00"/>
    <s v="Fashion"/>
    <s v="South"/>
    <n v="7"/>
    <n v="369.41"/>
    <n v="2585.87"/>
    <x v="2"/>
    <s v="Repeat Customer"/>
  </r>
  <r>
    <n v="10926"/>
    <s v="CUST322"/>
    <d v="2025-08-16T00:00:00"/>
    <s v="Sports"/>
    <s v="South"/>
    <n v="4"/>
    <n v="446.45"/>
    <n v="1785.8"/>
    <x v="0"/>
    <s v="Repeat Customer"/>
  </r>
  <r>
    <n v="10927"/>
    <s v="CUST313"/>
    <d v="2024-02-15T00:00:00"/>
    <s v="Sports"/>
    <s v="North"/>
    <n v="1"/>
    <n v="495.68"/>
    <n v="495.68"/>
    <x v="3"/>
    <s v="Repeat Customer"/>
  </r>
  <r>
    <n v="10928"/>
    <s v="CUST371"/>
    <d v="2025-02-07T00:00:00"/>
    <s v="Electronics"/>
    <s v="West"/>
    <n v="8"/>
    <n v="405.81"/>
    <n v="3246.48"/>
    <x v="3"/>
    <s v="Repeat Customer"/>
  </r>
  <r>
    <n v="10929"/>
    <s v="CUST223"/>
    <d v="2024-03-26T00:00:00"/>
    <s v="Beauty"/>
    <s v="South"/>
    <n v="9"/>
    <n v="377.77"/>
    <n v="3399.93"/>
    <x v="1"/>
    <s v="Repeat Customer"/>
  </r>
  <r>
    <n v="10930"/>
    <s v="CUST283"/>
    <d v="2024-10-29T00:00:00"/>
    <s v="Electronics"/>
    <s v="North"/>
    <n v="4"/>
    <n v="325.58"/>
    <n v="1302.32"/>
    <x v="3"/>
    <s v="Repeat Customer"/>
  </r>
  <r>
    <n v="10931"/>
    <s v="CUST256"/>
    <d v="2024-06-14T00:00:00"/>
    <s v="Sports"/>
    <s v="North"/>
    <n v="8"/>
    <n v="429.67"/>
    <n v="3437.36"/>
    <x v="3"/>
    <s v="Repeat Customer"/>
  </r>
  <r>
    <n v="10932"/>
    <s v="CUST337"/>
    <d v="2024-05-21T00:00:00"/>
    <s v="Home"/>
    <s v="West"/>
    <n v="7"/>
    <n v="96.55"/>
    <n v="675.85"/>
    <x v="0"/>
    <s v="Repeat Customer"/>
  </r>
  <r>
    <n v="10933"/>
    <s v="CUST136"/>
    <d v="2025-01-29T00:00:00"/>
    <s v="Home"/>
    <s v="West"/>
    <n v="6"/>
    <n v="267.81"/>
    <n v="1606.86"/>
    <x v="2"/>
    <s v="Repeat Customer"/>
  </r>
  <r>
    <n v="10934"/>
    <s v="CUST377"/>
    <d v="2025-08-12T00:00:00"/>
    <s v="Electronics"/>
    <s v="East"/>
    <n v="4"/>
    <n v="394.91"/>
    <n v="1579.64"/>
    <x v="0"/>
    <s v="Repeat Customer"/>
  </r>
  <r>
    <n v="10935"/>
    <s v="CUST363"/>
    <d v="2025-11-21T00:00:00"/>
    <s v="Electronics"/>
    <s v="West"/>
    <n v="6"/>
    <n v="444.55"/>
    <n v="2667.3"/>
    <x v="2"/>
    <s v="Repeat Customer"/>
  </r>
  <r>
    <n v="10936"/>
    <s v="CUST338"/>
    <d v="2025-09-25T00:00:00"/>
    <s v="Fashion"/>
    <s v="North"/>
    <n v="1"/>
    <n v="185.96"/>
    <n v="185.96"/>
    <x v="1"/>
    <s v="Repeat Customer"/>
  </r>
  <r>
    <n v="10937"/>
    <s v="CUST170"/>
    <d v="2024-12-08T00:00:00"/>
    <s v="Beauty"/>
    <s v="South"/>
    <n v="4"/>
    <n v="272.12"/>
    <n v="1088.48"/>
    <x v="1"/>
    <s v="Repeat Customer"/>
  </r>
  <r>
    <n v="10938"/>
    <s v="CUST264"/>
    <d v="2024-12-27T00:00:00"/>
    <s v="Beauty"/>
    <s v="East"/>
    <n v="5"/>
    <n v="254.27"/>
    <n v="1271.3499999999999"/>
    <x v="0"/>
    <s v="Repeat Customer"/>
  </r>
  <r>
    <n v="10939"/>
    <s v="CUST132"/>
    <d v="2025-01-16T00:00:00"/>
    <s v="Sports"/>
    <s v="North"/>
    <n v="6"/>
    <n v="228.94"/>
    <n v="1373.64"/>
    <x v="3"/>
    <s v="Repeat Customer"/>
  </r>
  <r>
    <n v="10940"/>
    <s v="CUST372"/>
    <d v="2025-11-25T00:00:00"/>
    <s v="Beauty"/>
    <s v="East"/>
    <n v="9"/>
    <n v="450.23"/>
    <n v="4052.07"/>
    <x v="0"/>
    <s v="Repeat Customer"/>
  </r>
  <r>
    <n v="10941"/>
    <s v="CUST196"/>
    <d v="2025-04-13T00:00:00"/>
    <s v="Fashion"/>
    <s v="East"/>
    <n v="2"/>
    <n v="44.68"/>
    <n v="89.36"/>
    <x v="0"/>
    <s v="Repeat Customer"/>
  </r>
  <r>
    <n v="10942"/>
    <s v="CUST155"/>
    <d v="2024-06-17T00:00:00"/>
    <s v="Fashion"/>
    <s v="West"/>
    <n v="5"/>
    <n v="60.45"/>
    <n v="302.25"/>
    <x v="1"/>
    <s v="Repeat Customer"/>
  </r>
  <r>
    <n v="10943"/>
    <s v="CUST204"/>
    <d v="2025-06-17T00:00:00"/>
    <s v="Sports"/>
    <s v="South"/>
    <n v="1"/>
    <n v="150.12"/>
    <n v="150.12"/>
    <x v="3"/>
    <s v="Repeat Customer"/>
  </r>
  <r>
    <n v="10944"/>
    <s v="CUST277"/>
    <d v="2025-03-06T00:00:00"/>
    <s v="Electronics"/>
    <s v="East"/>
    <n v="8"/>
    <n v="370.17"/>
    <n v="2961.36"/>
    <x v="1"/>
    <s v="Repeat Customer"/>
  </r>
  <r>
    <n v="10945"/>
    <s v="CUST132"/>
    <d v="2024-01-23T00:00:00"/>
    <s v="Sports"/>
    <s v="East"/>
    <n v="4"/>
    <n v="418.3"/>
    <n v="1673.2"/>
    <x v="3"/>
    <s v="Repeat Customer"/>
  </r>
  <r>
    <n v="10946"/>
    <s v="CUST396"/>
    <d v="2024-12-17T00:00:00"/>
    <s v="Sports"/>
    <s v="West"/>
    <n v="6"/>
    <n v="245.64"/>
    <n v="1473.84"/>
    <x v="3"/>
    <s v="Repeat Customer"/>
  </r>
  <r>
    <n v="10947"/>
    <s v="CUST255"/>
    <d v="2025-08-03T00:00:00"/>
    <s v="Home"/>
    <s v="South"/>
    <n v="3"/>
    <n v="449.65"/>
    <n v="1348.95"/>
    <x v="2"/>
    <s v="Repeat Customer"/>
  </r>
  <r>
    <n v="10948"/>
    <s v="CUST216"/>
    <d v="2025-05-10T00:00:00"/>
    <s v="Electronics"/>
    <s v="South"/>
    <n v="6"/>
    <n v="485.51"/>
    <n v="2913.06"/>
    <x v="2"/>
    <s v="Repeat Customer"/>
  </r>
  <r>
    <n v="10949"/>
    <s v="CUST245"/>
    <d v="2025-04-11T00:00:00"/>
    <s v="Fashion"/>
    <s v="East"/>
    <n v="3"/>
    <n v="311.22000000000003"/>
    <n v="933.66"/>
    <x v="1"/>
    <s v="Repeat Customer"/>
  </r>
  <r>
    <n v="10950"/>
    <s v="CUST189"/>
    <d v="2025-12-26T00:00:00"/>
    <s v="Electronics"/>
    <s v="North"/>
    <n v="3"/>
    <n v="84.82"/>
    <n v="254.46"/>
    <x v="2"/>
    <s v="Repeat Customer"/>
  </r>
  <r>
    <n v="10951"/>
    <s v="CUST394"/>
    <d v="2024-05-09T00:00:00"/>
    <s v="Fashion"/>
    <s v="South"/>
    <n v="8"/>
    <n v="133.9"/>
    <n v="1071.2"/>
    <x v="0"/>
    <s v="Repeat Customer"/>
  </r>
  <r>
    <n v="10952"/>
    <s v="CUST262"/>
    <d v="2024-12-18T00:00:00"/>
    <s v="Sports"/>
    <s v="South"/>
    <n v="3"/>
    <n v="189.59"/>
    <n v="568.77"/>
    <x v="2"/>
    <s v="Repeat Customer"/>
  </r>
  <r>
    <n v="10953"/>
    <s v="CUST162"/>
    <d v="2024-01-26T00:00:00"/>
    <s v="Fashion"/>
    <s v="West"/>
    <n v="7"/>
    <n v="465.88"/>
    <n v="3261.16"/>
    <x v="2"/>
    <s v="Repeat Customer"/>
  </r>
  <r>
    <n v="10954"/>
    <s v="CUST179"/>
    <d v="2024-01-05T00:00:00"/>
    <s v="Home"/>
    <s v="East"/>
    <n v="9"/>
    <n v="487.92"/>
    <n v="4391.28"/>
    <x v="3"/>
    <s v="Repeat Customer"/>
  </r>
  <r>
    <n v="10955"/>
    <s v="CUST248"/>
    <d v="2025-08-10T00:00:00"/>
    <s v="Beauty"/>
    <s v="East"/>
    <n v="3"/>
    <n v="400.79"/>
    <n v="1202.3699999999999"/>
    <x v="0"/>
    <s v="Repeat Customer"/>
  </r>
  <r>
    <n v="10956"/>
    <s v="CUST345"/>
    <d v="2024-02-11T00:00:00"/>
    <s v="Electronics"/>
    <s v="East"/>
    <n v="3"/>
    <n v="340.61"/>
    <n v="1021.83"/>
    <x v="0"/>
    <s v="Repeat Customer"/>
  </r>
  <r>
    <n v="10957"/>
    <s v="CUST305"/>
    <d v="2025-09-24T00:00:00"/>
    <s v="Electronics"/>
    <s v="East"/>
    <n v="4"/>
    <n v="225.76"/>
    <n v="903.04"/>
    <x v="0"/>
    <s v="Repeat Customer"/>
  </r>
  <r>
    <n v="10958"/>
    <s v="CUST199"/>
    <d v="2025-08-20T00:00:00"/>
    <s v="Home"/>
    <s v="South"/>
    <n v="9"/>
    <n v="114.96"/>
    <n v="1034.6400000000001"/>
    <x v="0"/>
    <s v="Repeat Customer"/>
  </r>
  <r>
    <n v="10959"/>
    <s v="CUST142"/>
    <d v="2025-07-05T00:00:00"/>
    <s v="Electronics"/>
    <s v="West"/>
    <n v="8"/>
    <n v="340.15"/>
    <n v="2721.2"/>
    <x v="1"/>
    <s v="Repeat Customer"/>
  </r>
  <r>
    <n v="10960"/>
    <s v="CUST351"/>
    <d v="2024-11-21T00:00:00"/>
    <s v="Electronics"/>
    <s v="East"/>
    <n v="10"/>
    <n v="304.51"/>
    <n v="3045.1"/>
    <x v="3"/>
    <s v="Repeat Customer"/>
  </r>
  <r>
    <n v="10961"/>
    <s v="CUST175"/>
    <d v="2025-03-13T00:00:00"/>
    <s v="Electronics"/>
    <s v="East"/>
    <n v="6"/>
    <n v="196.13"/>
    <n v="1176.78"/>
    <x v="2"/>
    <s v="Repeat Customer"/>
  </r>
  <r>
    <n v="10962"/>
    <s v="CUST279"/>
    <d v="2024-11-11T00:00:00"/>
    <s v="Electronics"/>
    <s v="South"/>
    <n v="8"/>
    <n v="437.78"/>
    <n v="3502.24"/>
    <x v="3"/>
    <s v="Repeat Customer"/>
  </r>
  <r>
    <n v="10963"/>
    <s v="CUST312"/>
    <d v="2025-03-29T00:00:00"/>
    <s v="Beauty"/>
    <s v="West"/>
    <n v="5"/>
    <n v="86.08"/>
    <n v="430.4"/>
    <x v="1"/>
    <s v="Repeat Customer"/>
  </r>
  <r>
    <n v="10964"/>
    <s v="CUST144"/>
    <d v="2024-05-27T00:00:00"/>
    <s v="Sports"/>
    <s v="East"/>
    <n v="4"/>
    <n v="155.1"/>
    <n v="620.4"/>
    <x v="0"/>
    <s v="Repeat Customer"/>
  </r>
  <r>
    <n v="10965"/>
    <s v="CUST292"/>
    <d v="2024-03-31T00:00:00"/>
    <s v="Home"/>
    <s v="West"/>
    <n v="1"/>
    <n v="207.68"/>
    <n v="207.68"/>
    <x v="1"/>
    <s v="Repeat Customer"/>
  </r>
  <r>
    <n v="10966"/>
    <s v="CUST384"/>
    <d v="2025-04-18T00:00:00"/>
    <s v="Fashion"/>
    <s v="South"/>
    <n v="10"/>
    <n v="378.85"/>
    <n v="3788.5"/>
    <x v="1"/>
    <s v="Repeat Customer"/>
  </r>
  <r>
    <n v="10967"/>
    <s v="CUST295"/>
    <d v="2024-10-23T00:00:00"/>
    <s v="Home"/>
    <s v="East"/>
    <n v="9"/>
    <n v="247.84"/>
    <n v="2230.56"/>
    <x v="3"/>
    <s v="Repeat Customer"/>
  </r>
  <r>
    <n v="10968"/>
    <s v="CUST386"/>
    <d v="2025-04-19T00:00:00"/>
    <s v="Electronics"/>
    <s v="South"/>
    <n v="4"/>
    <n v="18.29"/>
    <n v="73.16"/>
    <x v="2"/>
    <s v="Repeat Customer"/>
  </r>
  <r>
    <n v="10969"/>
    <s v="CUST253"/>
    <d v="2025-10-17T00:00:00"/>
    <s v="Home"/>
    <s v="West"/>
    <n v="8"/>
    <n v="66.47"/>
    <n v="531.76"/>
    <x v="1"/>
    <s v="Repeat Customer"/>
  </r>
  <r>
    <n v="10970"/>
    <s v="CUST351"/>
    <d v="2025-12-05T00:00:00"/>
    <s v="Home"/>
    <s v="West"/>
    <n v="4"/>
    <n v="19.079999999999998"/>
    <n v="76.319999999999993"/>
    <x v="0"/>
    <s v="Repeat Customer"/>
  </r>
  <r>
    <n v="10971"/>
    <s v="CUST285"/>
    <d v="2025-08-18T00:00:00"/>
    <s v="Home"/>
    <s v="West"/>
    <n v="8"/>
    <n v="284.95999999999998"/>
    <n v="2279.6799999999998"/>
    <x v="0"/>
    <s v="Repeat Customer"/>
  </r>
  <r>
    <n v="10972"/>
    <s v="CUST291"/>
    <d v="2025-06-08T00:00:00"/>
    <s v="Home"/>
    <s v="South"/>
    <n v="10"/>
    <n v="13.68"/>
    <n v="136.80000000000001"/>
    <x v="0"/>
    <s v="Repeat Customer"/>
  </r>
  <r>
    <n v="10973"/>
    <s v="CUST174"/>
    <d v="2024-11-23T00:00:00"/>
    <s v="Fashion"/>
    <s v="East"/>
    <n v="8"/>
    <n v="439.77"/>
    <n v="3518.16"/>
    <x v="1"/>
    <s v="Repeat Customer"/>
  </r>
  <r>
    <n v="10974"/>
    <s v="CUST127"/>
    <d v="2024-10-06T00:00:00"/>
    <s v="Home"/>
    <s v="North"/>
    <n v="6"/>
    <n v="212.66"/>
    <n v="1275.96"/>
    <x v="2"/>
    <s v="Repeat Customer"/>
  </r>
  <r>
    <n v="10975"/>
    <s v="CUST249"/>
    <d v="2025-06-26T00:00:00"/>
    <s v="Fashion"/>
    <s v="North"/>
    <n v="2"/>
    <n v="259.36"/>
    <n v="518.72"/>
    <x v="1"/>
    <s v="Repeat Customer"/>
  </r>
  <r>
    <n v="10976"/>
    <s v="CUST378"/>
    <d v="2024-11-26T00:00:00"/>
    <s v="Home"/>
    <s v="East"/>
    <n v="6"/>
    <n v="414.28"/>
    <n v="2485.6799999999998"/>
    <x v="2"/>
    <s v="Repeat Customer"/>
  </r>
  <r>
    <n v="10977"/>
    <s v="CUST149"/>
    <d v="2025-07-01T00:00:00"/>
    <s v="Fashion"/>
    <s v="North"/>
    <n v="10"/>
    <n v="179.06"/>
    <n v="1790.6"/>
    <x v="1"/>
    <s v="Repeat Customer"/>
  </r>
  <r>
    <n v="10978"/>
    <s v="CUST365"/>
    <d v="2024-10-15T00:00:00"/>
    <s v="Beauty"/>
    <s v="East"/>
    <n v="6"/>
    <n v="390.51"/>
    <n v="2343.06"/>
    <x v="1"/>
    <s v="Repeat Customer"/>
  </r>
  <r>
    <n v="10979"/>
    <s v="CUST152"/>
    <d v="2024-08-11T00:00:00"/>
    <s v="Fashion"/>
    <s v="North"/>
    <n v="3"/>
    <n v="254.17"/>
    <n v="762.51"/>
    <x v="3"/>
    <s v="Repeat Customer"/>
  </r>
  <r>
    <n v="10980"/>
    <s v="CUST335"/>
    <d v="2024-03-19T00:00:00"/>
    <s v="Electronics"/>
    <s v="West"/>
    <n v="2"/>
    <n v="410.33"/>
    <n v="820.66"/>
    <x v="2"/>
    <s v="Repeat Customer"/>
  </r>
  <r>
    <n v="10981"/>
    <s v="CUST259"/>
    <d v="2025-12-08T00:00:00"/>
    <s v="Beauty"/>
    <s v="East"/>
    <n v="6"/>
    <n v="73.81"/>
    <n v="442.86"/>
    <x v="1"/>
    <s v="Repeat Customer"/>
  </r>
  <r>
    <n v="10982"/>
    <s v="CUST255"/>
    <d v="2024-01-30T00:00:00"/>
    <s v="Fashion"/>
    <s v="South"/>
    <n v="2"/>
    <n v="115.07"/>
    <n v="230.14"/>
    <x v="2"/>
    <s v="Repeat Customer"/>
  </r>
  <r>
    <n v="10983"/>
    <s v="CUST164"/>
    <d v="2024-08-02T00:00:00"/>
    <s v="Beauty"/>
    <s v="North"/>
    <n v="3"/>
    <n v="490.65"/>
    <n v="1471.95"/>
    <x v="0"/>
    <s v="Repeat Customer"/>
  </r>
  <r>
    <n v="10984"/>
    <s v="CUST109"/>
    <d v="2025-05-10T00:00:00"/>
    <s v="Electronics"/>
    <s v="North"/>
    <n v="7"/>
    <n v="26.05"/>
    <n v="182.35"/>
    <x v="0"/>
    <s v="Repeat Customer"/>
  </r>
  <r>
    <n v="10985"/>
    <s v="CUST340"/>
    <d v="2024-05-01T00:00:00"/>
    <s v="Home"/>
    <s v="North"/>
    <n v="5"/>
    <n v="26.42"/>
    <n v="132.1"/>
    <x v="0"/>
    <s v="Repeat Customer"/>
  </r>
  <r>
    <n v="10986"/>
    <s v="CUST163"/>
    <d v="2025-09-08T00:00:00"/>
    <s v="Fashion"/>
    <s v="South"/>
    <n v="4"/>
    <n v="295.86"/>
    <n v="1183.44"/>
    <x v="2"/>
    <s v="Repeat Customer"/>
  </r>
  <r>
    <n v="10987"/>
    <s v="CUST114"/>
    <d v="2024-04-02T00:00:00"/>
    <s v="Home"/>
    <s v="East"/>
    <n v="3"/>
    <n v="423.7"/>
    <n v="1271.0999999999999"/>
    <x v="2"/>
    <s v="Repeat Customer"/>
  </r>
  <r>
    <n v="10988"/>
    <s v="CUST182"/>
    <d v="2025-05-27T00:00:00"/>
    <s v="Sports"/>
    <s v="North"/>
    <n v="10"/>
    <n v="124.7"/>
    <n v="1247"/>
    <x v="0"/>
    <s v="Repeat Customer"/>
  </r>
  <r>
    <n v="10989"/>
    <s v="CUST396"/>
    <d v="2024-01-15T00:00:00"/>
    <s v="Fashion"/>
    <s v="East"/>
    <n v="9"/>
    <n v="112.41"/>
    <n v="1011.69"/>
    <x v="1"/>
    <s v="Repeat Customer"/>
  </r>
  <r>
    <n v="10990"/>
    <s v="CUST375"/>
    <d v="2024-01-05T00:00:00"/>
    <s v="Sports"/>
    <s v="West"/>
    <n v="2"/>
    <n v="462.49"/>
    <n v="924.98"/>
    <x v="2"/>
    <s v="Repeat Customer"/>
  </r>
  <r>
    <n v="10991"/>
    <s v="CUST194"/>
    <d v="2025-03-26T00:00:00"/>
    <s v="Home"/>
    <s v="West"/>
    <n v="2"/>
    <n v="94.52"/>
    <n v="189.04"/>
    <x v="3"/>
    <s v="Repeat Customer"/>
  </r>
  <r>
    <n v="10992"/>
    <s v="CUST209"/>
    <d v="2025-06-10T00:00:00"/>
    <s v="Home"/>
    <s v="North"/>
    <n v="4"/>
    <n v="206.75"/>
    <n v="827"/>
    <x v="3"/>
    <s v="Repeat Customer"/>
  </r>
  <r>
    <n v="10993"/>
    <s v="CUST156"/>
    <d v="2025-06-16T00:00:00"/>
    <s v="Home"/>
    <s v="East"/>
    <n v="3"/>
    <n v="250.43"/>
    <n v="751.29"/>
    <x v="0"/>
    <s v="Repeat Customer"/>
  </r>
  <r>
    <n v="10994"/>
    <s v="CUST142"/>
    <d v="2024-12-01T00:00:00"/>
    <s v="Home"/>
    <s v="West"/>
    <n v="8"/>
    <n v="62.28"/>
    <n v="498.24"/>
    <x v="2"/>
    <s v="Repeat Customer"/>
  </r>
  <r>
    <n v="10995"/>
    <s v="CUST327"/>
    <d v="2024-08-19T00:00:00"/>
    <s v="Beauty"/>
    <s v="South"/>
    <n v="9"/>
    <n v="206.6"/>
    <n v="1859.4"/>
    <x v="0"/>
    <s v="Repeat Customer"/>
  </r>
  <r>
    <n v="10996"/>
    <s v="CUST343"/>
    <d v="2025-11-26T00:00:00"/>
    <s v="Beauty"/>
    <s v="North"/>
    <n v="6"/>
    <n v="93.75"/>
    <n v="562.5"/>
    <x v="3"/>
    <s v="Repeat Customer"/>
  </r>
  <r>
    <n v="10997"/>
    <s v="CUST324"/>
    <d v="2025-06-19T00:00:00"/>
    <s v="Beauty"/>
    <s v="West"/>
    <n v="2"/>
    <n v="64.010000000000005"/>
    <n v="128.02000000000001"/>
    <x v="0"/>
    <s v="Repeat Customer"/>
  </r>
  <r>
    <n v="10998"/>
    <s v="CUST186"/>
    <d v="2024-03-07T00:00:00"/>
    <s v="Home"/>
    <s v="South"/>
    <n v="6"/>
    <n v="487.73"/>
    <n v="2926.38"/>
    <x v="3"/>
    <s v="Repeat Customer"/>
  </r>
  <r>
    <n v="10999"/>
    <s v="CUST162"/>
    <d v="2024-08-26T00:00:00"/>
    <s v="Home"/>
    <s v="East"/>
    <n v="7"/>
    <n v="363.97"/>
    <n v="2547.79"/>
    <x v="3"/>
    <s v="Repeat Customer"/>
  </r>
  <r>
    <n v="11000"/>
    <s v="CUST282"/>
    <d v="2025-05-02T00:00:00"/>
    <s v="Beauty"/>
    <s v="East"/>
    <n v="10"/>
    <n v="475.32"/>
    <n v="4753.2"/>
    <x v="1"/>
    <s v="Repeat Customer"/>
  </r>
  <r>
    <n v="11001"/>
    <s v="CUST332"/>
    <d v="2024-04-20T00:00:00"/>
    <s v="Beauty"/>
    <s v="South"/>
    <n v="2"/>
    <n v="129.09"/>
    <n v="258.18"/>
    <x v="1"/>
    <s v="Repeat Customer"/>
  </r>
  <r>
    <n v="11002"/>
    <s v="CUST115"/>
    <d v="2024-04-11T00:00:00"/>
    <s v="Beauty"/>
    <s v="North"/>
    <n v="1"/>
    <n v="416"/>
    <n v="416"/>
    <x v="1"/>
    <s v="Repeat Customer"/>
  </r>
  <r>
    <n v="11003"/>
    <s v="CUST295"/>
    <d v="2025-09-11T00:00:00"/>
    <s v="Sports"/>
    <s v="North"/>
    <n v="6"/>
    <n v="80.599999999999994"/>
    <n v="483.6"/>
    <x v="0"/>
    <s v="Repeat Customer"/>
  </r>
  <r>
    <n v="11004"/>
    <s v="CUST366"/>
    <d v="2025-05-19T00:00:00"/>
    <s v="Beauty"/>
    <s v="West"/>
    <n v="8"/>
    <n v="104.96"/>
    <n v="839.68"/>
    <x v="2"/>
    <s v="Repeat Customer"/>
  </r>
  <r>
    <n v="11005"/>
    <s v="CUST377"/>
    <d v="2024-12-17T00:00:00"/>
    <s v="Electronics"/>
    <s v="West"/>
    <n v="9"/>
    <n v="275.58"/>
    <n v="2480.2199999999998"/>
    <x v="0"/>
    <s v="Repeat Customer"/>
  </r>
  <r>
    <n v="11006"/>
    <s v="CUST296"/>
    <d v="2025-04-05T00:00:00"/>
    <s v="Beauty"/>
    <s v="West"/>
    <n v="6"/>
    <n v="427.17"/>
    <n v="2563.02"/>
    <x v="0"/>
    <s v="Repeat Customer"/>
  </r>
  <r>
    <n v="11007"/>
    <s v="CUST116"/>
    <d v="2024-06-30T00:00:00"/>
    <s v="Home"/>
    <s v="South"/>
    <n v="9"/>
    <n v="331.41"/>
    <n v="2982.69"/>
    <x v="3"/>
    <s v="Repeat Customer"/>
  </r>
  <r>
    <n v="11008"/>
    <s v="CUST320"/>
    <d v="2024-05-17T00:00:00"/>
    <s v="Beauty"/>
    <s v="North"/>
    <n v="5"/>
    <n v="359.28"/>
    <n v="1796.4"/>
    <x v="3"/>
    <s v="Repeat Customer"/>
  </r>
  <r>
    <n v="11009"/>
    <s v="CUST383"/>
    <d v="2025-12-02T00:00:00"/>
    <s v="Beauty"/>
    <s v="South"/>
    <n v="9"/>
    <n v="288.24"/>
    <n v="2594.16"/>
    <x v="0"/>
    <s v="Repeat Customer"/>
  </r>
  <r>
    <n v="11010"/>
    <s v="CUST300"/>
    <d v="2024-09-26T00:00:00"/>
    <s v="Beauty"/>
    <s v="East"/>
    <n v="8"/>
    <n v="297.57"/>
    <n v="2380.56"/>
    <x v="2"/>
    <s v="Repeat Customer"/>
  </r>
  <r>
    <n v="11011"/>
    <s v="CUST264"/>
    <d v="2024-03-03T00:00:00"/>
    <s v="Fashion"/>
    <s v="East"/>
    <n v="1"/>
    <n v="297.27999999999997"/>
    <n v="297.27999999999997"/>
    <x v="2"/>
    <s v="Repeat Customer"/>
  </r>
  <r>
    <n v="11012"/>
    <s v="CUST398"/>
    <d v="2024-01-28T00:00:00"/>
    <s v="Beauty"/>
    <s v="East"/>
    <n v="6"/>
    <n v="193.38"/>
    <n v="1160.28"/>
    <x v="2"/>
    <s v="Repeat Customer"/>
  </r>
  <r>
    <n v="11013"/>
    <s v="CUST310"/>
    <d v="2024-12-25T00:00:00"/>
    <s v="Fashion"/>
    <s v="South"/>
    <n v="1"/>
    <n v="332.31"/>
    <n v="332.31"/>
    <x v="2"/>
    <s v="Repeat Customer"/>
  </r>
  <r>
    <n v="11014"/>
    <s v="CUST143"/>
    <d v="2025-12-05T00:00:00"/>
    <s v="Electronics"/>
    <s v="East"/>
    <n v="2"/>
    <n v="435.13"/>
    <n v="870.26"/>
    <x v="1"/>
    <s v="Repeat Customer"/>
  </r>
  <r>
    <n v="11015"/>
    <s v="CUST110"/>
    <d v="2025-07-05T00:00:00"/>
    <s v="Beauty"/>
    <s v="West"/>
    <n v="6"/>
    <n v="23.5"/>
    <n v="141"/>
    <x v="2"/>
    <s v="Repeat Customer"/>
  </r>
  <r>
    <n v="11016"/>
    <s v="CUST110"/>
    <d v="2025-12-13T00:00:00"/>
    <s v="Home"/>
    <s v="West"/>
    <n v="8"/>
    <n v="296.05"/>
    <n v="2368.4"/>
    <x v="3"/>
    <s v="Repeat Customer"/>
  </r>
  <r>
    <n v="11017"/>
    <s v="CUST265"/>
    <d v="2025-08-09T00:00:00"/>
    <s v="Electronics"/>
    <s v="South"/>
    <n v="2"/>
    <n v="405.12"/>
    <n v="810.24"/>
    <x v="2"/>
    <s v="New Customer"/>
  </r>
  <r>
    <n v="11018"/>
    <s v="CUST354"/>
    <d v="2025-05-29T00:00:00"/>
    <s v="Home"/>
    <s v="East"/>
    <n v="6"/>
    <n v="87.48"/>
    <n v="524.88"/>
    <x v="3"/>
    <s v="Repeat Customer"/>
  </r>
  <r>
    <n v="11019"/>
    <s v="CUST203"/>
    <d v="2025-05-23T00:00:00"/>
    <s v="Sports"/>
    <s v="South"/>
    <n v="2"/>
    <n v="420.99"/>
    <n v="841.98"/>
    <x v="2"/>
    <s v="Repeat Customer"/>
  </r>
  <r>
    <n v="11020"/>
    <s v="CUST235"/>
    <d v="2024-02-18T00:00:00"/>
    <s v="Beauty"/>
    <s v="South"/>
    <n v="5"/>
    <n v="498.13"/>
    <n v="2490.65"/>
    <x v="0"/>
    <s v="Repeat Customer"/>
  </r>
  <r>
    <n v="11021"/>
    <s v="CUST396"/>
    <d v="2024-04-07T00:00:00"/>
    <s v="Electronics"/>
    <s v="West"/>
    <n v="10"/>
    <n v="171.73"/>
    <n v="1717.3"/>
    <x v="3"/>
    <s v="Repeat Customer"/>
  </r>
  <r>
    <n v="11022"/>
    <s v="CUST207"/>
    <d v="2024-12-21T00:00:00"/>
    <s v="Home"/>
    <s v="East"/>
    <n v="2"/>
    <n v="327.51"/>
    <n v="655.02"/>
    <x v="3"/>
    <s v="Repeat Customer"/>
  </r>
  <r>
    <n v="11023"/>
    <s v="CUST376"/>
    <d v="2024-11-16T00:00:00"/>
    <s v="Home"/>
    <s v="West"/>
    <n v="4"/>
    <n v="210.09"/>
    <n v="840.36"/>
    <x v="1"/>
    <s v="Repeat Customer"/>
  </r>
  <r>
    <n v="11024"/>
    <s v="CUST109"/>
    <d v="2025-10-04T00:00:00"/>
    <s v="Sports"/>
    <s v="West"/>
    <n v="9"/>
    <n v="432.04"/>
    <n v="3888.36"/>
    <x v="1"/>
    <s v="Repeat Customer"/>
  </r>
  <r>
    <n v="11025"/>
    <s v="CUST339"/>
    <d v="2024-10-01T00:00:00"/>
    <s v="Beauty"/>
    <s v="North"/>
    <n v="9"/>
    <n v="405.42"/>
    <n v="3648.78"/>
    <x v="1"/>
    <s v="Repeat Customer"/>
  </r>
  <r>
    <n v="11026"/>
    <s v="CUST286"/>
    <d v="2025-04-18T00:00:00"/>
    <s v="Home"/>
    <s v="West"/>
    <n v="3"/>
    <n v="123.99"/>
    <n v="371.97"/>
    <x v="3"/>
    <s v="Repeat Customer"/>
  </r>
  <r>
    <n v="11027"/>
    <s v="CUST263"/>
    <d v="2024-03-06T00:00:00"/>
    <s v="Home"/>
    <s v="East"/>
    <n v="4"/>
    <n v="423.75"/>
    <n v="1695"/>
    <x v="1"/>
    <s v="Repeat Customer"/>
  </r>
  <r>
    <n v="11028"/>
    <s v="CUST231"/>
    <d v="2025-12-04T00:00:00"/>
    <s v="Fashion"/>
    <s v="North"/>
    <n v="10"/>
    <n v="121.88"/>
    <n v="1218.8"/>
    <x v="1"/>
    <s v="Repeat Customer"/>
  </r>
  <r>
    <n v="11029"/>
    <s v="CUST198"/>
    <d v="2024-01-29T00:00:00"/>
    <s v="Home"/>
    <s v="West"/>
    <n v="4"/>
    <n v="399.54"/>
    <n v="1598.16"/>
    <x v="3"/>
    <s v="Repeat Customer"/>
  </r>
  <r>
    <n v="11030"/>
    <s v="CUST386"/>
    <d v="2025-03-22T00:00:00"/>
    <s v="Electronics"/>
    <s v="South"/>
    <n v="7"/>
    <n v="325.23"/>
    <n v="2276.61"/>
    <x v="1"/>
    <s v="Repeat Customer"/>
  </r>
  <r>
    <n v="11031"/>
    <s v="CUST239"/>
    <d v="2024-05-19T00:00:00"/>
    <s v="Home"/>
    <s v="South"/>
    <n v="1"/>
    <n v="132.91"/>
    <n v="132.91"/>
    <x v="0"/>
    <s v="Repeat Customer"/>
  </r>
  <r>
    <n v="11032"/>
    <s v="CUST348"/>
    <d v="2024-01-21T00:00:00"/>
    <s v="Electronics"/>
    <s v="East"/>
    <n v="1"/>
    <n v="430.49"/>
    <n v="430.49"/>
    <x v="2"/>
    <s v="Repeat Customer"/>
  </r>
  <r>
    <n v="11033"/>
    <s v="CUST132"/>
    <d v="2025-02-20T00:00:00"/>
    <s v="Electronics"/>
    <s v="West"/>
    <n v="6"/>
    <n v="337.48"/>
    <n v="2024.88"/>
    <x v="1"/>
    <s v="Repeat Customer"/>
  </r>
  <r>
    <n v="11034"/>
    <s v="CUST220"/>
    <d v="2024-04-24T00:00:00"/>
    <s v="Electronics"/>
    <s v="East"/>
    <n v="10"/>
    <n v="368.57"/>
    <n v="3685.7"/>
    <x v="3"/>
    <s v="Repeat Customer"/>
  </r>
  <r>
    <n v="11035"/>
    <s v="CUST146"/>
    <d v="2024-08-31T00:00:00"/>
    <s v="Home"/>
    <s v="East"/>
    <n v="10"/>
    <n v="65.53"/>
    <n v="655.29999999999995"/>
    <x v="3"/>
    <s v="Repeat Customer"/>
  </r>
  <r>
    <n v="11036"/>
    <s v="CUST220"/>
    <d v="2025-03-09T00:00:00"/>
    <s v="Fashion"/>
    <s v="South"/>
    <n v="4"/>
    <n v="76.42"/>
    <n v="305.68"/>
    <x v="2"/>
    <s v="Repeat Customer"/>
  </r>
  <r>
    <n v="11037"/>
    <s v="CUST325"/>
    <d v="2025-02-22T00:00:00"/>
    <s v="Electronics"/>
    <s v="West"/>
    <n v="5"/>
    <n v="432.14"/>
    <n v="2160.6999999999998"/>
    <x v="2"/>
    <s v="Repeat Customer"/>
  </r>
  <r>
    <n v="11038"/>
    <s v="CUST157"/>
    <d v="2024-11-20T00:00:00"/>
    <s v="Fashion"/>
    <s v="East"/>
    <n v="9"/>
    <n v="214.77"/>
    <n v="1932.93"/>
    <x v="1"/>
    <s v="Repeat Customer"/>
  </r>
  <r>
    <n v="11039"/>
    <s v="CUST285"/>
    <d v="2025-05-01T00:00:00"/>
    <s v="Electronics"/>
    <s v="North"/>
    <n v="6"/>
    <n v="411.58"/>
    <n v="2469.48"/>
    <x v="0"/>
    <s v="Repeat Customer"/>
  </r>
  <r>
    <n v="11040"/>
    <s v="CUST222"/>
    <d v="2024-09-16T00:00:00"/>
    <s v="Home"/>
    <s v="North"/>
    <n v="9"/>
    <n v="195.42"/>
    <n v="1758.78"/>
    <x v="1"/>
    <s v="Repeat Customer"/>
  </r>
  <r>
    <n v="11041"/>
    <s v="CUST326"/>
    <d v="2025-02-01T00:00:00"/>
    <s v="Beauty"/>
    <s v="East"/>
    <n v="1"/>
    <n v="455.35"/>
    <n v="455.35"/>
    <x v="2"/>
    <s v="Repeat Customer"/>
  </r>
  <r>
    <n v="11042"/>
    <s v="CUST146"/>
    <d v="2024-08-29T00:00:00"/>
    <s v="Fashion"/>
    <s v="West"/>
    <n v="5"/>
    <n v="109.14"/>
    <n v="545.70000000000005"/>
    <x v="2"/>
    <s v="Repeat Customer"/>
  </r>
  <r>
    <n v="11043"/>
    <s v="CUST308"/>
    <d v="2024-02-04T00:00:00"/>
    <s v="Beauty"/>
    <s v="West"/>
    <n v="5"/>
    <n v="433.89"/>
    <n v="2169.4499999999998"/>
    <x v="3"/>
    <s v="Repeat Customer"/>
  </r>
  <r>
    <n v="11044"/>
    <s v="CUST270"/>
    <d v="2025-03-08T00:00:00"/>
    <s v="Home"/>
    <s v="North"/>
    <n v="2"/>
    <n v="413.08"/>
    <n v="826.16"/>
    <x v="2"/>
    <s v="Repeat Customer"/>
  </r>
  <r>
    <n v="11045"/>
    <s v="CUST315"/>
    <d v="2025-09-08T00:00:00"/>
    <s v="Beauty"/>
    <s v="North"/>
    <n v="9"/>
    <n v="370.2"/>
    <n v="3331.8"/>
    <x v="0"/>
    <s v="Repeat Customer"/>
  </r>
  <r>
    <n v="11046"/>
    <s v="CUST194"/>
    <d v="2025-10-07T00:00:00"/>
    <s v="Fashion"/>
    <s v="North"/>
    <n v="8"/>
    <n v="396.55"/>
    <n v="3172.4"/>
    <x v="3"/>
    <s v="Repeat Customer"/>
  </r>
  <r>
    <n v="11047"/>
    <s v="CUST202"/>
    <d v="2025-10-05T00:00:00"/>
    <s v="Electronics"/>
    <s v="North"/>
    <n v="5"/>
    <n v="160.29"/>
    <n v="801.45"/>
    <x v="1"/>
    <s v="Repeat Customer"/>
  </r>
  <r>
    <n v="11048"/>
    <s v="CUST227"/>
    <d v="2025-06-12T00:00:00"/>
    <s v="Beauty"/>
    <s v="East"/>
    <n v="3"/>
    <n v="424.25"/>
    <n v="1272.75"/>
    <x v="3"/>
    <s v="Repeat Customer"/>
  </r>
  <r>
    <n v="11049"/>
    <s v="CUST344"/>
    <d v="2024-05-16T00:00:00"/>
    <s v="Sports"/>
    <s v="East"/>
    <n v="5"/>
    <n v="90.87"/>
    <n v="454.35"/>
    <x v="2"/>
    <s v="Repeat Customer"/>
  </r>
  <r>
    <n v="11050"/>
    <s v="CUST201"/>
    <d v="2024-03-27T00:00:00"/>
    <s v="Beauty"/>
    <s v="West"/>
    <n v="7"/>
    <n v="186.96"/>
    <n v="1308.72"/>
    <x v="1"/>
    <s v="Repeat Customer"/>
  </r>
  <r>
    <n v="11051"/>
    <s v="CUST110"/>
    <d v="2024-01-24T00:00:00"/>
    <s v="Fashion"/>
    <s v="North"/>
    <n v="9"/>
    <n v="325.32"/>
    <n v="2927.88"/>
    <x v="3"/>
    <s v="Repeat Customer"/>
  </r>
  <r>
    <n v="11052"/>
    <s v="CUST201"/>
    <d v="2024-09-25T00:00:00"/>
    <s v="Sports"/>
    <s v="West"/>
    <n v="3"/>
    <n v="29.64"/>
    <n v="88.92"/>
    <x v="2"/>
    <s v="Repeat Customer"/>
  </r>
  <r>
    <n v="11053"/>
    <s v="CUST176"/>
    <d v="2024-04-01T00:00:00"/>
    <s v="Sports"/>
    <s v="North"/>
    <n v="6"/>
    <n v="89.21"/>
    <n v="535.26"/>
    <x v="0"/>
    <s v="Repeat Customer"/>
  </r>
  <r>
    <n v="11054"/>
    <s v="CUST369"/>
    <d v="2025-03-21T00:00:00"/>
    <s v="Beauty"/>
    <s v="North"/>
    <n v="8"/>
    <n v="414.49"/>
    <n v="3315.92"/>
    <x v="1"/>
    <s v="Repeat Customer"/>
  </r>
  <r>
    <n v="11055"/>
    <s v="CUST204"/>
    <d v="2024-07-14T00:00:00"/>
    <s v="Beauty"/>
    <s v="West"/>
    <n v="5"/>
    <n v="147.54"/>
    <n v="737.7"/>
    <x v="1"/>
    <s v="Repeat Customer"/>
  </r>
  <r>
    <n v="11056"/>
    <s v="CUST320"/>
    <d v="2024-07-30T00:00:00"/>
    <s v="Home"/>
    <s v="South"/>
    <n v="10"/>
    <n v="111.71"/>
    <n v="1117.0999999999999"/>
    <x v="3"/>
    <s v="Repeat Customer"/>
  </r>
  <r>
    <n v="11057"/>
    <s v="CUST192"/>
    <d v="2025-02-22T00:00:00"/>
    <s v="Home"/>
    <s v="South"/>
    <n v="3"/>
    <n v="19.239999999999998"/>
    <n v="57.72"/>
    <x v="3"/>
    <s v="Repeat Customer"/>
  </r>
  <r>
    <n v="11058"/>
    <s v="CUST227"/>
    <d v="2025-01-13T00:00:00"/>
    <s v="Beauty"/>
    <s v="North"/>
    <n v="10"/>
    <n v="343.71"/>
    <n v="3437.1"/>
    <x v="0"/>
    <s v="Repeat Customer"/>
  </r>
  <r>
    <n v="11059"/>
    <s v="CUST340"/>
    <d v="2024-05-16T00:00:00"/>
    <s v="Beauty"/>
    <s v="South"/>
    <n v="6"/>
    <n v="487.33"/>
    <n v="2923.98"/>
    <x v="3"/>
    <s v="Repeat Customer"/>
  </r>
  <r>
    <n v="11060"/>
    <s v="CUST316"/>
    <d v="2025-09-03T00:00:00"/>
    <s v="Sports"/>
    <s v="North"/>
    <n v="5"/>
    <n v="41.16"/>
    <n v="205.8"/>
    <x v="0"/>
    <s v="Repeat Customer"/>
  </r>
  <r>
    <n v="11061"/>
    <s v="CUST270"/>
    <d v="2024-08-28T00:00:00"/>
    <s v="Sports"/>
    <s v="North"/>
    <n v="8"/>
    <n v="454.57"/>
    <n v="3636.56"/>
    <x v="0"/>
    <s v="Repeat Customer"/>
  </r>
  <r>
    <n v="11062"/>
    <s v="CUST229"/>
    <d v="2025-05-31T00:00:00"/>
    <s v="Beauty"/>
    <s v="East"/>
    <n v="10"/>
    <n v="193.56"/>
    <n v="1935.6"/>
    <x v="1"/>
    <s v="Repeat Customer"/>
  </r>
  <r>
    <n v="11063"/>
    <s v="CUST386"/>
    <d v="2024-02-12T00:00:00"/>
    <s v="Fashion"/>
    <s v="West"/>
    <n v="10"/>
    <n v="93.79"/>
    <n v="937.9"/>
    <x v="2"/>
    <s v="Repeat Customer"/>
  </r>
  <r>
    <n v="11064"/>
    <s v="CUST339"/>
    <d v="2024-05-15T00:00:00"/>
    <s v="Sports"/>
    <s v="West"/>
    <n v="2"/>
    <n v="162.07"/>
    <n v="324.14"/>
    <x v="1"/>
    <s v="Repeat Customer"/>
  </r>
  <r>
    <n v="11065"/>
    <s v="CUST233"/>
    <d v="2024-04-29T00:00:00"/>
    <s v="Fashion"/>
    <s v="West"/>
    <n v="6"/>
    <n v="26.86"/>
    <n v="161.16"/>
    <x v="2"/>
    <s v="Repeat Customer"/>
  </r>
  <r>
    <n v="11066"/>
    <s v="CUST284"/>
    <d v="2025-03-16T00:00:00"/>
    <s v="Home"/>
    <s v="East"/>
    <n v="5"/>
    <n v="451.88"/>
    <n v="2259.4"/>
    <x v="2"/>
    <s v="Repeat Customer"/>
  </r>
  <r>
    <n v="11067"/>
    <s v="CUST323"/>
    <d v="2024-06-17T00:00:00"/>
    <s v="Beauty"/>
    <s v="South"/>
    <n v="6"/>
    <n v="369.75"/>
    <n v="2218.5"/>
    <x v="3"/>
    <s v="Repeat Customer"/>
  </r>
  <r>
    <n v="11068"/>
    <s v="CUST127"/>
    <d v="2024-07-12T00:00:00"/>
    <s v="Fashion"/>
    <s v="North"/>
    <n v="3"/>
    <n v="32.01"/>
    <n v="96.03"/>
    <x v="3"/>
    <s v="Repeat Customer"/>
  </r>
  <r>
    <n v="11069"/>
    <s v="CUST233"/>
    <d v="2024-06-16T00:00:00"/>
    <s v="Beauty"/>
    <s v="North"/>
    <n v="8"/>
    <n v="221.03"/>
    <n v="1768.24"/>
    <x v="3"/>
    <s v="Repeat Customer"/>
  </r>
  <r>
    <n v="11070"/>
    <s v="CUST282"/>
    <d v="2025-12-27T00:00:00"/>
    <s v="Beauty"/>
    <s v="North"/>
    <n v="9"/>
    <n v="245.17"/>
    <n v="2206.5300000000002"/>
    <x v="1"/>
    <s v="Repeat Customer"/>
  </r>
  <r>
    <n v="11071"/>
    <s v="CUST163"/>
    <d v="2024-12-23T00:00:00"/>
    <s v="Home"/>
    <s v="South"/>
    <n v="2"/>
    <n v="105.85"/>
    <n v="211.7"/>
    <x v="1"/>
    <s v="Repeat Customer"/>
  </r>
  <r>
    <n v="11072"/>
    <s v="CUST360"/>
    <d v="2024-10-06T00:00:00"/>
    <s v="Sports"/>
    <s v="South"/>
    <n v="10"/>
    <n v="445.99"/>
    <n v="4459.8999999999996"/>
    <x v="0"/>
    <s v="Repeat Customer"/>
  </r>
  <r>
    <n v="11073"/>
    <s v="CUST369"/>
    <d v="2025-08-07T00:00:00"/>
    <s v="Electronics"/>
    <s v="South"/>
    <n v="3"/>
    <n v="211.13"/>
    <n v="633.39"/>
    <x v="3"/>
    <s v="Repeat Customer"/>
  </r>
  <r>
    <n v="11074"/>
    <s v="CUST148"/>
    <d v="2024-12-02T00:00:00"/>
    <s v="Electronics"/>
    <s v="West"/>
    <n v="1"/>
    <n v="145.72"/>
    <n v="145.72"/>
    <x v="2"/>
    <s v="Repeat Customer"/>
  </r>
  <r>
    <n v="11075"/>
    <s v="CUST154"/>
    <d v="2024-11-27T00:00:00"/>
    <s v="Beauty"/>
    <s v="West"/>
    <n v="3"/>
    <n v="19.29"/>
    <n v="57.87"/>
    <x v="3"/>
    <s v="Repeat Customer"/>
  </r>
  <r>
    <n v="11076"/>
    <s v="CUST237"/>
    <d v="2025-08-31T00:00:00"/>
    <s v="Electronics"/>
    <s v="West"/>
    <n v="1"/>
    <n v="168.07"/>
    <n v="168.07"/>
    <x v="2"/>
    <s v="Repeat Customer"/>
  </r>
  <r>
    <n v="11077"/>
    <s v="CUST391"/>
    <d v="2024-05-12T00:00:00"/>
    <s v="Home"/>
    <s v="East"/>
    <n v="4"/>
    <n v="432.32"/>
    <n v="1729.28"/>
    <x v="0"/>
    <s v="Repeat Customer"/>
  </r>
  <r>
    <n v="11078"/>
    <s v="CUST136"/>
    <d v="2025-07-14T00:00:00"/>
    <s v="Beauty"/>
    <s v="East"/>
    <n v="10"/>
    <n v="193.79"/>
    <n v="1937.9"/>
    <x v="1"/>
    <s v="Repeat Customer"/>
  </r>
  <r>
    <n v="11079"/>
    <s v="CUST222"/>
    <d v="2025-02-12T00:00:00"/>
    <s v="Fashion"/>
    <s v="South"/>
    <n v="2"/>
    <n v="15.15"/>
    <n v="30.3"/>
    <x v="3"/>
    <s v="Repeat Customer"/>
  </r>
  <r>
    <n v="11080"/>
    <s v="CUST306"/>
    <d v="2024-10-18T00:00:00"/>
    <s v="Beauty"/>
    <s v="West"/>
    <n v="3"/>
    <n v="64.7"/>
    <n v="194.1"/>
    <x v="2"/>
    <s v="Repeat Customer"/>
  </r>
  <r>
    <n v="11081"/>
    <s v="CUST167"/>
    <d v="2025-01-02T00:00:00"/>
    <s v="Sports"/>
    <s v="South"/>
    <n v="2"/>
    <n v="416.87"/>
    <n v="833.74"/>
    <x v="3"/>
    <s v="Repeat Customer"/>
  </r>
  <r>
    <n v="11082"/>
    <s v="CUST328"/>
    <d v="2025-02-01T00:00:00"/>
    <s v="Sports"/>
    <s v="West"/>
    <n v="8"/>
    <n v="137.9"/>
    <n v="1103.2"/>
    <x v="0"/>
    <s v="Repeat Customer"/>
  </r>
  <r>
    <n v="11083"/>
    <s v="CUST316"/>
    <d v="2025-01-12T00:00:00"/>
    <s v="Beauty"/>
    <s v="North"/>
    <n v="10"/>
    <n v="97.25"/>
    <n v="972.5"/>
    <x v="0"/>
    <s v="Repeat Customer"/>
  </r>
  <r>
    <n v="11084"/>
    <s v="CUST362"/>
    <d v="2024-12-15T00:00:00"/>
    <s v="Fashion"/>
    <s v="West"/>
    <n v="8"/>
    <n v="339.84"/>
    <n v="2718.72"/>
    <x v="0"/>
    <s v="Repeat Customer"/>
  </r>
  <r>
    <n v="11085"/>
    <s v="CUST248"/>
    <d v="2025-04-24T00:00:00"/>
    <s v="Beauty"/>
    <s v="East"/>
    <n v="7"/>
    <n v="44.2"/>
    <n v="309.39999999999998"/>
    <x v="1"/>
    <s v="Repeat Customer"/>
  </r>
  <r>
    <n v="11086"/>
    <s v="CUST165"/>
    <d v="2025-12-01T00:00:00"/>
    <s v="Sports"/>
    <s v="West"/>
    <n v="5"/>
    <n v="421.56"/>
    <n v="2107.8000000000002"/>
    <x v="2"/>
    <s v="Repeat Customer"/>
  </r>
  <r>
    <n v="11087"/>
    <s v="CUST391"/>
    <d v="2024-02-18T00:00:00"/>
    <s v="Electronics"/>
    <s v="North"/>
    <n v="9"/>
    <n v="42.88"/>
    <n v="385.92"/>
    <x v="3"/>
    <s v="Repeat Customer"/>
  </r>
  <r>
    <n v="11088"/>
    <s v="CUST311"/>
    <d v="2024-04-06T00:00:00"/>
    <s v="Sports"/>
    <s v="East"/>
    <n v="8"/>
    <n v="332.12"/>
    <n v="2656.96"/>
    <x v="2"/>
    <s v="Repeat Customer"/>
  </r>
  <r>
    <n v="11089"/>
    <s v="CUST230"/>
    <d v="2025-08-22T00:00:00"/>
    <s v="Electronics"/>
    <s v="North"/>
    <n v="2"/>
    <n v="385.48"/>
    <n v="770.96"/>
    <x v="3"/>
    <s v="Repeat Customer"/>
  </r>
  <r>
    <n v="11090"/>
    <s v="CUST191"/>
    <d v="2024-07-05T00:00:00"/>
    <s v="Beauty"/>
    <s v="East"/>
    <n v="7"/>
    <n v="27.4"/>
    <n v="191.8"/>
    <x v="2"/>
    <s v="Repeat Customer"/>
  </r>
  <r>
    <n v="11091"/>
    <s v="CUST332"/>
    <d v="2025-11-17T00:00:00"/>
    <s v="Home"/>
    <s v="East"/>
    <n v="8"/>
    <n v="313.79000000000002"/>
    <n v="2510.3200000000002"/>
    <x v="1"/>
    <s v="Repeat Customer"/>
  </r>
  <r>
    <n v="11092"/>
    <s v="CUST208"/>
    <d v="2024-07-08T00:00:00"/>
    <s v="Sports"/>
    <s v="East"/>
    <n v="2"/>
    <n v="374.78"/>
    <n v="749.56"/>
    <x v="0"/>
    <s v="Repeat Customer"/>
  </r>
  <r>
    <n v="11093"/>
    <s v="CUST322"/>
    <d v="2025-07-01T00:00:00"/>
    <s v="Electronics"/>
    <s v="North"/>
    <n v="1"/>
    <n v="7.89"/>
    <n v="7.89"/>
    <x v="1"/>
    <s v="Repeat Customer"/>
  </r>
  <r>
    <n v="11094"/>
    <s v="CUST344"/>
    <d v="2025-04-16T00:00:00"/>
    <s v="Sports"/>
    <s v="West"/>
    <n v="7"/>
    <n v="435.05"/>
    <n v="3045.35"/>
    <x v="2"/>
    <s v="Repeat Customer"/>
  </r>
  <r>
    <n v="11095"/>
    <s v="CUST284"/>
    <d v="2025-12-08T00:00:00"/>
    <s v="Electronics"/>
    <s v="South"/>
    <n v="7"/>
    <n v="403.3"/>
    <n v="2823.1"/>
    <x v="1"/>
    <s v="Repeat Customer"/>
  </r>
  <r>
    <n v="11096"/>
    <s v="CUST107"/>
    <d v="2024-07-14T00:00:00"/>
    <s v="Fashion"/>
    <s v="North"/>
    <n v="2"/>
    <n v="408.9"/>
    <n v="817.8"/>
    <x v="1"/>
    <s v="Repeat Customer"/>
  </r>
  <r>
    <n v="11097"/>
    <s v="CUST346"/>
    <d v="2025-10-26T00:00:00"/>
    <s v="Beauty"/>
    <s v="South"/>
    <n v="3"/>
    <n v="326.62"/>
    <n v="979.86"/>
    <x v="0"/>
    <s v="Repeat Customer"/>
  </r>
  <r>
    <n v="11098"/>
    <s v="CUST254"/>
    <d v="2025-04-19T00:00:00"/>
    <s v="Electronics"/>
    <s v="North"/>
    <n v="3"/>
    <n v="239.62"/>
    <n v="718.86"/>
    <x v="1"/>
    <s v="Repeat Customer"/>
  </r>
  <r>
    <n v="11099"/>
    <s v="CUST178"/>
    <d v="2025-12-20T00:00:00"/>
    <s v="Beauty"/>
    <s v="North"/>
    <n v="8"/>
    <n v="482.11"/>
    <n v="3856.88"/>
    <x v="3"/>
    <s v="Repeat Customer"/>
  </r>
  <r>
    <n v="11100"/>
    <s v="CUST399"/>
    <d v="2024-09-05T00:00:00"/>
    <s v="Beauty"/>
    <s v="North"/>
    <n v="4"/>
    <n v="150.94"/>
    <n v="603.76"/>
    <x v="2"/>
    <s v="Repeat Customer"/>
  </r>
  <r>
    <n v="11101"/>
    <s v="CUST104"/>
    <d v="2024-04-15T00:00:00"/>
    <s v="Beauty"/>
    <s v="East"/>
    <n v="7"/>
    <n v="489.85"/>
    <n v="3428.95"/>
    <x v="0"/>
    <s v="Repeat Customer"/>
  </r>
  <r>
    <n v="11102"/>
    <s v="CUST349"/>
    <d v="2025-02-13T00:00:00"/>
    <s v="Sports"/>
    <s v="West"/>
    <n v="8"/>
    <n v="259.11"/>
    <n v="2072.88"/>
    <x v="1"/>
    <s v="Repeat Customer"/>
  </r>
  <r>
    <n v="11103"/>
    <s v="CUST131"/>
    <d v="2025-06-24T00:00:00"/>
    <s v="Home"/>
    <s v="North"/>
    <n v="1"/>
    <n v="213.89"/>
    <n v="213.89"/>
    <x v="2"/>
    <s v="Repeat Customer"/>
  </r>
  <r>
    <n v="11104"/>
    <s v="CUST313"/>
    <d v="2025-04-29T00:00:00"/>
    <s v="Home"/>
    <s v="West"/>
    <n v="2"/>
    <n v="249.92"/>
    <n v="499.84"/>
    <x v="3"/>
    <s v="Repeat Customer"/>
  </r>
  <r>
    <n v="11105"/>
    <s v="CUST110"/>
    <d v="2024-06-14T00:00:00"/>
    <s v="Beauty"/>
    <s v="East"/>
    <n v="5"/>
    <n v="364.47"/>
    <n v="1822.35"/>
    <x v="3"/>
    <s v="Repeat Customer"/>
  </r>
  <r>
    <n v="11106"/>
    <s v="CUST218"/>
    <d v="2025-06-03T00:00:00"/>
    <s v="Home"/>
    <s v="West"/>
    <n v="4"/>
    <n v="295.89"/>
    <n v="1183.56"/>
    <x v="1"/>
    <s v="Repeat Customer"/>
  </r>
  <r>
    <n v="11107"/>
    <s v="CUST250"/>
    <d v="2025-12-29T00:00:00"/>
    <s v="Home"/>
    <s v="West"/>
    <n v="7"/>
    <n v="480.1"/>
    <n v="3360.7"/>
    <x v="1"/>
    <s v="Repeat Customer"/>
  </r>
  <r>
    <n v="11108"/>
    <s v="CUST206"/>
    <d v="2024-10-16T00:00:00"/>
    <s v="Fashion"/>
    <s v="South"/>
    <n v="2"/>
    <n v="335.19"/>
    <n v="670.38"/>
    <x v="1"/>
    <s v="Repeat Customer"/>
  </r>
  <r>
    <n v="11109"/>
    <s v="CUST180"/>
    <d v="2025-09-12T00:00:00"/>
    <s v="Beauty"/>
    <s v="West"/>
    <n v="8"/>
    <n v="54.95"/>
    <n v="439.6"/>
    <x v="2"/>
    <s v="Repeat Customer"/>
  </r>
  <r>
    <n v="11110"/>
    <s v="CUST220"/>
    <d v="2024-08-02T00:00:00"/>
    <s v="Electronics"/>
    <s v="East"/>
    <n v="9"/>
    <n v="28.29"/>
    <n v="254.61"/>
    <x v="2"/>
    <s v="Repeat Customer"/>
  </r>
  <r>
    <n v="11111"/>
    <s v="CUST282"/>
    <d v="2025-11-24T00:00:00"/>
    <s v="Sports"/>
    <s v="North"/>
    <n v="3"/>
    <n v="91.48"/>
    <n v="274.44"/>
    <x v="0"/>
    <s v="Repeat Customer"/>
  </r>
  <r>
    <n v="11112"/>
    <s v="CUST272"/>
    <d v="2025-03-16T00:00:00"/>
    <s v="Electronics"/>
    <s v="South"/>
    <n v="2"/>
    <n v="310.69"/>
    <n v="621.38"/>
    <x v="3"/>
    <s v="Repeat Customer"/>
  </r>
  <r>
    <n v="11113"/>
    <s v="CUST232"/>
    <d v="2024-12-14T00:00:00"/>
    <s v="Sports"/>
    <s v="East"/>
    <n v="6"/>
    <n v="385.84"/>
    <n v="2315.04"/>
    <x v="1"/>
    <s v="Repeat Customer"/>
  </r>
  <r>
    <n v="11114"/>
    <s v="CUST363"/>
    <d v="2025-09-10T00:00:00"/>
    <s v="Beauty"/>
    <s v="West"/>
    <n v="2"/>
    <n v="354.67"/>
    <n v="709.34"/>
    <x v="0"/>
    <s v="Repeat Customer"/>
  </r>
  <r>
    <n v="11115"/>
    <s v="CUST154"/>
    <d v="2025-09-17T00:00:00"/>
    <s v="Electronics"/>
    <s v="North"/>
    <n v="10"/>
    <n v="392.17"/>
    <n v="3921.7"/>
    <x v="0"/>
    <s v="Repeat Customer"/>
  </r>
  <r>
    <n v="11116"/>
    <s v="CUST185"/>
    <d v="2025-10-07T00:00:00"/>
    <s v="Home"/>
    <s v="South"/>
    <n v="2"/>
    <n v="436.08"/>
    <n v="872.16"/>
    <x v="2"/>
    <s v="Repeat Customer"/>
  </r>
  <r>
    <n v="11117"/>
    <s v="CUST326"/>
    <d v="2025-06-02T00:00:00"/>
    <s v="Electronics"/>
    <s v="South"/>
    <n v="8"/>
    <n v="367.61"/>
    <n v="2940.88"/>
    <x v="2"/>
    <s v="Repeat Customer"/>
  </r>
  <r>
    <n v="11118"/>
    <s v="CUST271"/>
    <d v="2024-05-21T00:00:00"/>
    <s v="Beauty"/>
    <s v="West"/>
    <n v="2"/>
    <n v="425.05"/>
    <n v="850.1"/>
    <x v="0"/>
    <s v="Repeat Customer"/>
  </r>
  <r>
    <n v="11119"/>
    <s v="CUST225"/>
    <d v="2025-04-30T00:00:00"/>
    <s v="Fashion"/>
    <s v="North"/>
    <n v="6"/>
    <n v="146.94999999999999"/>
    <n v="881.7"/>
    <x v="2"/>
    <s v="Repeat Customer"/>
  </r>
  <r>
    <n v="11120"/>
    <s v="CUST290"/>
    <d v="2025-02-28T00:00:00"/>
    <s v="Fashion"/>
    <s v="South"/>
    <n v="6"/>
    <n v="316.57"/>
    <n v="1899.42"/>
    <x v="3"/>
    <s v="Repeat Customer"/>
  </r>
  <r>
    <n v="11121"/>
    <s v="CUST216"/>
    <d v="2024-05-21T00:00:00"/>
    <s v="Beauty"/>
    <s v="West"/>
    <n v="7"/>
    <n v="209.64"/>
    <n v="1467.48"/>
    <x v="2"/>
    <s v="Repeat Customer"/>
  </r>
  <r>
    <n v="11122"/>
    <s v="CUST115"/>
    <d v="2025-03-29T00:00:00"/>
    <s v="Sports"/>
    <s v="North"/>
    <n v="3"/>
    <n v="386.23"/>
    <n v="1158.69"/>
    <x v="0"/>
    <s v="Repeat Customer"/>
  </r>
  <r>
    <n v="11123"/>
    <s v="CUST273"/>
    <d v="2024-11-18T00:00:00"/>
    <s v="Fashion"/>
    <s v="West"/>
    <n v="7"/>
    <n v="491.06"/>
    <n v="3437.42"/>
    <x v="0"/>
    <s v="Repeat Customer"/>
  </r>
  <r>
    <n v="11124"/>
    <s v="CUST301"/>
    <d v="2024-02-07T00:00:00"/>
    <s v="Electronics"/>
    <s v="East"/>
    <n v="3"/>
    <n v="451.74"/>
    <n v="1355.22"/>
    <x v="3"/>
    <s v="New Customer"/>
  </r>
  <r>
    <n v="11125"/>
    <s v="CUST305"/>
    <d v="2025-11-28T00:00:00"/>
    <s v="Home"/>
    <s v="East"/>
    <n v="9"/>
    <n v="437.41"/>
    <n v="3936.69"/>
    <x v="0"/>
    <s v="Repeat Customer"/>
  </r>
  <r>
    <n v="11126"/>
    <s v="CUST243"/>
    <d v="2025-06-24T00:00:00"/>
    <s v="Beauty"/>
    <s v="West"/>
    <n v="10"/>
    <n v="460.62"/>
    <n v="4606.2"/>
    <x v="1"/>
    <s v="Repeat Customer"/>
  </r>
  <r>
    <n v="11127"/>
    <s v="CUST378"/>
    <d v="2025-10-01T00:00:00"/>
    <s v="Home"/>
    <s v="West"/>
    <n v="10"/>
    <n v="327.76"/>
    <n v="3277.6"/>
    <x v="1"/>
    <s v="Repeat Customer"/>
  </r>
  <r>
    <n v="11128"/>
    <s v="CUST254"/>
    <d v="2024-03-27T00:00:00"/>
    <s v="Beauty"/>
    <s v="South"/>
    <n v="1"/>
    <n v="271.02999999999997"/>
    <n v="271.02999999999997"/>
    <x v="2"/>
    <s v="Repeat Customer"/>
  </r>
  <r>
    <n v="11129"/>
    <s v="CUST209"/>
    <d v="2024-04-05T00:00:00"/>
    <s v="Sports"/>
    <s v="East"/>
    <n v="9"/>
    <n v="278.13"/>
    <n v="2503.17"/>
    <x v="1"/>
    <s v="Repeat Customer"/>
  </r>
  <r>
    <n v="11130"/>
    <s v="CUST111"/>
    <d v="2024-01-29T00:00:00"/>
    <s v="Fashion"/>
    <s v="East"/>
    <n v="9"/>
    <n v="298.29000000000002"/>
    <n v="2684.61"/>
    <x v="3"/>
    <s v="Repeat Customer"/>
  </r>
  <r>
    <n v="11131"/>
    <s v="CUST358"/>
    <d v="2024-04-23T00:00:00"/>
    <s v="Home"/>
    <s v="East"/>
    <n v="1"/>
    <n v="421.58"/>
    <n v="421.58"/>
    <x v="0"/>
    <s v="Repeat Customer"/>
  </r>
  <r>
    <n v="11132"/>
    <s v="CUST124"/>
    <d v="2025-10-28T00:00:00"/>
    <s v="Sports"/>
    <s v="North"/>
    <n v="2"/>
    <n v="227.12"/>
    <n v="454.24"/>
    <x v="3"/>
    <s v="Repeat Customer"/>
  </r>
  <r>
    <n v="11133"/>
    <s v="CUST273"/>
    <d v="2024-08-29T00:00:00"/>
    <s v="Sports"/>
    <s v="South"/>
    <n v="10"/>
    <n v="284.97000000000003"/>
    <n v="2849.7"/>
    <x v="2"/>
    <s v="Repeat Customer"/>
  </r>
  <r>
    <n v="11134"/>
    <s v="CUST253"/>
    <d v="2024-10-18T00:00:00"/>
    <s v="Beauty"/>
    <s v="South"/>
    <n v="10"/>
    <n v="337.85"/>
    <n v="3378.5"/>
    <x v="0"/>
    <s v="Repeat Customer"/>
  </r>
  <r>
    <n v="11135"/>
    <s v="CUST267"/>
    <d v="2025-06-12T00:00:00"/>
    <s v="Home"/>
    <s v="West"/>
    <n v="10"/>
    <n v="100.31"/>
    <n v="1003.1"/>
    <x v="0"/>
    <s v="Repeat Customer"/>
  </r>
  <r>
    <n v="11136"/>
    <s v="CUST175"/>
    <d v="2025-12-29T00:00:00"/>
    <s v="Electronics"/>
    <s v="North"/>
    <n v="7"/>
    <n v="415.08"/>
    <n v="2905.56"/>
    <x v="0"/>
    <s v="Repeat Customer"/>
  </r>
  <r>
    <n v="11137"/>
    <s v="CUST317"/>
    <d v="2024-05-13T00:00:00"/>
    <s v="Electronics"/>
    <s v="East"/>
    <n v="8"/>
    <n v="111.32"/>
    <n v="890.56"/>
    <x v="3"/>
    <s v="Repeat Customer"/>
  </r>
  <r>
    <n v="11138"/>
    <s v="CUST386"/>
    <d v="2025-06-15T00:00:00"/>
    <s v="Sports"/>
    <s v="West"/>
    <n v="7"/>
    <n v="436.65"/>
    <n v="3056.55"/>
    <x v="3"/>
    <s v="Repeat Customer"/>
  </r>
  <r>
    <n v="11139"/>
    <s v="CUST325"/>
    <d v="2025-12-06T00:00:00"/>
    <s v="Beauty"/>
    <s v="South"/>
    <n v="8"/>
    <n v="367.2"/>
    <n v="2937.6"/>
    <x v="1"/>
    <s v="Repeat Customer"/>
  </r>
  <r>
    <n v="11140"/>
    <s v="CUST358"/>
    <d v="2024-05-10T00:00:00"/>
    <s v="Fashion"/>
    <s v="North"/>
    <n v="8"/>
    <n v="357.02"/>
    <n v="2856.16"/>
    <x v="1"/>
    <s v="Repeat Customer"/>
  </r>
  <r>
    <n v="11141"/>
    <s v="CUST333"/>
    <d v="2025-04-29T00:00:00"/>
    <s v="Sports"/>
    <s v="East"/>
    <n v="1"/>
    <n v="374.52"/>
    <n v="374.52"/>
    <x v="0"/>
    <s v="Repeat Customer"/>
  </r>
  <r>
    <n v="11142"/>
    <s v="CUST309"/>
    <d v="2024-04-22T00:00:00"/>
    <s v="Home"/>
    <s v="North"/>
    <n v="2"/>
    <n v="187.95"/>
    <n v="375.9"/>
    <x v="1"/>
    <s v="Repeat Customer"/>
  </r>
  <r>
    <n v="11143"/>
    <s v="CUST160"/>
    <d v="2025-01-15T00:00:00"/>
    <s v="Home"/>
    <s v="East"/>
    <n v="5"/>
    <n v="495.55"/>
    <n v="2477.75"/>
    <x v="3"/>
    <s v="Repeat Customer"/>
  </r>
  <r>
    <n v="11144"/>
    <s v="CUST114"/>
    <d v="2024-05-26T00:00:00"/>
    <s v="Beauty"/>
    <s v="North"/>
    <n v="3"/>
    <n v="392.98"/>
    <n v="1178.94"/>
    <x v="2"/>
    <s v="Repeat Customer"/>
  </r>
  <r>
    <n v="11145"/>
    <s v="CUST245"/>
    <d v="2024-08-08T00:00:00"/>
    <s v="Beauty"/>
    <s v="North"/>
    <n v="3"/>
    <n v="410.47"/>
    <n v="1231.4100000000001"/>
    <x v="0"/>
    <s v="Repeat Customer"/>
  </r>
  <r>
    <n v="11146"/>
    <s v="CUST380"/>
    <d v="2024-12-23T00:00:00"/>
    <s v="Beauty"/>
    <s v="West"/>
    <n v="2"/>
    <n v="435.86"/>
    <n v="871.72"/>
    <x v="2"/>
    <s v="New Customer"/>
  </r>
  <r>
    <n v="11147"/>
    <s v="CUST389"/>
    <d v="2025-04-08T00:00:00"/>
    <s v="Beauty"/>
    <s v="South"/>
    <n v="6"/>
    <n v="391.77"/>
    <n v="2350.62"/>
    <x v="1"/>
    <s v="Repeat Customer"/>
  </r>
  <r>
    <n v="11148"/>
    <s v="CUST358"/>
    <d v="2025-10-13T00:00:00"/>
    <s v="Beauty"/>
    <s v="South"/>
    <n v="8"/>
    <n v="382.03"/>
    <n v="3056.24"/>
    <x v="2"/>
    <s v="Repeat Customer"/>
  </r>
  <r>
    <n v="11149"/>
    <s v="CUST145"/>
    <d v="2025-10-01T00:00:00"/>
    <s v="Fashion"/>
    <s v="West"/>
    <n v="10"/>
    <n v="207.77"/>
    <n v="2077.6999999999998"/>
    <x v="2"/>
    <s v="Repeat Customer"/>
  </r>
  <r>
    <n v="11150"/>
    <s v="CUST376"/>
    <d v="2024-02-16T00:00:00"/>
    <s v="Electronics"/>
    <s v="South"/>
    <n v="8"/>
    <n v="369.28"/>
    <n v="2954.24"/>
    <x v="0"/>
    <s v="Repeat Customer"/>
  </r>
  <r>
    <n v="11151"/>
    <s v="CUST392"/>
    <d v="2025-10-07T00:00:00"/>
    <s v="Electronics"/>
    <s v="North"/>
    <n v="5"/>
    <n v="282.72000000000003"/>
    <n v="1413.6"/>
    <x v="1"/>
    <s v="Repeat Customer"/>
  </r>
  <r>
    <n v="11152"/>
    <s v="CUST377"/>
    <d v="2025-08-13T00:00:00"/>
    <s v="Sports"/>
    <s v="South"/>
    <n v="1"/>
    <n v="478.86"/>
    <n v="478.86"/>
    <x v="3"/>
    <s v="Repeat Customer"/>
  </r>
  <r>
    <n v="11153"/>
    <s v="CUST357"/>
    <d v="2024-01-20T00:00:00"/>
    <s v="Sports"/>
    <s v="South"/>
    <n v="2"/>
    <n v="330.84"/>
    <n v="661.68"/>
    <x v="0"/>
    <s v="Repeat Customer"/>
  </r>
  <r>
    <n v="11154"/>
    <s v="CUST240"/>
    <d v="2024-07-29T00:00:00"/>
    <s v="Sports"/>
    <s v="West"/>
    <n v="4"/>
    <n v="415.7"/>
    <n v="1662.8"/>
    <x v="0"/>
    <s v="Repeat Customer"/>
  </r>
  <r>
    <n v="11155"/>
    <s v="CUST373"/>
    <d v="2025-09-13T00:00:00"/>
    <s v="Electronics"/>
    <s v="West"/>
    <n v="6"/>
    <n v="203.89"/>
    <n v="1223.3399999999999"/>
    <x v="0"/>
    <s v="Repeat Customer"/>
  </r>
  <r>
    <n v="11156"/>
    <s v="CUST274"/>
    <d v="2025-03-23T00:00:00"/>
    <s v="Sports"/>
    <s v="East"/>
    <n v="3"/>
    <n v="210.39"/>
    <n v="631.16999999999996"/>
    <x v="3"/>
    <s v="Repeat Customer"/>
  </r>
  <r>
    <n v="11157"/>
    <s v="CUST231"/>
    <d v="2024-04-03T00:00:00"/>
    <s v="Sports"/>
    <s v="South"/>
    <n v="2"/>
    <n v="489.99"/>
    <n v="979.98"/>
    <x v="2"/>
    <s v="Repeat Customer"/>
  </r>
  <r>
    <n v="11158"/>
    <s v="CUST173"/>
    <d v="2024-07-06T00:00:00"/>
    <s v="Fashion"/>
    <s v="East"/>
    <n v="5"/>
    <n v="385.31"/>
    <n v="1926.55"/>
    <x v="3"/>
    <s v="Repeat Customer"/>
  </r>
  <r>
    <n v="11159"/>
    <s v="CUST186"/>
    <d v="2024-03-01T00:00:00"/>
    <s v="Fashion"/>
    <s v="North"/>
    <n v="10"/>
    <n v="480.76"/>
    <n v="4807.6000000000004"/>
    <x v="0"/>
    <s v="Repeat Customer"/>
  </r>
  <r>
    <n v="11160"/>
    <s v="CUST252"/>
    <d v="2025-02-03T00:00:00"/>
    <s v="Beauty"/>
    <s v="East"/>
    <n v="2"/>
    <n v="163.41999999999999"/>
    <n v="326.83999999999997"/>
    <x v="2"/>
    <s v="Repeat Customer"/>
  </r>
  <r>
    <n v="11161"/>
    <s v="CUST292"/>
    <d v="2024-05-03T00:00:00"/>
    <s v="Sports"/>
    <s v="South"/>
    <n v="1"/>
    <n v="105.27"/>
    <n v="105.27"/>
    <x v="3"/>
    <s v="Repeat Customer"/>
  </r>
  <r>
    <n v="11162"/>
    <s v="CUST360"/>
    <d v="2025-05-31T00:00:00"/>
    <s v="Home"/>
    <s v="North"/>
    <n v="7"/>
    <n v="474.93"/>
    <n v="3324.51"/>
    <x v="2"/>
    <s v="Repeat Customer"/>
  </r>
  <r>
    <n v="11163"/>
    <s v="CUST337"/>
    <d v="2025-07-20T00:00:00"/>
    <s v="Electronics"/>
    <s v="West"/>
    <n v="7"/>
    <n v="37.4"/>
    <n v="261.8"/>
    <x v="1"/>
    <s v="Repeat Customer"/>
  </r>
  <r>
    <n v="11164"/>
    <s v="CUST109"/>
    <d v="2024-10-02T00:00:00"/>
    <s v="Electronics"/>
    <s v="South"/>
    <n v="9"/>
    <n v="481.92"/>
    <n v="4337.28"/>
    <x v="1"/>
    <s v="Repeat Customer"/>
  </r>
  <r>
    <n v="11165"/>
    <s v="CUST255"/>
    <d v="2025-08-04T00:00:00"/>
    <s v="Sports"/>
    <s v="South"/>
    <n v="7"/>
    <n v="225.76"/>
    <n v="1580.32"/>
    <x v="1"/>
    <s v="Repeat Customer"/>
  </r>
  <r>
    <n v="11166"/>
    <s v="CUST291"/>
    <d v="2025-07-07T00:00:00"/>
    <s v="Sports"/>
    <s v="West"/>
    <n v="3"/>
    <n v="392.1"/>
    <n v="1176.3"/>
    <x v="3"/>
    <s v="Repeat Customer"/>
  </r>
  <r>
    <n v="11167"/>
    <s v="CUST121"/>
    <d v="2024-01-02T00:00:00"/>
    <s v="Sports"/>
    <s v="East"/>
    <n v="8"/>
    <n v="480.75"/>
    <n v="3846"/>
    <x v="1"/>
    <s v="Repeat Customer"/>
  </r>
  <r>
    <n v="11168"/>
    <s v="CUST100"/>
    <d v="2024-03-02T00:00:00"/>
    <s v="Home"/>
    <s v="West"/>
    <n v="8"/>
    <n v="140.28"/>
    <n v="1122.24"/>
    <x v="2"/>
    <s v="Repeat Customer"/>
  </r>
  <r>
    <n v="11169"/>
    <s v="CUST208"/>
    <d v="2025-08-22T00:00:00"/>
    <s v="Fashion"/>
    <s v="North"/>
    <n v="9"/>
    <n v="144.25"/>
    <n v="1298.25"/>
    <x v="2"/>
    <s v="Repeat Customer"/>
  </r>
  <r>
    <n v="11170"/>
    <s v="CUST145"/>
    <d v="2025-02-08T00:00:00"/>
    <s v="Sports"/>
    <s v="East"/>
    <n v="2"/>
    <n v="416.1"/>
    <n v="832.2"/>
    <x v="3"/>
    <s v="Repeat Customer"/>
  </r>
  <r>
    <n v="11171"/>
    <s v="CUST207"/>
    <d v="2025-09-17T00:00:00"/>
    <s v="Home"/>
    <s v="East"/>
    <n v="9"/>
    <n v="478.92"/>
    <n v="4310.28"/>
    <x v="2"/>
    <s v="Repeat Customer"/>
  </r>
  <r>
    <n v="11172"/>
    <s v="CUST331"/>
    <d v="2024-10-06T00:00:00"/>
    <s v="Home"/>
    <s v="East"/>
    <n v="4"/>
    <n v="332.83"/>
    <n v="1331.32"/>
    <x v="1"/>
    <s v="Repeat Customer"/>
  </r>
  <r>
    <n v="11173"/>
    <s v="CUST335"/>
    <d v="2025-09-05T00:00:00"/>
    <s v="Fashion"/>
    <s v="North"/>
    <n v="6"/>
    <n v="12.86"/>
    <n v="77.16"/>
    <x v="3"/>
    <s v="Repeat Customer"/>
  </r>
  <r>
    <n v="11174"/>
    <s v="CUST102"/>
    <d v="2024-01-10T00:00:00"/>
    <s v="Beauty"/>
    <s v="West"/>
    <n v="3"/>
    <n v="209.52"/>
    <n v="628.55999999999995"/>
    <x v="0"/>
    <s v="Repeat Customer"/>
  </r>
  <r>
    <n v="11175"/>
    <s v="CUST139"/>
    <d v="2025-07-05T00:00:00"/>
    <s v="Beauty"/>
    <s v="North"/>
    <n v="1"/>
    <n v="446.82"/>
    <n v="446.82"/>
    <x v="2"/>
    <s v="Repeat Customer"/>
  </r>
  <r>
    <n v="11176"/>
    <s v="CUST292"/>
    <d v="2025-09-07T00:00:00"/>
    <s v="Electronics"/>
    <s v="North"/>
    <n v="6"/>
    <n v="196.44"/>
    <n v="1178.6400000000001"/>
    <x v="3"/>
    <s v="Repeat Customer"/>
  </r>
  <r>
    <n v="11177"/>
    <s v="CUST289"/>
    <d v="2024-07-16T00:00:00"/>
    <s v="Electronics"/>
    <s v="East"/>
    <n v="8"/>
    <n v="9.6300000000000008"/>
    <n v="77.040000000000006"/>
    <x v="2"/>
    <s v="Repeat Customer"/>
  </r>
  <r>
    <n v="11178"/>
    <s v="CUST198"/>
    <d v="2024-04-02T00:00:00"/>
    <s v="Fashion"/>
    <s v="South"/>
    <n v="10"/>
    <n v="314.49"/>
    <n v="3144.9"/>
    <x v="3"/>
    <s v="Repeat Customer"/>
  </r>
  <r>
    <n v="11179"/>
    <s v="CUST285"/>
    <d v="2024-02-07T00:00:00"/>
    <s v="Sports"/>
    <s v="South"/>
    <n v="5"/>
    <n v="248.95"/>
    <n v="1244.75"/>
    <x v="0"/>
    <s v="Repeat Customer"/>
  </r>
  <r>
    <n v="11180"/>
    <s v="CUST200"/>
    <d v="2025-10-15T00:00:00"/>
    <s v="Home"/>
    <s v="West"/>
    <n v="7"/>
    <n v="59.92"/>
    <n v="419.44"/>
    <x v="1"/>
    <s v="Repeat Customer"/>
  </r>
  <r>
    <n v="11181"/>
    <s v="CUST382"/>
    <d v="2024-07-17T00:00:00"/>
    <s v="Sports"/>
    <s v="South"/>
    <n v="10"/>
    <n v="337.73"/>
    <n v="3377.3"/>
    <x v="0"/>
    <s v="Repeat Customer"/>
  </r>
  <r>
    <n v="11182"/>
    <s v="CUST165"/>
    <d v="2024-03-07T00:00:00"/>
    <s v="Sports"/>
    <s v="South"/>
    <n v="3"/>
    <n v="133.51"/>
    <n v="400.53"/>
    <x v="2"/>
    <s v="Repeat Customer"/>
  </r>
  <r>
    <n v="11183"/>
    <s v="CUST198"/>
    <d v="2025-11-25T00:00:00"/>
    <s v="Sports"/>
    <s v="East"/>
    <n v="1"/>
    <n v="496.02"/>
    <n v="496.02"/>
    <x v="3"/>
    <s v="Repeat Customer"/>
  </r>
  <r>
    <n v="11184"/>
    <s v="CUST101"/>
    <d v="2025-03-13T00:00:00"/>
    <s v="Home"/>
    <s v="West"/>
    <n v="1"/>
    <n v="427.66"/>
    <n v="427.66"/>
    <x v="3"/>
    <s v="Repeat Customer"/>
  </r>
  <r>
    <n v="11185"/>
    <s v="CUST240"/>
    <d v="2024-05-04T00:00:00"/>
    <s v="Home"/>
    <s v="North"/>
    <n v="9"/>
    <n v="235.96"/>
    <n v="2123.64"/>
    <x v="1"/>
    <s v="Repeat Customer"/>
  </r>
  <r>
    <n v="11186"/>
    <s v="CUST124"/>
    <d v="2024-10-11T00:00:00"/>
    <s v="Home"/>
    <s v="North"/>
    <n v="7"/>
    <n v="268.54000000000002"/>
    <n v="1879.78"/>
    <x v="3"/>
    <s v="Repeat Customer"/>
  </r>
  <r>
    <n v="11187"/>
    <s v="CUST199"/>
    <d v="2024-12-08T00:00:00"/>
    <s v="Electronics"/>
    <s v="South"/>
    <n v="2"/>
    <n v="440.65"/>
    <n v="881.3"/>
    <x v="3"/>
    <s v="Repeat Customer"/>
  </r>
  <r>
    <n v="11188"/>
    <s v="CUST138"/>
    <d v="2024-09-12T00:00:00"/>
    <s v="Home"/>
    <s v="North"/>
    <n v="4"/>
    <n v="86.42"/>
    <n v="345.68"/>
    <x v="0"/>
    <s v="New Customer"/>
  </r>
  <r>
    <n v="11189"/>
    <s v="CUST114"/>
    <d v="2025-05-06T00:00:00"/>
    <s v="Sports"/>
    <s v="East"/>
    <n v="7"/>
    <n v="404.99"/>
    <n v="2834.93"/>
    <x v="2"/>
    <s v="Repeat Customer"/>
  </r>
  <r>
    <n v="11190"/>
    <s v="CUST226"/>
    <d v="2024-04-20T00:00:00"/>
    <s v="Home"/>
    <s v="North"/>
    <n v="8"/>
    <n v="122.99"/>
    <n v="983.92"/>
    <x v="2"/>
    <s v="Repeat Customer"/>
  </r>
  <r>
    <n v="11191"/>
    <s v="CUST366"/>
    <d v="2024-08-30T00:00:00"/>
    <s v="Sports"/>
    <s v="West"/>
    <n v="2"/>
    <n v="389"/>
    <n v="778"/>
    <x v="0"/>
    <s v="Repeat Customer"/>
  </r>
  <r>
    <n v="11192"/>
    <s v="CUST328"/>
    <d v="2025-08-15T00:00:00"/>
    <s v="Electronics"/>
    <s v="North"/>
    <n v="2"/>
    <n v="47.34"/>
    <n v="94.68"/>
    <x v="3"/>
    <s v="Repeat Customer"/>
  </r>
  <r>
    <n v="11193"/>
    <s v="CUST260"/>
    <d v="2025-12-11T00:00:00"/>
    <s v="Electronics"/>
    <s v="West"/>
    <n v="2"/>
    <n v="392.41"/>
    <n v="784.82"/>
    <x v="0"/>
    <s v="Repeat Customer"/>
  </r>
  <r>
    <n v="11194"/>
    <s v="CUST254"/>
    <d v="2025-09-17T00:00:00"/>
    <s v="Electronics"/>
    <s v="North"/>
    <n v="7"/>
    <n v="37.57"/>
    <n v="262.99"/>
    <x v="2"/>
    <s v="Repeat Customer"/>
  </r>
  <r>
    <n v="11195"/>
    <s v="CUST295"/>
    <d v="2025-02-15T00:00:00"/>
    <s v="Beauty"/>
    <s v="South"/>
    <n v="2"/>
    <n v="310.56"/>
    <n v="621.12"/>
    <x v="0"/>
    <s v="Repeat Customer"/>
  </r>
  <r>
    <n v="11196"/>
    <s v="CUST332"/>
    <d v="2025-01-28T00:00:00"/>
    <s v="Sports"/>
    <s v="North"/>
    <n v="8"/>
    <n v="398.61"/>
    <n v="3188.88"/>
    <x v="2"/>
    <s v="Repeat Customer"/>
  </r>
  <r>
    <n v="11197"/>
    <s v="CUST113"/>
    <d v="2025-04-09T00:00:00"/>
    <s v="Fashion"/>
    <s v="North"/>
    <n v="9"/>
    <n v="167.46"/>
    <n v="1507.14"/>
    <x v="0"/>
    <s v="Repeat Customer"/>
  </r>
  <r>
    <n v="11198"/>
    <s v="CUST106"/>
    <d v="2025-09-01T00:00:00"/>
    <s v="Fashion"/>
    <s v="South"/>
    <n v="2"/>
    <n v="298.48"/>
    <n v="596.96"/>
    <x v="2"/>
    <s v="Repeat Customer"/>
  </r>
  <r>
    <n v="11199"/>
    <s v="CUST281"/>
    <d v="2025-03-07T00:00:00"/>
    <s v="Beauty"/>
    <s v="South"/>
    <n v="8"/>
    <n v="363.69"/>
    <n v="2909.52"/>
    <x v="1"/>
    <s v="Repeat Customer"/>
  </r>
  <r>
    <n v="11200"/>
    <s v="CUST170"/>
    <d v="2024-02-15T00:00:00"/>
    <s v="Sports"/>
    <s v="West"/>
    <n v="1"/>
    <n v="68.2"/>
    <n v="68.2"/>
    <x v="2"/>
    <s v="Repeat Customer"/>
  </r>
  <r>
    <n v="11201"/>
    <s v="CUST259"/>
    <d v="2025-08-20T00:00:00"/>
    <s v="Fashion"/>
    <s v="West"/>
    <n v="9"/>
    <n v="388.87"/>
    <n v="3499.83"/>
    <x v="2"/>
    <s v="Repeat Customer"/>
  </r>
  <r>
    <n v="11202"/>
    <s v="CUST275"/>
    <d v="2024-10-25T00:00:00"/>
    <s v="Sports"/>
    <s v="South"/>
    <n v="6"/>
    <n v="485.28"/>
    <n v="2911.68"/>
    <x v="0"/>
    <s v="Repeat Customer"/>
  </r>
  <r>
    <n v="11203"/>
    <s v="CUST221"/>
    <d v="2025-06-03T00:00:00"/>
    <s v="Beauty"/>
    <s v="East"/>
    <n v="9"/>
    <n v="430.06"/>
    <n v="3870.54"/>
    <x v="1"/>
    <s v="Repeat Customer"/>
  </r>
  <r>
    <n v="11204"/>
    <s v="CUST202"/>
    <d v="2025-10-17T00:00:00"/>
    <s v="Home"/>
    <s v="South"/>
    <n v="4"/>
    <n v="393.71"/>
    <n v="1574.84"/>
    <x v="3"/>
    <s v="Repeat Customer"/>
  </r>
  <r>
    <n v="11205"/>
    <s v="CUST339"/>
    <d v="2025-09-06T00:00:00"/>
    <s v="Sports"/>
    <s v="East"/>
    <n v="6"/>
    <n v="426.74"/>
    <n v="2560.44"/>
    <x v="2"/>
    <s v="Repeat Customer"/>
  </r>
  <r>
    <n v="11206"/>
    <s v="CUST314"/>
    <d v="2024-12-02T00:00:00"/>
    <s v="Electronics"/>
    <s v="West"/>
    <n v="3"/>
    <n v="56.9"/>
    <n v="170.7"/>
    <x v="1"/>
    <s v="Repeat Customer"/>
  </r>
  <r>
    <n v="11207"/>
    <s v="CUST101"/>
    <d v="2025-10-16T00:00:00"/>
    <s v="Beauty"/>
    <s v="South"/>
    <n v="4"/>
    <n v="348.14"/>
    <n v="1392.56"/>
    <x v="1"/>
    <s v="Repeat Customer"/>
  </r>
  <r>
    <n v="11208"/>
    <s v="CUST346"/>
    <d v="2024-12-05T00:00:00"/>
    <s v="Fashion"/>
    <s v="North"/>
    <n v="7"/>
    <n v="106.63"/>
    <n v="746.41"/>
    <x v="2"/>
    <s v="Repeat Customer"/>
  </r>
  <r>
    <n v="11209"/>
    <s v="CUST105"/>
    <d v="2024-03-16T00:00:00"/>
    <s v="Electronics"/>
    <s v="South"/>
    <n v="6"/>
    <n v="19.86"/>
    <n v="119.16"/>
    <x v="2"/>
    <s v="Repeat Customer"/>
  </r>
  <r>
    <n v="11210"/>
    <s v="CUST325"/>
    <d v="2024-07-18T00:00:00"/>
    <s v="Home"/>
    <s v="North"/>
    <n v="10"/>
    <n v="456.79"/>
    <n v="4567.8999999999996"/>
    <x v="0"/>
    <s v="Repeat Customer"/>
  </r>
  <r>
    <n v="11211"/>
    <s v="CUST201"/>
    <d v="2024-07-21T00:00:00"/>
    <s v="Home"/>
    <s v="South"/>
    <n v="5"/>
    <n v="91.2"/>
    <n v="456"/>
    <x v="2"/>
    <s v="Repeat Customer"/>
  </r>
  <r>
    <n v="11212"/>
    <s v="CUST383"/>
    <d v="2024-09-08T00:00:00"/>
    <s v="Fashion"/>
    <s v="East"/>
    <n v="3"/>
    <n v="102.01"/>
    <n v="306.02999999999997"/>
    <x v="0"/>
    <s v="Repeat Customer"/>
  </r>
  <r>
    <n v="11213"/>
    <s v="CUST110"/>
    <d v="2025-11-24T00:00:00"/>
    <s v="Electronics"/>
    <s v="East"/>
    <n v="3"/>
    <n v="192.57"/>
    <n v="577.71"/>
    <x v="1"/>
    <s v="Repeat Customer"/>
  </r>
  <r>
    <n v="11214"/>
    <s v="CUST256"/>
    <d v="2025-04-12T00:00:00"/>
    <s v="Home"/>
    <s v="South"/>
    <n v="4"/>
    <n v="187.97"/>
    <n v="751.88"/>
    <x v="3"/>
    <s v="Repeat Customer"/>
  </r>
  <r>
    <n v="11215"/>
    <s v="CUST133"/>
    <d v="2024-05-01T00:00:00"/>
    <s v="Fashion"/>
    <s v="South"/>
    <n v="3"/>
    <n v="441.95"/>
    <n v="1325.85"/>
    <x v="1"/>
    <s v="Repeat Customer"/>
  </r>
  <r>
    <n v="11216"/>
    <s v="CUST372"/>
    <d v="2025-01-22T00:00:00"/>
    <s v="Beauty"/>
    <s v="South"/>
    <n v="6"/>
    <n v="162.38999999999999"/>
    <n v="974.34"/>
    <x v="0"/>
    <s v="Repeat Customer"/>
  </r>
  <r>
    <n v="11217"/>
    <s v="CUST196"/>
    <d v="2025-07-02T00:00:00"/>
    <s v="Home"/>
    <s v="South"/>
    <n v="5"/>
    <n v="395.85"/>
    <n v="1979.25"/>
    <x v="0"/>
    <s v="Repeat Customer"/>
  </r>
  <r>
    <n v="11218"/>
    <s v="CUST243"/>
    <d v="2024-05-09T00:00:00"/>
    <s v="Beauty"/>
    <s v="South"/>
    <n v="9"/>
    <n v="484.35"/>
    <n v="4359.1499999999996"/>
    <x v="0"/>
    <s v="Repeat Customer"/>
  </r>
  <r>
    <n v="11219"/>
    <s v="CUST340"/>
    <d v="2025-11-10T00:00:00"/>
    <s v="Sports"/>
    <s v="West"/>
    <n v="10"/>
    <n v="37.11"/>
    <n v="371.1"/>
    <x v="2"/>
    <s v="Repeat Customer"/>
  </r>
  <r>
    <n v="11220"/>
    <s v="CUST355"/>
    <d v="2025-06-15T00:00:00"/>
    <s v="Home"/>
    <s v="West"/>
    <n v="8"/>
    <n v="93.6"/>
    <n v="748.8"/>
    <x v="3"/>
    <s v="Repeat Customer"/>
  </r>
  <r>
    <n v="11221"/>
    <s v="CUST342"/>
    <d v="2024-10-01T00:00:00"/>
    <s v="Sports"/>
    <s v="North"/>
    <n v="10"/>
    <n v="203.47"/>
    <n v="2034.7"/>
    <x v="1"/>
    <s v="Repeat Customer"/>
  </r>
  <r>
    <n v="11222"/>
    <s v="CUST212"/>
    <d v="2024-07-26T00:00:00"/>
    <s v="Beauty"/>
    <s v="South"/>
    <n v="8"/>
    <n v="432.27"/>
    <n v="3458.16"/>
    <x v="2"/>
    <s v="Repeat Customer"/>
  </r>
  <r>
    <n v="11223"/>
    <s v="CUST317"/>
    <d v="2025-01-21T00:00:00"/>
    <s v="Home"/>
    <s v="East"/>
    <n v="10"/>
    <n v="82.82"/>
    <n v="828.2"/>
    <x v="0"/>
    <s v="Repeat Customer"/>
  </r>
  <r>
    <n v="11224"/>
    <s v="CUST168"/>
    <d v="2024-03-27T00:00:00"/>
    <s v="Home"/>
    <s v="South"/>
    <n v="5"/>
    <n v="225.03"/>
    <n v="1125.1500000000001"/>
    <x v="0"/>
    <s v="Repeat Customer"/>
  </r>
  <r>
    <n v="11225"/>
    <s v="CUST338"/>
    <d v="2025-06-08T00:00:00"/>
    <s v="Beauty"/>
    <s v="West"/>
    <n v="10"/>
    <n v="171.51"/>
    <n v="1715.1"/>
    <x v="3"/>
    <s v="Repeat Customer"/>
  </r>
  <r>
    <n v="11226"/>
    <s v="CUST309"/>
    <d v="2025-01-11T00:00:00"/>
    <s v="Beauty"/>
    <s v="North"/>
    <n v="8"/>
    <n v="161.93"/>
    <n v="1295.44"/>
    <x v="1"/>
    <s v="Repeat Customer"/>
  </r>
  <r>
    <n v="11227"/>
    <s v="CUST326"/>
    <d v="2024-08-27T00:00:00"/>
    <s v="Home"/>
    <s v="North"/>
    <n v="5"/>
    <n v="324.45"/>
    <n v="1622.25"/>
    <x v="2"/>
    <s v="Repeat Customer"/>
  </r>
  <r>
    <n v="11228"/>
    <s v="CUST356"/>
    <d v="2025-06-09T00:00:00"/>
    <s v="Home"/>
    <s v="South"/>
    <n v="9"/>
    <n v="323.61"/>
    <n v="2912.49"/>
    <x v="0"/>
    <s v="Repeat Customer"/>
  </r>
  <r>
    <n v="11229"/>
    <s v="CUST160"/>
    <d v="2024-03-14T00:00:00"/>
    <s v="Fashion"/>
    <s v="East"/>
    <n v="6"/>
    <n v="23.95"/>
    <n v="143.69999999999999"/>
    <x v="1"/>
    <s v="Repeat Customer"/>
  </r>
  <r>
    <n v="11230"/>
    <s v="CUST268"/>
    <d v="2024-09-13T00:00:00"/>
    <s v="Home"/>
    <s v="South"/>
    <n v="5"/>
    <n v="373.88"/>
    <n v="1869.4"/>
    <x v="1"/>
    <s v="Repeat Customer"/>
  </r>
  <r>
    <n v="11231"/>
    <s v="CUST378"/>
    <d v="2024-09-24T00:00:00"/>
    <s v="Home"/>
    <s v="East"/>
    <n v="1"/>
    <n v="386.19"/>
    <n v="386.19"/>
    <x v="3"/>
    <s v="Repeat Customer"/>
  </r>
  <r>
    <n v="11232"/>
    <s v="CUST307"/>
    <d v="2025-08-16T00:00:00"/>
    <s v="Sports"/>
    <s v="South"/>
    <n v="1"/>
    <n v="238.64"/>
    <n v="238.64"/>
    <x v="3"/>
    <s v="Repeat Customer"/>
  </r>
  <r>
    <n v="11233"/>
    <s v="CUST216"/>
    <d v="2024-08-20T00:00:00"/>
    <s v="Sports"/>
    <s v="West"/>
    <n v="4"/>
    <n v="239.85"/>
    <n v="959.4"/>
    <x v="3"/>
    <s v="Repeat Customer"/>
  </r>
  <r>
    <n v="11234"/>
    <s v="CUST274"/>
    <d v="2024-03-28T00:00:00"/>
    <s v="Beauty"/>
    <s v="West"/>
    <n v="6"/>
    <n v="423.67"/>
    <n v="2542.02"/>
    <x v="1"/>
    <s v="Repeat Customer"/>
  </r>
  <r>
    <n v="11235"/>
    <s v="CUST324"/>
    <d v="2025-04-05T00:00:00"/>
    <s v="Fashion"/>
    <s v="South"/>
    <n v="9"/>
    <n v="19.899999999999999"/>
    <n v="179.1"/>
    <x v="2"/>
    <s v="Repeat Customer"/>
  </r>
  <r>
    <n v="11236"/>
    <s v="CUST104"/>
    <d v="2025-05-26T00:00:00"/>
    <s v="Beauty"/>
    <s v="West"/>
    <n v="6"/>
    <n v="173.21"/>
    <n v="1039.26"/>
    <x v="3"/>
    <s v="Repeat Customer"/>
  </r>
  <r>
    <n v="11237"/>
    <s v="CUST375"/>
    <d v="2024-11-02T00:00:00"/>
    <s v="Sports"/>
    <s v="North"/>
    <n v="6"/>
    <n v="295.54000000000002"/>
    <n v="1773.24"/>
    <x v="1"/>
    <s v="Repeat Customer"/>
  </r>
  <r>
    <n v="11238"/>
    <s v="CUST178"/>
    <d v="2024-12-04T00:00:00"/>
    <s v="Sports"/>
    <s v="West"/>
    <n v="10"/>
    <n v="316.77"/>
    <n v="3167.7"/>
    <x v="3"/>
    <s v="Repeat Customer"/>
  </r>
  <r>
    <n v="11239"/>
    <s v="CUST204"/>
    <d v="2025-02-04T00:00:00"/>
    <s v="Fashion"/>
    <s v="West"/>
    <n v="2"/>
    <n v="269.57"/>
    <n v="539.14"/>
    <x v="0"/>
    <s v="Repeat Customer"/>
  </r>
  <r>
    <n v="11240"/>
    <s v="CUST268"/>
    <d v="2025-08-06T00:00:00"/>
    <s v="Home"/>
    <s v="North"/>
    <n v="8"/>
    <n v="321.31"/>
    <n v="2570.48"/>
    <x v="1"/>
    <s v="Repeat Customer"/>
  </r>
  <r>
    <n v="11241"/>
    <s v="CUST153"/>
    <d v="2025-11-22T00:00:00"/>
    <s v="Sports"/>
    <s v="West"/>
    <n v="9"/>
    <n v="92.93"/>
    <n v="836.37"/>
    <x v="0"/>
    <s v="Repeat Customer"/>
  </r>
  <r>
    <n v="11242"/>
    <s v="CUST195"/>
    <d v="2024-07-22T00:00:00"/>
    <s v="Beauty"/>
    <s v="East"/>
    <n v="2"/>
    <n v="456.12"/>
    <n v="912.24"/>
    <x v="1"/>
    <s v="Repeat Customer"/>
  </r>
  <r>
    <n v="11243"/>
    <s v="CUST219"/>
    <d v="2024-10-25T00:00:00"/>
    <s v="Electronics"/>
    <s v="East"/>
    <n v="9"/>
    <n v="39.64"/>
    <n v="356.76"/>
    <x v="0"/>
    <s v="Repeat Customer"/>
  </r>
  <r>
    <n v="11244"/>
    <s v="CUST187"/>
    <d v="2024-11-30T00:00:00"/>
    <s v="Electronics"/>
    <s v="South"/>
    <n v="7"/>
    <n v="198.6"/>
    <n v="1390.2"/>
    <x v="3"/>
    <s v="Repeat Customer"/>
  </r>
  <r>
    <n v="11245"/>
    <s v="CUST344"/>
    <d v="2024-03-11T00:00:00"/>
    <s v="Fashion"/>
    <s v="South"/>
    <n v="7"/>
    <n v="477.77"/>
    <n v="3344.39"/>
    <x v="1"/>
    <s v="Repeat Customer"/>
  </r>
  <r>
    <n v="11246"/>
    <s v="CUST258"/>
    <d v="2025-03-18T00:00:00"/>
    <s v="Sports"/>
    <s v="East"/>
    <n v="8"/>
    <n v="83.6"/>
    <n v="668.8"/>
    <x v="1"/>
    <s v="Repeat Customer"/>
  </r>
  <r>
    <n v="11247"/>
    <s v="CUST357"/>
    <d v="2025-12-02T00:00:00"/>
    <s v="Electronics"/>
    <s v="South"/>
    <n v="8"/>
    <n v="141.34"/>
    <n v="1130.72"/>
    <x v="3"/>
    <s v="Repeat Customer"/>
  </r>
  <r>
    <n v="11248"/>
    <s v="CUST132"/>
    <d v="2025-02-12T00:00:00"/>
    <s v="Sports"/>
    <s v="East"/>
    <n v="10"/>
    <n v="404.75"/>
    <n v="4047.5"/>
    <x v="3"/>
    <s v="Repeat Customer"/>
  </r>
  <r>
    <n v="11249"/>
    <s v="CUST335"/>
    <d v="2025-04-18T00:00:00"/>
    <s v="Electronics"/>
    <s v="East"/>
    <n v="10"/>
    <n v="24.35"/>
    <n v="243.5"/>
    <x v="3"/>
    <s v="Repeat Customer"/>
  </r>
  <r>
    <n v="11250"/>
    <s v="CUST277"/>
    <d v="2025-12-18T00:00:00"/>
    <s v="Fashion"/>
    <s v="West"/>
    <n v="5"/>
    <n v="198.59"/>
    <n v="992.95"/>
    <x v="1"/>
    <s v="Repeat Customer"/>
  </r>
  <r>
    <n v="11251"/>
    <s v="CUST191"/>
    <d v="2025-09-24T00:00:00"/>
    <s v="Fashion"/>
    <s v="North"/>
    <n v="7"/>
    <n v="231.62"/>
    <n v="1621.34"/>
    <x v="3"/>
    <s v="Repeat Customer"/>
  </r>
  <r>
    <n v="11252"/>
    <s v="CUST122"/>
    <d v="2024-09-02T00:00:00"/>
    <s v="Sports"/>
    <s v="East"/>
    <n v="3"/>
    <n v="140.52000000000001"/>
    <n v="421.56"/>
    <x v="0"/>
    <s v="Repeat Customer"/>
  </r>
  <r>
    <n v="11253"/>
    <s v="CUST211"/>
    <d v="2025-05-20T00:00:00"/>
    <s v="Sports"/>
    <s v="North"/>
    <n v="7"/>
    <n v="496.23"/>
    <n v="3473.61"/>
    <x v="2"/>
    <s v="Repeat Customer"/>
  </r>
  <r>
    <n v="11254"/>
    <s v="CUST139"/>
    <d v="2024-04-17T00:00:00"/>
    <s v="Home"/>
    <s v="West"/>
    <n v="9"/>
    <n v="384.44"/>
    <n v="3459.96"/>
    <x v="3"/>
    <s v="Repeat Customer"/>
  </r>
  <r>
    <n v="11255"/>
    <s v="CUST184"/>
    <d v="2024-09-15T00:00:00"/>
    <s v="Beauty"/>
    <s v="North"/>
    <n v="4"/>
    <n v="255.5"/>
    <n v="1022"/>
    <x v="0"/>
    <s v="Repeat Customer"/>
  </r>
  <r>
    <n v="11256"/>
    <s v="CUST336"/>
    <d v="2025-01-25T00:00:00"/>
    <s v="Fashion"/>
    <s v="West"/>
    <n v="6"/>
    <n v="374.25"/>
    <n v="2245.5"/>
    <x v="0"/>
    <s v="Repeat Customer"/>
  </r>
  <r>
    <n v="11257"/>
    <s v="CUST105"/>
    <d v="2024-09-13T00:00:00"/>
    <s v="Fashion"/>
    <s v="East"/>
    <n v="2"/>
    <n v="356"/>
    <n v="712"/>
    <x v="3"/>
    <s v="Repeat Customer"/>
  </r>
  <r>
    <n v="11258"/>
    <s v="CUST348"/>
    <d v="2025-04-17T00:00:00"/>
    <s v="Fashion"/>
    <s v="West"/>
    <n v="2"/>
    <n v="45.86"/>
    <n v="91.72"/>
    <x v="1"/>
    <s v="Repeat Customer"/>
  </r>
  <r>
    <n v="11259"/>
    <s v="CUST341"/>
    <d v="2024-10-12T00:00:00"/>
    <s v="Electronics"/>
    <s v="North"/>
    <n v="3"/>
    <n v="89.44"/>
    <n v="268.32"/>
    <x v="1"/>
    <s v="Repeat Customer"/>
  </r>
  <r>
    <n v="11260"/>
    <s v="CUST250"/>
    <d v="2024-05-07T00:00:00"/>
    <s v="Fashion"/>
    <s v="North"/>
    <n v="9"/>
    <n v="372.02"/>
    <n v="3348.18"/>
    <x v="0"/>
    <s v="Repeat Customer"/>
  </r>
  <r>
    <n v="11261"/>
    <s v="CUST239"/>
    <d v="2024-06-06T00:00:00"/>
    <s v="Fashion"/>
    <s v="North"/>
    <n v="8"/>
    <n v="182.25"/>
    <n v="1458"/>
    <x v="1"/>
    <s v="Repeat Customer"/>
  </r>
  <r>
    <n v="11262"/>
    <s v="CUST326"/>
    <d v="2025-12-14T00:00:00"/>
    <s v="Sports"/>
    <s v="North"/>
    <n v="1"/>
    <n v="419.07"/>
    <n v="419.07"/>
    <x v="3"/>
    <s v="Repeat Customer"/>
  </r>
  <r>
    <n v="11263"/>
    <s v="CUST257"/>
    <d v="2025-03-30T00:00:00"/>
    <s v="Electronics"/>
    <s v="West"/>
    <n v="1"/>
    <n v="301.11"/>
    <n v="301.11"/>
    <x v="1"/>
    <s v="Repeat Customer"/>
  </r>
  <r>
    <n v="11264"/>
    <s v="CUST227"/>
    <d v="2025-01-18T00:00:00"/>
    <s v="Electronics"/>
    <s v="West"/>
    <n v="4"/>
    <n v="103.99"/>
    <n v="415.96"/>
    <x v="0"/>
    <s v="Repeat Customer"/>
  </r>
  <r>
    <n v="11265"/>
    <s v="CUST107"/>
    <d v="2024-12-11T00:00:00"/>
    <s v="Electronics"/>
    <s v="South"/>
    <n v="4"/>
    <n v="341.58"/>
    <n v="1366.32"/>
    <x v="0"/>
    <s v="Repeat Customer"/>
  </r>
  <r>
    <n v="11266"/>
    <s v="CUST185"/>
    <d v="2024-06-20T00:00:00"/>
    <s v="Electronics"/>
    <s v="East"/>
    <n v="1"/>
    <n v="210.76"/>
    <n v="210.76"/>
    <x v="2"/>
    <s v="Repeat Customer"/>
  </r>
  <r>
    <n v="11267"/>
    <s v="CUST387"/>
    <d v="2025-10-03T00:00:00"/>
    <s v="Sports"/>
    <s v="West"/>
    <n v="4"/>
    <n v="314.20999999999998"/>
    <n v="1256.8399999999999"/>
    <x v="3"/>
    <s v="Repeat Customer"/>
  </r>
  <r>
    <n v="11268"/>
    <s v="CUST161"/>
    <d v="2024-08-25T00:00:00"/>
    <s v="Home"/>
    <s v="South"/>
    <n v="4"/>
    <n v="57.41"/>
    <n v="229.64"/>
    <x v="0"/>
    <s v="Repeat Customer"/>
  </r>
  <r>
    <n v="11269"/>
    <s v="CUST305"/>
    <d v="2025-10-31T00:00:00"/>
    <s v="Fashion"/>
    <s v="West"/>
    <n v="6"/>
    <n v="10.93"/>
    <n v="65.58"/>
    <x v="1"/>
    <s v="Repeat Customer"/>
  </r>
  <r>
    <n v="11270"/>
    <s v="CUST133"/>
    <d v="2025-11-04T00:00:00"/>
    <s v="Home"/>
    <s v="North"/>
    <n v="5"/>
    <n v="326.72000000000003"/>
    <n v="1633.6"/>
    <x v="0"/>
    <s v="Repeat Customer"/>
  </r>
  <r>
    <n v="11271"/>
    <s v="CUST211"/>
    <d v="2025-02-24T00:00:00"/>
    <s v="Beauty"/>
    <s v="North"/>
    <n v="5"/>
    <n v="384.93"/>
    <n v="1924.65"/>
    <x v="1"/>
    <s v="Repeat Customer"/>
  </r>
  <r>
    <n v="11272"/>
    <s v="CUST228"/>
    <d v="2024-04-07T00:00:00"/>
    <s v="Beauty"/>
    <s v="South"/>
    <n v="10"/>
    <n v="165.56"/>
    <n v="1655.6"/>
    <x v="2"/>
    <s v="Repeat Customer"/>
  </r>
  <r>
    <n v="11273"/>
    <s v="CUST189"/>
    <d v="2025-10-12T00:00:00"/>
    <s v="Beauty"/>
    <s v="North"/>
    <n v="6"/>
    <n v="489.12"/>
    <n v="2934.72"/>
    <x v="2"/>
    <s v="Repeat Customer"/>
  </r>
  <r>
    <n v="11274"/>
    <s v="CUST109"/>
    <d v="2025-09-15T00:00:00"/>
    <s v="Sports"/>
    <s v="South"/>
    <n v="10"/>
    <n v="227.21"/>
    <n v="2272.1"/>
    <x v="0"/>
    <s v="Repeat Customer"/>
  </r>
  <r>
    <n v="11275"/>
    <s v="CUST219"/>
    <d v="2024-01-22T00:00:00"/>
    <s v="Electronics"/>
    <s v="East"/>
    <n v="10"/>
    <n v="380.68"/>
    <n v="3806.8"/>
    <x v="1"/>
    <s v="Repeat Customer"/>
  </r>
  <r>
    <n v="11276"/>
    <s v="CUST319"/>
    <d v="2024-09-06T00:00:00"/>
    <s v="Fashion"/>
    <s v="East"/>
    <n v="10"/>
    <n v="44.3"/>
    <n v="443"/>
    <x v="3"/>
    <s v="Repeat Customer"/>
  </r>
  <r>
    <n v="11277"/>
    <s v="CUST251"/>
    <d v="2024-07-25T00:00:00"/>
    <s v="Electronics"/>
    <s v="South"/>
    <n v="3"/>
    <n v="191"/>
    <n v="573"/>
    <x v="3"/>
    <s v="Repeat Customer"/>
  </r>
  <r>
    <n v="11278"/>
    <s v="CUST268"/>
    <d v="2024-05-17T00:00:00"/>
    <s v="Electronics"/>
    <s v="West"/>
    <n v="5"/>
    <n v="162.18"/>
    <n v="810.9"/>
    <x v="2"/>
    <s v="Repeat Customer"/>
  </r>
  <r>
    <n v="11279"/>
    <s v="CUST112"/>
    <d v="2024-08-22T00:00:00"/>
    <s v="Fashion"/>
    <s v="North"/>
    <n v="6"/>
    <n v="174.65"/>
    <n v="1047.9000000000001"/>
    <x v="1"/>
    <s v="Repeat Customer"/>
  </r>
  <r>
    <n v="11280"/>
    <s v="CUST213"/>
    <d v="2025-09-14T00:00:00"/>
    <s v="Fashion"/>
    <s v="West"/>
    <n v="7"/>
    <n v="263.13"/>
    <n v="1841.91"/>
    <x v="0"/>
    <s v="Repeat Customer"/>
  </r>
  <r>
    <n v="11281"/>
    <s v="CUST133"/>
    <d v="2025-05-18T00:00:00"/>
    <s v="Electronics"/>
    <s v="South"/>
    <n v="2"/>
    <n v="477.06"/>
    <n v="954.12"/>
    <x v="1"/>
    <s v="Repeat Customer"/>
  </r>
  <r>
    <n v="11282"/>
    <s v="CUST164"/>
    <d v="2024-04-03T00:00:00"/>
    <s v="Fashion"/>
    <s v="South"/>
    <n v="3"/>
    <n v="298.35000000000002"/>
    <n v="895.05"/>
    <x v="0"/>
    <s v="Repeat Customer"/>
  </r>
  <r>
    <n v="11283"/>
    <s v="CUST318"/>
    <d v="2025-04-23T00:00:00"/>
    <s v="Fashion"/>
    <s v="South"/>
    <n v="5"/>
    <n v="86.26"/>
    <n v="431.3"/>
    <x v="3"/>
    <s v="Repeat Customer"/>
  </r>
  <r>
    <n v="11284"/>
    <s v="CUST190"/>
    <d v="2025-09-12T00:00:00"/>
    <s v="Sports"/>
    <s v="West"/>
    <n v="4"/>
    <n v="155.03"/>
    <n v="620.12"/>
    <x v="1"/>
    <s v="Repeat Customer"/>
  </r>
  <r>
    <n v="11285"/>
    <s v="CUST239"/>
    <d v="2025-05-07T00:00:00"/>
    <s v="Home"/>
    <s v="West"/>
    <n v="2"/>
    <n v="475.75"/>
    <n v="951.5"/>
    <x v="3"/>
    <s v="Repeat Customer"/>
  </r>
  <r>
    <n v="11286"/>
    <s v="CUST185"/>
    <d v="2025-04-27T00:00:00"/>
    <s v="Sports"/>
    <s v="West"/>
    <n v="8"/>
    <n v="214.24"/>
    <n v="1713.92"/>
    <x v="1"/>
    <s v="Repeat Customer"/>
  </r>
  <r>
    <n v="11287"/>
    <s v="CUST346"/>
    <d v="2024-01-21T00:00:00"/>
    <s v="Electronics"/>
    <s v="East"/>
    <n v="7"/>
    <n v="216.56"/>
    <n v="1515.92"/>
    <x v="1"/>
    <s v="Repeat Customer"/>
  </r>
  <r>
    <n v="11288"/>
    <s v="CUST383"/>
    <d v="2024-06-28T00:00:00"/>
    <s v="Home"/>
    <s v="West"/>
    <n v="5"/>
    <n v="193.32"/>
    <n v="966.6"/>
    <x v="2"/>
    <s v="Repeat Customer"/>
  </r>
  <r>
    <n v="11289"/>
    <s v="CUST292"/>
    <d v="2025-07-29T00:00:00"/>
    <s v="Home"/>
    <s v="South"/>
    <n v="10"/>
    <n v="243.02"/>
    <n v="2430.1999999999998"/>
    <x v="3"/>
    <s v="Repeat Customer"/>
  </r>
  <r>
    <n v="11290"/>
    <s v="CUST200"/>
    <d v="2024-06-07T00:00:00"/>
    <s v="Sports"/>
    <s v="East"/>
    <n v="4"/>
    <n v="7.07"/>
    <n v="28.28"/>
    <x v="3"/>
    <s v="Repeat Customer"/>
  </r>
  <r>
    <n v="11291"/>
    <s v="CUST307"/>
    <d v="2025-03-01T00:00:00"/>
    <s v="Home"/>
    <s v="West"/>
    <n v="7"/>
    <n v="485.39"/>
    <n v="3397.73"/>
    <x v="3"/>
    <s v="Repeat Customer"/>
  </r>
  <r>
    <n v="11292"/>
    <s v="CUST257"/>
    <d v="2025-10-18T00:00:00"/>
    <s v="Electronics"/>
    <s v="North"/>
    <n v="10"/>
    <n v="40.26"/>
    <n v="402.6"/>
    <x v="3"/>
    <s v="Repeat Customer"/>
  </r>
  <r>
    <n v="11293"/>
    <s v="CUST389"/>
    <d v="2024-06-15T00:00:00"/>
    <s v="Home"/>
    <s v="East"/>
    <n v="4"/>
    <n v="382.66"/>
    <n v="1530.64"/>
    <x v="3"/>
    <s v="Repeat Customer"/>
  </r>
  <r>
    <n v="11294"/>
    <s v="CUST288"/>
    <d v="2025-12-14T00:00:00"/>
    <s v="Beauty"/>
    <s v="South"/>
    <n v="1"/>
    <n v="327.2"/>
    <n v="327.2"/>
    <x v="1"/>
    <s v="Repeat Customer"/>
  </r>
  <r>
    <n v="11295"/>
    <s v="CUST344"/>
    <d v="2024-02-05T00:00:00"/>
    <s v="Electronics"/>
    <s v="South"/>
    <n v="6"/>
    <n v="317.32"/>
    <n v="1903.92"/>
    <x v="2"/>
    <s v="Repeat Customer"/>
  </r>
  <r>
    <n v="11296"/>
    <s v="CUST333"/>
    <d v="2025-11-28T00:00:00"/>
    <s v="Sports"/>
    <s v="South"/>
    <n v="3"/>
    <n v="130.87"/>
    <n v="392.61"/>
    <x v="0"/>
    <s v="Repeat Customer"/>
  </r>
  <r>
    <n v="11297"/>
    <s v="CUST159"/>
    <d v="2024-04-04T00:00:00"/>
    <s v="Sports"/>
    <s v="North"/>
    <n v="7"/>
    <n v="201.85"/>
    <n v="1412.95"/>
    <x v="1"/>
    <s v="Repeat Customer"/>
  </r>
  <r>
    <n v="11298"/>
    <s v="CUST316"/>
    <d v="2024-06-18T00:00:00"/>
    <s v="Home"/>
    <s v="West"/>
    <n v="7"/>
    <n v="130.16999999999999"/>
    <n v="911.19"/>
    <x v="2"/>
    <s v="Repeat Customer"/>
  </r>
  <r>
    <n v="11299"/>
    <s v="CUST310"/>
    <d v="2024-04-01T00:00:00"/>
    <s v="Home"/>
    <s v="South"/>
    <n v="2"/>
    <n v="319.91000000000003"/>
    <n v="639.82000000000005"/>
    <x v="2"/>
    <s v="Repeat Customer"/>
  </r>
  <r>
    <n v="11300"/>
    <s v="CUST207"/>
    <d v="2025-02-11T00:00:00"/>
    <s v="Fashion"/>
    <s v="West"/>
    <n v="5"/>
    <n v="8.18"/>
    <n v="40.9"/>
    <x v="0"/>
    <s v="Repeat Customer"/>
  </r>
  <r>
    <n v="11301"/>
    <s v="CUST149"/>
    <d v="2024-03-12T00:00:00"/>
    <s v="Home"/>
    <s v="West"/>
    <n v="7"/>
    <n v="264.86"/>
    <n v="1854.02"/>
    <x v="1"/>
    <s v="Repeat Customer"/>
  </r>
  <r>
    <n v="11302"/>
    <s v="CUST190"/>
    <d v="2025-01-18T00:00:00"/>
    <s v="Fashion"/>
    <s v="West"/>
    <n v="3"/>
    <n v="353.5"/>
    <n v="1060.5"/>
    <x v="1"/>
    <s v="Repeat Customer"/>
  </r>
  <r>
    <n v="11303"/>
    <s v="CUST357"/>
    <d v="2024-04-22T00:00:00"/>
    <s v="Fashion"/>
    <s v="South"/>
    <n v="8"/>
    <n v="285.70999999999998"/>
    <n v="2285.6799999999998"/>
    <x v="1"/>
    <s v="Repeat Customer"/>
  </r>
  <r>
    <n v="11304"/>
    <s v="CUST130"/>
    <d v="2024-07-06T00:00:00"/>
    <s v="Beauty"/>
    <s v="West"/>
    <n v="4"/>
    <n v="133.38"/>
    <n v="533.52"/>
    <x v="0"/>
    <s v="Repeat Customer"/>
  </r>
  <r>
    <n v="11305"/>
    <s v="CUST185"/>
    <d v="2024-03-22T00:00:00"/>
    <s v="Electronics"/>
    <s v="East"/>
    <n v="5"/>
    <n v="47.42"/>
    <n v="237.1"/>
    <x v="0"/>
    <s v="Repeat Customer"/>
  </r>
  <r>
    <n v="11306"/>
    <s v="CUST275"/>
    <d v="2024-01-31T00:00:00"/>
    <s v="Beauty"/>
    <s v="North"/>
    <n v="10"/>
    <n v="121.22"/>
    <n v="1212.2"/>
    <x v="0"/>
    <s v="Repeat Customer"/>
  </r>
  <r>
    <n v="11307"/>
    <s v="CUST131"/>
    <d v="2024-09-29T00:00:00"/>
    <s v="Electronics"/>
    <s v="North"/>
    <n v="1"/>
    <n v="334.33"/>
    <n v="334.33"/>
    <x v="1"/>
    <s v="Repeat Customer"/>
  </r>
  <r>
    <n v="11308"/>
    <s v="CUST367"/>
    <d v="2024-01-08T00:00:00"/>
    <s v="Home"/>
    <s v="West"/>
    <n v="7"/>
    <n v="303.48"/>
    <n v="2124.36"/>
    <x v="3"/>
    <s v="Repeat Customer"/>
  </r>
  <r>
    <n v="11309"/>
    <s v="CUST272"/>
    <d v="2025-09-10T00:00:00"/>
    <s v="Home"/>
    <s v="East"/>
    <n v="7"/>
    <n v="171.59"/>
    <n v="1201.1300000000001"/>
    <x v="1"/>
    <s v="Repeat Customer"/>
  </r>
  <r>
    <n v="11310"/>
    <s v="CUST284"/>
    <d v="2025-11-12T00:00:00"/>
    <s v="Electronics"/>
    <s v="East"/>
    <n v="7"/>
    <n v="192.33"/>
    <n v="1346.31"/>
    <x v="2"/>
    <s v="Repeat Customer"/>
  </r>
  <r>
    <n v="11311"/>
    <s v="CUST151"/>
    <d v="2024-01-04T00:00:00"/>
    <s v="Beauty"/>
    <s v="South"/>
    <n v="8"/>
    <n v="435.92"/>
    <n v="3487.36"/>
    <x v="0"/>
    <s v="Repeat Customer"/>
  </r>
  <r>
    <n v="11312"/>
    <s v="CUST162"/>
    <d v="2025-06-27T00:00:00"/>
    <s v="Fashion"/>
    <s v="East"/>
    <n v="5"/>
    <n v="475.78"/>
    <n v="2378.9"/>
    <x v="3"/>
    <s v="Repeat Customer"/>
  </r>
  <r>
    <n v="11313"/>
    <s v="CUST343"/>
    <d v="2025-06-11T00:00:00"/>
    <s v="Electronics"/>
    <s v="East"/>
    <n v="7"/>
    <n v="331.81"/>
    <n v="2322.67"/>
    <x v="0"/>
    <s v="Repeat Customer"/>
  </r>
  <r>
    <n v="11314"/>
    <s v="CUST284"/>
    <d v="2024-02-16T00:00:00"/>
    <s v="Fashion"/>
    <s v="West"/>
    <n v="6"/>
    <n v="340.58"/>
    <n v="2043.48"/>
    <x v="3"/>
    <s v="Repeat Customer"/>
  </r>
  <r>
    <n v="11315"/>
    <s v="CUST141"/>
    <d v="2024-12-22T00:00:00"/>
    <s v="Beauty"/>
    <s v="North"/>
    <n v="7"/>
    <n v="469.85"/>
    <n v="3288.95"/>
    <x v="3"/>
    <s v="Repeat Customer"/>
  </r>
  <r>
    <n v="11316"/>
    <s v="CUST250"/>
    <d v="2025-09-13T00:00:00"/>
    <s v="Sports"/>
    <s v="North"/>
    <n v="4"/>
    <n v="357.41"/>
    <n v="1429.64"/>
    <x v="1"/>
    <s v="Repeat Customer"/>
  </r>
  <r>
    <n v="11317"/>
    <s v="CUST354"/>
    <d v="2024-03-30T00:00:00"/>
    <s v="Sports"/>
    <s v="West"/>
    <n v="5"/>
    <n v="417.02"/>
    <n v="2085.1"/>
    <x v="1"/>
    <s v="Repeat Customer"/>
  </r>
  <r>
    <n v="11318"/>
    <s v="CUST328"/>
    <d v="2024-04-28T00:00:00"/>
    <s v="Fashion"/>
    <s v="South"/>
    <n v="8"/>
    <n v="333.01"/>
    <n v="2664.08"/>
    <x v="1"/>
    <s v="Repeat Customer"/>
  </r>
  <r>
    <n v="11319"/>
    <s v="CUST187"/>
    <d v="2025-11-06T00:00:00"/>
    <s v="Electronics"/>
    <s v="South"/>
    <n v="2"/>
    <n v="57.21"/>
    <n v="114.42"/>
    <x v="2"/>
    <s v="Repeat Customer"/>
  </r>
  <r>
    <n v="11320"/>
    <s v="CUST296"/>
    <d v="2024-10-14T00:00:00"/>
    <s v="Beauty"/>
    <s v="North"/>
    <n v="4"/>
    <n v="360.99"/>
    <n v="1443.96"/>
    <x v="1"/>
    <s v="Repeat Customer"/>
  </r>
  <r>
    <n v="11321"/>
    <s v="CUST373"/>
    <d v="2025-10-10T00:00:00"/>
    <s v="Home"/>
    <s v="South"/>
    <n v="8"/>
    <n v="49.77"/>
    <n v="398.16"/>
    <x v="0"/>
    <s v="Repeat Customer"/>
  </r>
  <r>
    <n v="11322"/>
    <s v="CUST275"/>
    <d v="2025-01-21T00:00:00"/>
    <s v="Sports"/>
    <s v="West"/>
    <n v="7"/>
    <n v="328.69"/>
    <n v="2300.83"/>
    <x v="1"/>
    <s v="Repeat Customer"/>
  </r>
  <r>
    <n v="11323"/>
    <s v="CUST214"/>
    <d v="2024-09-22T00:00:00"/>
    <s v="Electronics"/>
    <s v="North"/>
    <n v="2"/>
    <n v="149.03"/>
    <n v="298.06"/>
    <x v="2"/>
    <s v="Repeat Customer"/>
  </r>
  <r>
    <n v="11324"/>
    <s v="CUST196"/>
    <d v="2024-04-28T00:00:00"/>
    <s v="Home"/>
    <s v="West"/>
    <n v="10"/>
    <n v="187.03"/>
    <n v="1870.3"/>
    <x v="0"/>
    <s v="Repeat Customer"/>
  </r>
  <r>
    <n v="11325"/>
    <s v="CUST259"/>
    <d v="2024-03-04T00:00:00"/>
    <s v="Beauty"/>
    <s v="West"/>
    <n v="10"/>
    <n v="270.12"/>
    <n v="2701.2"/>
    <x v="2"/>
    <s v="Repeat Customer"/>
  </r>
  <r>
    <n v="11326"/>
    <s v="CUST286"/>
    <d v="2025-11-26T00:00:00"/>
    <s v="Sports"/>
    <s v="South"/>
    <n v="3"/>
    <n v="262.27999999999997"/>
    <n v="786.84"/>
    <x v="0"/>
    <s v="Repeat Customer"/>
  </r>
  <r>
    <n v="11327"/>
    <s v="CUST302"/>
    <d v="2024-01-10T00:00:00"/>
    <s v="Home"/>
    <s v="South"/>
    <n v="9"/>
    <n v="426.92"/>
    <n v="3842.28"/>
    <x v="2"/>
    <s v="Repeat Customer"/>
  </r>
  <r>
    <n v="11328"/>
    <s v="CUST212"/>
    <d v="2025-05-26T00:00:00"/>
    <s v="Home"/>
    <s v="South"/>
    <n v="8"/>
    <n v="77.98"/>
    <n v="623.84"/>
    <x v="0"/>
    <s v="Repeat Customer"/>
  </r>
  <r>
    <n v="11329"/>
    <s v="CUST263"/>
    <d v="2024-11-12T00:00:00"/>
    <s v="Electronics"/>
    <s v="East"/>
    <n v="9"/>
    <n v="495.22"/>
    <n v="4456.9799999999996"/>
    <x v="3"/>
    <s v="Repeat Customer"/>
  </r>
  <r>
    <n v="11330"/>
    <s v="CUST210"/>
    <d v="2025-05-21T00:00:00"/>
    <s v="Beauty"/>
    <s v="North"/>
    <n v="5"/>
    <n v="353.55"/>
    <n v="1767.75"/>
    <x v="2"/>
    <s v="Repeat Customer"/>
  </r>
  <r>
    <n v="11331"/>
    <s v="CUST178"/>
    <d v="2024-08-03T00:00:00"/>
    <s v="Electronics"/>
    <s v="South"/>
    <n v="4"/>
    <n v="351.7"/>
    <n v="1406.8"/>
    <x v="3"/>
    <s v="Repeat Customer"/>
  </r>
  <r>
    <n v="11332"/>
    <s v="CUST300"/>
    <d v="2024-11-02T00:00:00"/>
    <s v="Sports"/>
    <s v="West"/>
    <n v="3"/>
    <n v="495.58"/>
    <n v="1486.74"/>
    <x v="2"/>
    <s v="Repeat Customer"/>
  </r>
  <r>
    <n v="11333"/>
    <s v="CUST316"/>
    <d v="2025-11-25T00:00:00"/>
    <s v="Beauty"/>
    <s v="West"/>
    <n v="8"/>
    <n v="495.21"/>
    <n v="3961.68"/>
    <x v="0"/>
    <s v="Repeat Customer"/>
  </r>
  <r>
    <n v="11334"/>
    <s v="CUST370"/>
    <d v="2024-10-16T00:00:00"/>
    <s v="Fashion"/>
    <s v="West"/>
    <n v="5"/>
    <n v="349.71"/>
    <n v="1748.55"/>
    <x v="0"/>
    <s v="Repeat Customer"/>
  </r>
  <r>
    <n v="11335"/>
    <s v="CUST167"/>
    <d v="2024-11-27T00:00:00"/>
    <s v="Electronics"/>
    <s v="East"/>
    <n v="10"/>
    <n v="433.6"/>
    <n v="4336"/>
    <x v="3"/>
    <s v="Repeat Customer"/>
  </r>
  <r>
    <n v="11336"/>
    <s v="CUST183"/>
    <d v="2025-08-14T00:00:00"/>
    <s v="Beauty"/>
    <s v="East"/>
    <n v="3"/>
    <n v="223.73"/>
    <n v="671.19"/>
    <x v="1"/>
    <s v="Repeat Customer"/>
  </r>
  <r>
    <n v="11337"/>
    <s v="CUST207"/>
    <d v="2024-08-11T00:00:00"/>
    <s v="Electronics"/>
    <s v="East"/>
    <n v="4"/>
    <n v="368.98"/>
    <n v="1475.92"/>
    <x v="0"/>
    <s v="Repeat Customer"/>
  </r>
  <r>
    <n v="11338"/>
    <s v="CUST175"/>
    <d v="2025-01-20T00:00:00"/>
    <s v="Fashion"/>
    <s v="North"/>
    <n v="7"/>
    <n v="341.33"/>
    <n v="2389.31"/>
    <x v="0"/>
    <s v="Repeat Customer"/>
  </r>
  <r>
    <n v="11339"/>
    <s v="CUST282"/>
    <d v="2025-04-30T00:00:00"/>
    <s v="Electronics"/>
    <s v="East"/>
    <n v="3"/>
    <n v="472.81"/>
    <n v="1418.43"/>
    <x v="3"/>
    <s v="Repeat Customer"/>
  </r>
  <r>
    <n v="11340"/>
    <s v="CUST176"/>
    <d v="2025-10-04T00:00:00"/>
    <s v="Electronics"/>
    <s v="South"/>
    <n v="7"/>
    <n v="126.28"/>
    <n v="883.96"/>
    <x v="3"/>
    <s v="Repeat Customer"/>
  </r>
  <r>
    <n v="11341"/>
    <s v="CUST350"/>
    <d v="2024-11-05T00:00:00"/>
    <s v="Beauty"/>
    <s v="North"/>
    <n v="10"/>
    <n v="477.5"/>
    <n v="4775"/>
    <x v="3"/>
    <s v="Repeat Customer"/>
  </r>
  <r>
    <n v="11342"/>
    <s v="CUST295"/>
    <d v="2024-10-08T00:00:00"/>
    <s v="Electronics"/>
    <s v="North"/>
    <n v="8"/>
    <n v="186.82"/>
    <n v="1494.56"/>
    <x v="0"/>
    <s v="Repeat Customer"/>
  </r>
  <r>
    <n v="11343"/>
    <s v="CUST162"/>
    <d v="2025-05-15T00:00:00"/>
    <s v="Sports"/>
    <s v="West"/>
    <n v="9"/>
    <n v="116.34"/>
    <n v="1047.06"/>
    <x v="2"/>
    <s v="Repeat Customer"/>
  </r>
  <r>
    <n v="11344"/>
    <s v="CUST148"/>
    <d v="2025-08-30T00:00:00"/>
    <s v="Beauty"/>
    <s v="East"/>
    <n v="3"/>
    <n v="195.06"/>
    <n v="585.17999999999995"/>
    <x v="1"/>
    <s v="Repeat Customer"/>
  </r>
  <r>
    <n v="11345"/>
    <s v="CUST150"/>
    <d v="2024-11-29T00:00:00"/>
    <s v="Sports"/>
    <s v="South"/>
    <n v="2"/>
    <n v="358.32"/>
    <n v="716.64"/>
    <x v="3"/>
    <s v="Repeat Customer"/>
  </r>
  <r>
    <n v="11346"/>
    <s v="CUST110"/>
    <d v="2025-02-07T00:00:00"/>
    <s v="Sports"/>
    <s v="West"/>
    <n v="9"/>
    <n v="409.64"/>
    <n v="3686.76"/>
    <x v="0"/>
    <s v="Repeat Customer"/>
  </r>
  <r>
    <n v="11347"/>
    <s v="CUST365"/>
    <d v="2025-08-21T00:00:00"/>
    <s v="Electronics"/>
    <s v="South"/>
    <n v="9"/>
    <n v="358.31"/>
    <n v="3224.79"/>
    <x v="0"/>
    <s v="Repeat Customer"/>
  </r>
  <r>
    <n v="11348"/>
    <s v="CUST192"/>
    <d v="2025-09-05T00:00:00"/>
    <s v="Beauty"/>
    <s v="East"/>
    <n v="3"/>
    <n v="7.64"/>
    <n v="22.92"/>
    <x v="0"/>
    <s v="Repeat Customer"/>
  </r>
  <r>
    <n v="11349"/>
    <s v="CUST120"/>
    <d v="2024-05-11T00:00:00"/>
    <s v="Fashion"/>
    <s v="North"/>
    <n v="10"/>
    <n v="107.08"/>
    <n v="1070.8"/>
    <x v="2"/>
    <s v="Repeat Customer"/>
  </r>
  <r>
    <n v="11350"/>
    <s v="CUST117"/>
    <d v="2024-03-27T00:00:00"/>
    <s v="Home"/>
    <s v="South"/>
    <n v="2"/>
    <n v="255.54"/>
    <n v="511.08"/>
    <x v="3"/>
    <s v="Repeat Customer"/>
  </r>
  <r>
    <n v="11351"/>
    <s v="CUST100"/>
    <d v="2024-09-11T00:00:00"/>
    <s v="Sports"/>
    <s v="East"/>
    <n v="5"/>
    <n v="27.85"/>
    <n v="139.25"/>
    <x v="3"/>
    <s v="Repeat Customer"/>
  </r>
  <r>
    <n v="11352"/>
    <s v="CUST171"/>
    <d v="2025-08-13T00:00:00"/>
    <s v="Sports"/>
    <s v="East"/>
    <n v="8"/>
    <n v="349.08"/>
    <n v="2792.64"/>
    <x v="1"/>
    <s v="Repeat Customer"/>
  </r>
  <r>
    <n v="11353"/>
    <s v="CUST150"/>
    <d v="2025-11-09T00:00:00"/>
    <s v="Fashion"/>
    <s v="South"/>
    <n v="1"/>
    <n v="122.36"/>
    <n v="122.36"/>
    <x v="2"/>
    <s v="Repeat Customer"/>
  </r>
  <r>
    <n v="11354"/>
    <s v="CUST210"/>
    <d v="2024-05-17T00:00:00"/>
    <s v="Sports"/>
    <s v="East"/>
    <n v="10"/>
    <n v="278.27"/>
    <n v="2782.7"/>
    <x v="2"/>
    <s v="Repeat Customer"/>
  </r>
  <r>
    <n v="11355"/>
    <s v="CUST165"/>
    <d v="2025-09-29T00:00:00"/>
    <s v="Home"/>
    <s v="East"/>
    <n v="7"/>
    <n v="41.81"/>
    <n v="292.67"/>
    <x v="3"/>
    <s v="Repeat Customer"/>
  </r>
  <r>
    <n v="11356"/>
    <s v="CUST183"/>
    <d v="2025-02-13T00:00:00"/>
    <s v="Home"/>
    <s v="West"/>
    <n v="8"/>
    <n v="46.21"/>
    <n v="369.68"/>
    <x v="1"/>
    <s v="Repeat Customer"/>
  </r>
  <r>
    <n v="11357"/>
    <s v="CUST374"/>
    <d v="2024-07-27T00:00:00"/>
    <s v="Home"/>
    <s v="South"/>
    <n v="2"/>
    <n v="316.64"/>
    <n v="633.28"/>
    <x v="2"/>
    <s v="Repeat Customer"/>
  </r>
  <r>
    <n v="11358"/>
    <s v="CUST388"/>
    <d v="2025-11-04T00:00:00"/>
    <s v="Beauty"/>
    <s v="South"/>
    <n v="9"/>
    <n v="304.45"/>
    <n v="2740.05"/>
    <x v="2"/>
    <s v="Repeat Customer"/>
  </r>
  <r>
    <n v="11359"/>
    <s v="CUST322"/>
    <d v="2025-01-23T00:00:00"/>
    <s v="Fashion"/>
    <s v="North"/>
    <n v="1"/>
    <n v="482.19"/>
    <n v="482.19"/>
    <x v="2"/>
    <s v="Repeat Customer"/>
  </r>
  <r>
    <n v="11360"/>
    <s v="CUST163"/>
    <d v="2025-06-28T00:00:00"/>
    <s v="Beauty"/>
    <s v="North"/>
    <n v="2"/>
    <n v="343.57"/>
    <n v="687.14"/>
    <x v="2"/>
    <s v="Repeat Customer"/>
  </r>
  <r>
    <n v="11361"/>
    <s v="CUST145"/>
    <d v="2025-01-06T00:00:00"/>
    <s v="Fashion"/>
    <s v="South"/>
    <n v="6"/>
    <n v="390.15"/>
    <n v="2340.9"/>
    <x v="2"/>
    <s v="Repeat Customer"/>
  </r>
  <r>
    <n v="11362"/>
    <s v="CUST105"/>
    <d v="2024-04-10T00:00:00"/>
    <s v="Fashion"/>
    <s v="West"/>
    <n v="7"/>
    <n v="489.85"/>
    <n v="3428.95"/>
    <x v="0"/>
    <s v="Repeat Customer"/>
  </r>
  <r>
    <n v="11363"/>
    <s v="CUST163"/>
    <d v="2024-06-28T00:00:00"/>
    <s v="Home"/>
    <s v="West"/>
    <n v="9"/>
    <n v="365.52"/>
    <n v="3289.68"/>
    <x v="0"/>
    <s v="Repeat Customer"/>
  </r>
  <r>
    <n v="11364"/>
    <s v="CUST370"/>
    <d v="2024-12-23T00:00:00"/>
    <s v="Sports"/>
    <s v="East"/>
    <n v="10"/>
    <n v="433.37"/>
    <n v="4333.7"/>
    <x v="0"/>
    <s v="Repeat Customer"/>
  </r>
  <r>
    <n v="11365"/>
    <s v="CUST124"/>
    <d v="2024-06-23T00:00:00"/>
    <s v="Beauty"/>
    <s v="South"/>
    <n v="6"/>
    <n v="473.52"/>
    <n v="2841.12"/>
    <x v="2"/>
    <s v="Repeat Customer"/>
  </r>
  <r>
    <n v="11366"/>
    <s v="CUST372"/>
    <d v="2025-07-18T00:00:00"/>
    <s v="Beauty"/>
    <s v="West"/>
    <n v="10"/>
    <n v="441.6"/>
    <n v="4416"/>
    <x v="1"/>
    <s v="Repeat Customer"/>
  </r>
  <r>
    <n v="11367"/>
    <s v="CUST232"/>
    <d v="2024-01-10T00:00:00"/>
    <s v="Fashion"/>
    <s v="South"/>
    <n v="9"/>
    <n v="358.05"/>
    <n v="3222.45"/>
    <x v="3"/>
    <s v="Repeat Customer"/>
  </r>
  <r>
    <n v="11368"/>
    <s v="CUST390"/>
    <d v="2024-09-30T00:00:00"/>
    <s v="Home"/>
    <s v="South"/>
    <n v="1"/>
    <n v="459.63"/>
    <n v="459.63"/>
    <x v="3"/>
    <s v="Repeat Customer"/>
  </r>
  <r>
    <n v="11369"/>
    <s v="CUST334"/>
    <d v="2024-07-06T00:00:00"/>
    <s v="Beauty"/>
    <s v="East"/>
    <n v="8"/>
    <n v="493.19"/>
    <n v="3945.52"/>
    <x v="2"/>
    <s v="Repeat Customer"/>
  </r>
  <r>
    <n v="11370"/>
    <s v="CUST319"/>
    <d v="2025-06-17T00:00:00"/>
    <s v="Electronics"/>
    <s v="East"/>
    <n v="4"/>
    <n v="156.07"/>
    <n v="624.28"/>
    <x v="3"/>
    <s v="Repeat Customer"/>
  </r>
  <r>
    <n v="11371"/>
    <s v="CUST260"/>
    <d v="2024-04-02T00:00:00"/>
    <s v="Fashion"/>
    <s v="North"/>
    <n v="2"/>
    <n v="42.96"/>
    <n v="85.92"/>
    <x v="1"/>
    <s v="Repeat Customer"/>
  </r>
  <r>
    <n v="11372"/>
    <s v="CUST394"/>
    <d v="2024-02-28T00:00:00"/>
    <s v="Sports"/>
    <s v="West"/>
    <n v="2"/>
    <n v="372.99"/>
    <n v="745.98"/>
    <x v="0"/>
    <s v="Repeat Customer"/>
  </r>
  <r>
    <n v="11373"/>
    <s v="CUST317"/>
    <d v="2025-11-24T00:00:00"/>
    <s v="Fashion"/>
    <s v="West"/>
    <n v="9"/>
    <n v="466.56"/>
    <n v="4199.04"/>
    <x v="3"/>
    <s v="Repeat Customer"/>
  </r>
  <r>
    <n v="11374"/>
    <s v="CUST363"/>
    <d v="2025-12-02T00:00:00"/>
    <s v="Beauty"/>
    <s v="North"/>
    <n v="9"/>
    <n v="350.45"/>
    <n v="3154.05"/>
    <x v="1"/>
    <s v="Repeat Customer"/>
  </r>
  <r>
    <n v="11375"/>
    <s v="CUST103"/>
    <d v="2025-03-11T00:00:00"/>
    <s v="Fashion"/>
    <s v="North"/>
    <n v="9"/>
    <n v="376.09"/>
    <n v="3384.81"/>
    <x v="3"/>
    <s v="Repeat Customer"/>
  </r>
  <r>
    <n v="11376"/>
    <s v="CUST186"/>
    <d v="2025-11-21T00:00:00"/>
    <s v="Fashion"/>
    <s v="North"/>
    <n v="9"/>
    <n v="452.38"/>
    <n v="4071.42"/>
    <x v="2"/>
    <s v="Repeat Customer"/>
  </r>
  <r>
    <n v="11377"/>
    <s v="CUST168"/>
    <d v="2025-06-10T00:00:00"/>
    <s v="Beauty"/>
    <s v="West"/>
    <n v="6"/>
    <n v="476.48"/>
    <n v="2858.88"/>
    <x v="3"/>
    <s v="Repeat Customer"/>
  </r>
  <r>
    <n v="11378"/>
    <s v="CUST187"/>
    <d v="2025-01-17T00:00:00"/>
    <s v="Fashion"/>
    <s v="North"/>
    <n v="2"/>
    <n v="172.29"/>
    <n v="344.58"/>
    <x v="2"/>
    <s v="Repeat Customer"/>
  </r>
  <r>
    <n v="11379"/>
    <s v="CUST253"/>
    <d v="2025-05-09T00:00:00"/>
    <s v="Electronics"/>
    <s v="West"/>
    <n v="5"/>
    <n v="136.05000000000001"/>
    <n v="680.25"/>
    <x v="1"/>
    <s v="Repeat Customer"/>
  </r>
  <r>
    <n v="11380"/>
    <s v="CUST256"/>
    <d v="2025-10-20T00:00:00"/>
    <s v="Electronics"/>
    <s v="West"/>
    <n v="9"/>
    <n v="413.74"/>
    <n v="3723.66"/>
    <x v="3"/>
    <s v="Repeat Customer"/>
  </r>
  <r>
    <n v="11381"/>
    <s v="CUST129"/>
    <d v="2024-12-30T00:00:00"/>
    <s v="Home"/>
    <s v="East"/>
    <n v="1"/>
    <n v="309.69"/>
    <n v="309.69"/>
    <x v="2"/>
    <s v="Repeat Customer"/>
  </r>
  <r>
    <n v="11382"/>
    <s v="CUST154"/>
    <d v="2024-01-06T00:00:00"/>
    <s v="Fashion"/>
    <s v="West"/>
    <n v="6"/>
    <n v="445.65"/>
    <n v="2673.9"/>
    <x v="2"/>
    <s v="Repeat Customer"/>
  </r>
  <r>
    <n v="11383"/>
    <s v="CUST104"/>
    <d v="2024-04-13T00:00:00"/>
    <s v="Electronics"/>
    <s v="South"/>
    <n v="7"/>
    <n v="248.56"/>
    <n v="1739.92"/>
    <x v="3"/>
    <s v="Repeat Customer"/>
  </r>
  <r>
    <n v="11384"/>
    <s v="CUST163"/>
    <d v="2025-05-14T00:00:00"/>
    <s v="Home"/>
    <s v="South"/>
    <n v="1"/>
    <n v="82.04"/>
    <n v="82.04"/>
    <x v="3"/>
    <s v="Repeat Customer"/>
  </r>
  <r>
    <n v="11385"/>
    <s v="CUST302"/>
    <d v="2025-01-18T00:00:00"/>
    <s v="Fashion"/>
    <s v="East"/>
    <n v="5"/>
    <n v="185.43"/>
    <n v="927.15"/>
    <x v="0"/>
    <s v="Repeat Customer"/>
  </r>
  <r>
    <n v="11386"/>
    <s v="CUST324"/>
    <d v="2025-11-03T00:00:00"/>
    <s v="Home"/>
    <s v="West"/>
    <n v="8"/>
    <n v="85.11"/>
    <n v="680.88"/>
    <x v="0"/>
    <s v="Repeat Customer"/>
  </r>
  <r>
    <n v="11387"/>
    <s v="CUST283"/>
    <d v="2025-12-27T00:00:00"/>
    <s v="Home"/>
    <s v="North"/>
    <n v="4"/>
    <n v="59.78"/>
    <n v="239.12"/>
    <x v="1"/>
    <s v="Repeat Customer"/>
  </r>
  <r>
    <n v="11388"/>
    <s v="CUST302"/>
    <d v="2025-03-07T00:00:00"/>
    <s v="Fashion"/>
    <s v="South"/>
    <n v="6"/>
    <n v="450.99"/>
    <n v="2705.94"/>
    <x v="3"/>
    <s v="Repeat Customer"/>
  </r>
  <r>
    <n v="11389"/>
    <s v="CUST236"/>
    <d v="2024-05-01T00:00:00"/>
    <s v="Beauty"/>
    <s v="South"/>
    <n v="7"/>
    <n v="247.09"/>
    <n v="1729.63"/>
    <x v="2"/>
    <s v="Repeat Customer"/>
  </r>
  <r>
    <n v="11390"/>
    <s v="CUST304"/>
    <d v="2025-05-28T00:00:00"/>
    <s v="Electronics"/>
    <s v="North"/>
    <n v="7"/>
    <n v="70.05"/>
    <n v="490.35"/>
    <x v="1"/>
    <s v="New Customer"/>
  </r>
  <r>
    <n v="11391"/>
    <s v="CUST179"/>
    <d v="2024-12-18T00:00:00"/>
    <s v="Fashion"/>
    <s v="North"/>
    <n v="9"/>
    <n v="11.76"/>
    <n v="105.84"/>
    <x v="2"/>
    <s v="Repeat Customer"/>
  </r>
  <r>
    <n v="11392"/>
    <s v="CUST319"/>
    <d v="2025-09-03T00:00:00"/>
    <s v="Home"/>
    <s v="East"/>
    <n v="1"/>
    <n v="219.99"/>
    <n v="219.99"/>
    <x v="3"/>
    <s v="Repeat Customer"/>
  </r>
  <r>
    <n v="11393"/>
    <s v="CUST142"/>
    <d v="2025-03-15T00:00:00"/>
    <s v="Sports"/>
    <s v="South"/>
    <n v="4"/>
    <n v="310.72000000000003"/>
    <n v="1242.8800000000001"/>
    <x v="1"/>
    <s v="Repeat Customer"/>
  </r>
  <r>
    <n v="11394"/>
    <s v="CUST243"/>
    <d v="2024-04-27T00:00:00"/>
    <s v="Fashion"/>
    <s v="West"/>
    <n v="5"/>
    <n v="497.16"/>
    <n v="2485.8000000000002"/>
    <x v="1"/>
    <s v="Repeat Customer"/>
  </r>
  <r>
    <n v="11395"/>
    <s v="CUST342"/>
    <d v="2025-12-24T00:00:00"/>
    <s v="Sports"/>
    <s v="South"/>
    <n v="2"/>
    <n v="352.07"/>
    <n v="704.14"/>
    <x v="1"/>
    <s v="Repeat Customer"/>
  </r>
  <r>
    <n v="11396"/>
    <s v="CUST176"/>
    <d v="2024-08-22T00:00:00"/>
    <s v="Electronics"/>
    <s v="East"/>
    <n v="2"/>
    <n v="70.489999999999995"/>
    <n v="140.97999999999999"/>
    <x v="1"/>
    <s v="Repeat Customer"/>
  </r>
  <r>
    <n v="11397"/>
    <s v="CUST174"/>
    <d v="2025-03-12T00:00:00"/>
    <s v="Electronics"/>
    <s v="North"/>
    <n v="1"/>
    <n v="310.14999999999998"/>
    <n v="310.14999999999998"/>
    <x v="3"/>
    <s v="Repeat Customer"/>
  </r>
  <r>
    <n v="11398"/>
    <s v="CUST308"/>
    <d v="2025-06-21T00:00:00"/>
    <s v="Fashion"/>
    <s v="South"/>
    <n v="5"/>
    <n v="351.58"/>
    <n v="1757.9"/>
    <x v="2"/>
    <s v="Repeat Customer"/>
  </r>
  <r>
    <n v="11399"/>
    <s v="CUST318"/>
    <d v="2025-05-05T00:00:00"/>
    <s v="Electronics"/>
    <s v="East"/>
    <n v="1"/>
    <n v="257.38"/>
    <n v="257.38"/>
    <x v="0"/>
    <s v="Repeat Customer"/>
  </r>
  <r>
    <n v="11400"/>
    <s v="CUST237"/>
    <d v="2025-01-07T00:00:00"/>
    <s v="Beauty"/>
    <s v="South"/>
    <n v="5"/>
    <n v="471.78"/>
    <n v="2358.9"/>
    <x v="2"/>
    <s v="Repeat Customer"/>
  </r>
  <r>
    <n v="11401"/>
    <s v="CUST124"/>
    <d v="2024-07-05T00:00:00"/>
    <s v="Home"/>
    <s v="South"/>
    <n v="1"/>
    <n v="5.27"/>
    <n v="5.27"/>
    <x v="2"/>
    <s v="Repeat Customer"/>
  </r>
  <r>
    <n v="11402"/>
    <s v="CUST341"/>
    <d v="2024-10-13T00:00:00"/>
    <s v="Fashion"/>
    <s v="East"/>
    <n v="10"/>
    <n v="54.88"/>
    <n v="548.79999999999995"/>
    <x v="3"/>
    <s v="Repeat Customer"/>
  </r>
  <r>
    <n v="11403"/>
    <s v="CUST286"/>
    <d v="2024-12-08T00:00:00"/>
    <s v="Electronics"/>
    <s v="South"/>
    <n v="5"/>
    <n v="60.21"/>
    <n v="301.05"/>
    <x v="2"/>
    <s v="Repeat Customer"/>
  </r>
  <r>
    <n v="11404"/>
    <s v="CUST284"/>
    <d v="2025-01-05T00:00:00"/>
    <s v="Home"/>
    <s v="South"/>
    <n v="10"/>
    <n v="266.79000000000002"/>
    <n v="2667.9"/>
    <x v="2"/>
    <s v="Repeat Customer"/>
  </r>
  <r>
    <n v="11405"/>
    <s v="CUST207"/>
    <d v="2025-08-21T00:00:00"/>
    <s v="Electronics"/>
    <s v="South"/>
    <n v="7"/>
    <n v="48.18"/>
    <n v="337.26"/>
    <x v="0"/>
    <s v="Repeat Customer"/>
  </r>
  <r>
    <n v="11406"/>
    <s v="CUST121"/>
    <d v="2025-08-23T00:00:00"/>
    <s v="Beauty"/>
    <s v="North"/>
    <n v="4"/>
    <n v="100.5"/>
    <n v="402"/>
    <x v="0"/>
    <s v="Repeat Customer"/>
  </r>
  <r>
    <n v="11407"/>
    <s v="CUST379"/>
    <d v="2025-09-25T00:00:00"/>
    <s v="Beauty"/>
    <s v="South"/>
    <n v="6"/>
    <n v="154.22999999999999"/>
    <n v="925.38"/>
    <x v="1"/>
    <s v="Repeat Customer"/>
  </r>
  <r>
    <n v="11408"/>
    <s v="CUST122"/>
    <d v="2024-05-10T00:00:00"/>
    <s v="Home"/>
    <s v="East"/>
    <n v="4"/>
    <n v="212.02"/>
    <n v="848.08"/>
    <x v="2"/>
    <s v="Repeat Customer"/>
  </r>
  <r>
    <n v="11409"/>
    <s v="CUST329"/>
    <d v="2025-10-06T00:00:00"/>
    <s v="Electronics"/>
    <s v="West"/>
    <n v="2"/>
    <n v="455.87"/>
    <n v="911.74"/>
    <x v="3"/>
    <s v="Repeat Customer"/>
  </r>
  <r>
    <n v="11410"/>
    <s v="CUST368"/>
    <d v="2025-05-30T00:00:00"/>
    <s v="Home"/>
    <s v="South"/>
    <n v="1"/>
    <n v="87.63"/>
    <n v="87.63"/>
    <x v="2"/>
    <s v="Repeat Customer"/>
  </r>
  <r>
    <n v="11411"/>
    <s v="CUST123"/>
    <d v="2025-08-02T00:00:00"/>
    <s v="Fashion"/>
    <s v="West"/>
    <n v="1"/>
    <n v="398.22"/>
    <n v="398.22"/>
    <x v="3"/>
    <s v="Repeat Customer"/>
  </r>
  <r>
    <n v="11412"/>
    <s v="CUST372"/>
    <d v="2025-06-09T00:00:00"/>
    <s v="Sports"/>
    <s v="West"/>
    <n v="2"/>
    <n v="86.93"/>
    <n v="173.86"/>
    <x v="3"/>
    <s v="Repeat Customer"/>
  </r>
  <r>
    <n v="11413"/>
    <s v="CUST305"/>
    <d v="2025-09-13T00:00:00"/>
    <s v="Electronics"/>
    <s v="South"/>
    <n v="5"/>
    <n v="107.43"/>
    <n v="537.15"/>
    <x v="1"/>
    <s v="Repeat Customer"/>
  </r>
  <r>
    <n v="11414"/>
    <s v="CUST104"/>
    <d v="2025-06-09T00:00:00"/>
    <s v="Sports"/>
    <s v="East"/>
    <n v="8"/>
    <n v="254.39"/>
    <n v="2035.12"/>
    <x v="2"/>
    <s v="Repeat Customer"/>
  </r>
  <r>
    <n v="11415"/>
    <s v="CUST212"/>
    <d v="2024-10-30T00:00:00"/>
    <s v="Fashion"/>
    <s v="South"/>
    <n v="5"/>
    <n v="278.31"/>
    <n v="1391.55"/>
    <x v="0"/>
    <s v="Repeat Customer"/>
  </r>
  <r>
    <n v="11416"/>
    <s v="CUST373"/>
    <d v="2024-08-31T00:00:00"/>
    <s v="Fashion"/>
    <s v="East"/>
    <n v="5"/>
    <n v="24.35"/>
    <n v="121.75"/>
    <x v="1"/>
    <s v="Repeat Customer"/>
  </r>
  <r>
    <n v="11417"/>
    <s v="CUST238"/>
    <d v="2024-02-22T00:00:00"/>
    <s v="Fashion"/>
    <s v="North"/>
    <n v="4"/>
    <n v="494.82"/>
    <n v="1979.28"/>
    <x v="0"/>
    <s v="Repeat Customer"/>
  </r>
  <r>
    <n v="11418"/>
    <s v="CUST277"/>
    <d v="2025-10-09T00:00:00"/>
    <s v="Home"/>
    <s v="North"/>
    <n v="10"/>
    <n v="486.25"/>
    <n v="4862.5"/>
    <x v="2"/>
    <s v="Repeat Customer"/>
  </r>
  <r>
    <n v="11419"/>
    <s v="CUST168"/>
    <d v="2025-02-22T00:00:00"/>
    <s v="Electronics"/>
    <s v="North"/>
    <n v="10"/>
    <n v="150.97"/>
    <n v="1509.7"/>
    <x v="2"/>
    <s v="Repeat Customer"/>
  </r>
  <r>
    <n v="11420"/>
    <s v="CUST212"/>
    <d v="2024-10-13T00:00:00"/>
    <s v="Electronics"/>
    <s v="North"/>
    <n v="3"/>
    <n v="131.71"/>
    <n v="395.13"/>
    <x v="3"/>
    <s v="Repeat Customer"/>
  </r>
  <r>
    <n v="11421"/>
    <s v="CUST231"/>
    <d v="2025-10-03T00:00:00"/>
    <s v="Beauty"/>
    <s v="South"/>
    <n v="10"/>
    <n v="277.68"/>
    <n v="2776.8"/>
    <x v="2"/>
    <s v="Repeat Customer"/>
  </r>
  <r>
    <n v="11422"/>
    <s v="CUST237"/>
    <d v="2024-07-27T00:00:00"/>
    <s v="Beauty"/>
    <s v="South"/>
    <n v="10"/>
    <n v="316.75"/>
    <n v="3167.5"/>
    <x v="3"/>
    <s v="Repeat Customer"/>
  </r>
  <r>
    <n v="11423"/>
    <s v="CUST218"/>
    <d v="2025-03-20T00:00:00"/>
    <s v="Beauty"/>
    <s v="North"/>
    <n v="6"/>
    <n v="78.430000000000007"/>
    <n v="470.58"/>
    <x v="3"/>
    <s v="Repeat Customer"/>
  </r>
  <r>
    <n v="11424"/>
    <s v="CUST192"/>
    <d v="2025-04-15T00:00:00"/>
    <s v="Fashion"/>
    <s v="South"/>
    <n v="3"/>
    <n v="408.72"/>
    <n v="1226.1600000000001"/>
    <x v="3"/>
    <s v="Repeat Customer"/>
  </r>
  <r>
    <n v="11425"/>
    <s v="CUST192"/>
    <d v="2025-10-25T00:00:00"/>
    <s v="Fashion"/>
    <s v="South"/>
    <n v="5"/>
    <n v="15.42"/>
    <n v="77.099999999999994"/>
    <x v="3"/>
    <s v="Repeat Customer"/>
  </r>
  <r>
    <n v="11426"/>
    <s v="CUST196"/>
    <d v="2024-03-12T00:00:00"/>
    <s v="Fashion"/>
    <s v="West"/>
    <n v="3"/>
    <n v="40.659999999999997"/>
    <n v="121.98"/>
    <x v="3"/>
    <s v="Repeat Customer"/>
  </r>
  <r>
    <n v="11427"/>
    <s v="CUST151"/>
    <d v="2025-06-23T00:00:00"/>
    <s v="Electronics"/>
    <s v="North"/>
    <n v="3"/>
    <n v="364.75"/>
    <n v="1094.25"/>
    <x v="3"/>
    <s v="Repeat Customer"/>
  </r>
  <r>
    <n v="11428"/>
    <s v="CUST296"/>
    <d v="2024-01-22T00:00:00"/>
    <s v="Electronics"/>
    <s v="South"/>
    <n v="2"/>
    <n v="414.15"/>
    <n v="828.3"/>
    <x v="1"/>
    <s v="Repeat Customer"/>
  </r>
  <r>
    <n v="11429"/>
    <s v="CUST142"/>
    <d v="2024-10-01T00:00:00"/>
    <s v="Sports"/>
    <s v="North"/>
    <n v="3"/>
    <n v="469.61"/>
    <n v="1408.83"/>
    <x v="0"/>
    <s v="Repeat Customer"/>
  </r>
  <r>
    <n v="11430"/>
    <s v="CUST154"/>
    <d v="2025-07-09T00:00:00"/>
    <s v="Electronics"/>
    <s v="South"/>
    <n v="6"/>
    <n v="427.1"/>
    <n v="2562.6"/>
    <x v="1"/>
    <s v="Repeat Customer"/>
  </r>
  <r>
    <n v="11431"/>
    <s v="CUST345"/>
    <d v="2025-07-30T00:00:00"/>
    <s v="Home"/>
    <s v="East"/>
    <n v="8"/>
    <n v="408.66"/>
    <n v="3269.28"/>
    <x v="3"/>
    <s v="Repeat Customer"/>
  </r>
  <r>
    <n v="11432"/>
    <s v="CUST179"/>
    <d v="2024-09-06T00:00:00"/>
    <s v="Home"/>
    <s v="North"/>
    <n v="1"/>
    <n v="274.05"/>
    <n v="274.05"/>
    <x v="0"/>
    <s v="Repeat Customer"/>
  </r>
  <r>
    <n v="11433"/>
    <s v="CUST122"/>
    <d v="2024-04-15T00:00:00"/>
    <s v="Sports"/>
    <s v="West"/>
    <n v="9"/>
    <n v="151.88999999999999"/>
    <n v="1367.01"/>
    <x v="1"/>
    <s v="Repeat Customer"/>
  </r>
  <r>
    <n v="11434"/>
    <s v="CUST100"/>
    <d v="2024-08-17T00:00:00"/>
    <s v="Beauty"/>
    <s v="South"/>
    <n v="1"/>
    <n v="117.2"/>
    <n v="117.2"/>
    <x v="2"/>
    <s v="Repeat Customer"/>
  </r>
  <r>
    <n v="11435"/>
    <s v="CUST246"/>
    <d v="2024-08-19T00:00:00"/>
    <s v="Electronics"/>
    <s v="West"/>
    <n v="7"/>
    <n v="344.95"/>
    <n v="2414.65"/>
    <x v="1"/>
    <s v="Repeat Customer"/>
  </r>
  <r>
    <n v="11436"/>
    <s v="CUST156"/>
    <d v="2024-08-17T00:00:00"/>
    <s v="Home"/>
    <s v="East"/>
    <n v="2"/>
    <n v="478.45"/>
    <n v="956.9"/>
    <x v="0"/>
    <s v="Repeat Customer"/>
  </r>
  <r>
    <n v="11437"/>
    <s v="CUST270"/>
    <d v="2024-05-01T00:00:00"/>
    <s v="Electronics"/>
    <s v="North"/>
    <n v="6"/>
    <n v="462.04"/>
    <n v="2772.24"/>
    <x v="1"/>
    <s v="Repeat Customer"/>
  </r>
  <r>
    <n v="11438"/>
    <s v="CUST191"/>
    <d v="2025-03-14T00:00:00"/>
    <s v="Fashion"/>
    <s v="West"/>
    <n v="9"/>
    <n v="170.75"/>
    <n v="1536.75"/>
    <x v="1"/>
    <s v="Repeat Customer"/>
  </r>
  <r>
    <n v="11439"/>
    <s v="CUST254"/>
    <d v="2025-10-01T00:00:00"/>
    <s v="Electronics"/>
    <s v="East"/>
    <n v="5"/>
    <n v="177.45"/>
    <n v="887.25"/>
    <x v="3"/>
    <s v="Repeat Customer"/>
  </r>
  <r>
    <n v="11440"/>
    <s v="CUST288"/>
    <d v="2024-09-28T00:00:00"/>
    <s v="Fashion"/>
    <s v="South"/>
    <n v="2"/>
    <n v="395.48"/>
    <n v="790.96"/>
    <x v="2"/>
    <s v="Repeat Customer"/>
  </r>
  <r>
    <n v="11441"/>
    <s v="CUST175"/>
    <d v="2025-02-03T00:00:00"/>
    <s v="Beauty"/>
    <s v="North"/>
    <n v="8"/>
    <n v="362.07"/>
    <n v="2896.56"/>
    <x v="0"/>
    <s v="Repeat Customer"/>
  </r>
  <r>
    <n v="11442"/>
    <s v="CUST395"/>
    <d v="2025-03-13T00:00:00"/>
    <s v="Home"/>
    <s v="South"/>
    <n v="5"/>
    <n v="76.61"/>
    <n v="383.05"/>
    <x v="1"/>
    <s v="Repeat Customer"/>
  </r>
  <r>
    <n v="11443"/>
    <s v="CUST297"/>
    <d v="2024-12-27T00:00:00"/>
    <s v="Beauty"/>
    <s v="West"/>
    <n v="6"/>
    <n v="249.63"/>
    <n v="1497.78"/>
    <x v="2"/>
    <s v="Repeat Customer"/>
  </r>
  <r>
    <n v="11444"/>
    <s v="CUST170"/>
    <d v="2025-10-31T00:00:00"/>
    <s v="Sports"/>
    <s v="West"/>
    <n v="4"/>
    <n v="194.68"/>
    <n v="778.72"/>
    <x v="3"/>
    <s v="Repeat Customer"/>
  </r>
  <r>
    <n v="11445"/>
    <s v="CUST372"/>
    <d v="2025-07-03T00:00:00"/>
    <s v="Sports"/>
    <s v="West"/>
    <n v="4"/>
    <n v="195.39"/>
    <n v="781.56"/>
    <x v="1"/>
    <s v="Repeat Customer"/>
  </r>
  <r>
    <n v="11446"/>
    <s v="CUST144"/>
    <d v="2024-08-28T00:00:00"/>
    <s v="Electronics"/>
    <s v="East"/>
    <n v="6"/>
    <n v="6.42"/>
    <n v="38.520000000000003"/>
    <x v="3"/>
    <s v="Repeat Customer"/>
  </r>
  <r>
    <n v="11447"/>
    <s v="CUST168"/>
    <d v="2024-04-22T00:00:00"/>
    <s v="Home"/>
    <s v="South"/>
    <n v="1"/>
    <n v="456.12"/>
    <n v="456.12"/>
    <x v="2"/>
    <s v="Repeat Customer"/>
  </r>
  <r>
    <n v="11448"/>
    <s v="CUST335"/>
    <d v="2024-05-27T00:00:00"/>
    <s v="Beauty"/>
    <s v="South"/>
    <n v="9"/>
    <n v="486.05"/>
    <n v="4374.45"/>
    <x v="1"/>
    <s v="Repeat Customer"/>
  </r>
  <r>
    <n v="11449"/>
    <s v="CUST214"/>
    <d v="2024-02-27T00:00:00"/>
    <s v="Fashion"/>
    <s v="West"/>
    <n v="3"/>
    <n v="63.03"/>
    <n v="189.09"/>
    <x v="0"/>
    <s v="Repeat Customer"/>
  </r>
  <r>
    <n v="11450"/>
    <s v="CUST317"/>
    <d v="2025-01-15T00:00:00"/>
    <s v="Sports"/>
    <s v="North"/>
    <n v="1"/>
    <n v="352.19"/>
    <n v="352.19"/>
    <x v="3"/>
    <s v="Repeat Customer"/>
  </r>
  <r>
    <n v="11451"/>
    <s v="CUST180"/>
    <d v="2024-01-31T00:00:00"/>
    <s v="Electronics"/>
    <s v="South"/>
    <n v="3"/>
    <n v="185.8"/>
    <n v="557.4"/>
    <x v="0"/>
    <s v="Repeat Customer"/>
  </r>
  <r>
    <n v="11452"/>
    <s v="CUST106"/>
    <d v="2025-08-05T00:00:00"/>
    <s v="Fashion"/>
    <s v="West"/>
    <n v="7"/>
    <n v="79.11"/>
    <n v="553.77"/>
    <x v="1"/>
    <s v="Repeat Customer"/>
  </r>
  <r>
    <n v="11453"/>
    <s v="CUST370"/>
    <d v="2025-12-16T00:00:00"/>
    <s v="Home"/>
    <s v="West"/>
    <n v="5"/>
    <n v="237.74"/>
    <n v="1188.7"/>
    <x v="0"/>
    <s v="Repeat Customer"/>
  </r>
  <r>
    <n v="11454"/>
    <s v="CUST246"/>
    <d v="2024-04-23T00:00:00"/>
    <s v="Electronics"/>
    <s v="South"/>
    <n v="3"/>
    <n v="34.700000000000003"/>
    <n v="104.1"/>
    <x v="1"/>
    <s v="Repeat Customer"/>
  </r>
  <r>
    <n v="11455"/>
    <s v="CUST105"/>
    <d v="2025-02-09T00:00:00"/>
    <s v="Beauty"/>
    <s v="East"/>
    <n v="7"/>
    <n v="341.55"/>
    <n v="2390.85"/>
    <x v="2"/>
    <s v="Repeat Customer"/>
  </r>
  <r>
    <n v="11456"/>
    <s v="CUST216"/>
    <d v="2025-03-09T00:00:00"/>
    <s v="Electronics"/>
    <s v="West"/>
    <n v="3"/>
    <n v="139.55000000000001"/>
    <n v="418.65"/>
    <x v="1"/>
    <s v="Repeat Customer"/>
  </r>
  <r>
    <n v="11457"/>
    <s v="CUST208"/>
    <d v="2025-02-14T00:00:00"/>
    <s v="Beauty"/>
    <s v="South"/>
    <n v="10"/>
    <n v="32.72"/>
    <n v="327.2"/>
    <x v="0"/>
    <s v="Repeat Customer"/>
  </r>
  <r>
    <n v="11458"/>
    <s v="CUST339"/>
    <d v="2025-05-03T00:00:00"/>
    <s v="Beauty"/>
    <s v="West"/>
    <n v="6"/>
    <n v="328.09"/>
    <n v="1968.54"/>
    <x v="1"/>
    <s v="Repeat Customer"/>
  </r>
  <r>
    <n v="11459"/>
    <s v="CUST127"/>
    <d v="2025-01-15T00:00:00"/>
    <s v="Electronics"/>
    <s v="North"/>
    <n v="7"/>
    <n v="101.39"/>
    <n v="709.73"/>
    <x v="0"/>
    <s v="Repeat Customer"/>
  </r>
  <r>
    <n v="11460"/>
    <s v="CUST285"/>
    <d v="2025-09-09T00:00:00"/>
    <s v="Home"/>
    <s v="South"/>
    <n v="6"/>
    <n v="18.88"/>
    <n v="113.28"/>
    <x v="0"/>
    <s v="Repeat Customer"/>
  </r>
  <r>
    <n v="11461"/>
    <s v="CUST133"/>
    <d v="2024-08-04T00:00:00"/>
    <s v="Home"/>
    <s v="South"/>
    <n v="10"/>
    <n v="10.43"/>
    <n v="104.3"/>
    <x v="1"/>
    <s v="Repeat Customer"/>
  </r>
  <r>
    <n v="11462"/>
    <s v="CUST116"/>
    <d v="2024-09-03T00:00:00"/>
    <s v="Sports"/>
    <s v="North"/>
    <n v="5"/>
    <n v="47.09"/>
    <n v="235.45"/>
    <x v="3"/>
    <s v="Repeat Customer"/>
  </r>
  <r>
    <n v="11463"/>
    <s v="CUST123"/>
    <d v="2024-02-19T00:00:00"/>
    <s v="Home"/>
    <s v="North"/>
    <n v="6"/>
    <n v="51.14"/>
    <n v="306.83999999999997"/>
    <x v="2"/>
    <s v="Repeat Customer"/>
  </r>
  <r>
    <n v="11464"/>
    <s v="CUST244"/>
    <d v="2025-02-11T00:00:00"/>
    <s v="Beauty"/>
    <s v="East"/>
    <n v="9"/>
    <n v="101.47"/>
    <n v="913.23"/>
    <x v="1"/>
    <s v="Repeat Customer"/>
  </r>
  <r>
    <n v="11465"/>
    <s v="CUST149"/>
    <d v="2024-12-05T00:00:00"/>
    <s v="Sports"/>
    <s v="North"/>
    <n v="7"/>
    <n v="448.77"/>
    <n v="3141.39"/>
    <x v="1"/>
    <s v="Repeat Customer"/>
  </r>
  <r>
    <n v="11466"/>
    <s v="CUST112"/>
    <d v="2025-08-24T00:00:00"/>
    <s v="Electronics"/>
    <s v="East"/>
    <n v="7"/>
    <n v="241.09"/>
    <n v="1687.63"/>
    <x v="1"/>
    <s v="Repeat Customer"/>
  </r>
  <r>
    <n v="11467"/>
    <s v="CUST177"/>
    <d v="2025-11-29T00:00:00"/>
    <s v="Electronics"/>
    <s v="South"/>
    <n v="8"/>
    <n v="43.98"/>
    <n v="351.84"/>
    <x v="1"/>
    <s v="Repeat Customer"/>
  </r>
  <r>
    <n v="11468"/>
    <s v="CUST172"/>
    <d v="2024-06-13T00:00:00"/>
    <s v="Sports"/>
    <s v="East"/>
    <n v="9"/>
    <n v="260.57"/>
    <n v="2345.13"/>
    <x v="3"/>
    <s v="Repeat Customer"/>
  </r>
  <r>
    <n v="11469"/>
    <s v="CUST167"/>
    <d v="2024-12-13T00:00:00"/>
    <s v="Beauty"/>
    <s v="North"/>
    <n v="5"/>
    <n v="183.36"/>
    <n v="916.8"/>
    <x v="3"/>
    <s v="Repeat Customer"/>
  </r>
  <r>
    <n v="11470"/>
    <s v="CUST222"/>
    <d v="2024-08-01T00:00:00"/>
    <s v="Fashion"/>
    <s v="West"/>
    <n v="10"/>
    <n v="305.39999999999998"/>
    <n v="3054"/>
    <x v="0"/>
    <s v="Repeat Customer"/>
  </r>
  <r>
    <n v="11471"/>
    <s v="CUST107"/>
    <d v="2024-05-26T00:00:00"/>
    <s v="Electronics"/>
    <s v="West"/>
    <n v="5"/>
    <n v="275.83"/>
    <n v="1379.15"/>
    <x v="0"/>
    <s v="Repeat Customer"/>
  </r>
  <r>
    <n v="11472"/>
    <s v="CUST332"/>
    <d v="2024-11-17T00:00:00"/>
    <s v="Fashion"/>
    <s v="North"/>
    <n v="3"/>
    <n v="467.36"/>
    <n v="1402.08"/>
    <x v="2"/>
    <s v="Repeat Customer"/>
  </r>
  <r>
    <n v="11473"/>
    <s v="CUST395"/>
    <d v="2025-01-07T00:00:00"/>
    <s v="Fashion"/>
    <s v="West"/>
    <n v="6"/>
    <n v="49.17"/>
    <n v="295.02"/>
    <x v="2"/>
    <s v="Repeat Customer"/>
  </r>
  <r>
    <n v="11474"/>
    <s v="CUST342"/>
    <d v="2024-09-19T00:00:00"/>
    <s v="Fashion"/>
    <s v="North"/>
    <n v="8"/>
    <n v="326.89"/>
    <n v="2615.12"/>
    <x v="3"/>
    <s v="Repeat Customer"/>
  </r>
  <r>
    <n v="11475"/>
    <s v="CUST120"/>
    <d v="2025-01-07T00:00:00"/>
    <s v="Sports"/>
    <s v="South"/>
    <n v="5"/>
    <n v="203.46"/>
    <n v="1017.3"/>
    <x v="3"/>
    <s v="Repeat Customer"/>
  </r>
  <r>
    <n v="11476"/>
    <s v="CUST287"/>
    <d v="2025-06-08T00:00:00"/>
    <s v="Home"/>
    <s v="North"/>
    <n v="10"/>
    <n v="476.26"/>
    <n v="4762.6000000000004"/>
    <x v="3"/>
    <s v="Repeat Customer"/>
  </r>
  <r>
    <n v="11477"/>
    <s v="CUST359"/>
    <d v="2025-04-05T00:00:00"/>
    <s v="Electronics"/>
    <s v="North"/>
    <n v="5"/>
    <n v="439.32"/>
    <n v="2196.6"/>
    <x v="1"/>
    <s v="Repeat Customer"/>
  </r>
  <r>
    <n v="11478"/>
    <s v="CUST387"/>
    <d v="2024-01-09T00:00:00"/>
    <s v="Home"/>
    <s v="West"/>
    <n v="3"/>
    <n v="427.26"/>
    <n v="1281.78"/>
    <x v="1"/>
    <s v="Repeat Customer"/>
  </r>
  <r>
    <n v="11479"/>
    <s v="CUST391"/>
    <d v="2025-02-12T00:00:00"/>
    <s v="Beauty"/>
    <s v="North"/>
    <n v="2"/>
    <n v="115.41"/>
    <n v="230.82"/>
    <x v="2"/>
    <s v="Repeat Customer"/>
  </r>
  <r>
    <n v="11480"/>
    <s v="CUST338"/>
    <d v="2025-04-24T00:00:00"/>
    <s v="Beauty"/>
    <s v="North"/>
    <n v="9"/>
    <n v="450.56"/>
    <n v="4055.04"/>
    <x v="0"/>
    <s v="Repeat Customer"/>
  </r>
  <r>
    <n v="11481"/>
    <s v="CUST192"/>
    <d v="2024-04-20T00:00:00"/>
    <s v="Fashion"/>
    <s v="West"/>
    <n v="7"/>
    <n v="385.27"/>
    <n v="2696.89"/>
    <x v="2"/>
    <s v="Repeat Customer"/>
  </r>
  <r>
    <n v="11482"/>
    <s v="CUST133"/>
    <d v="2024-11-20T00:00:00"/>
    <s v="Beauty"/>
    <s v="South"/>
    <n v="6"/>
    <n v="498.24"/>
    <n v="2989.44"/>
    <x v="3"/>
    <s v="Repeat Customer"/>
  </r>
  <r>
    <n v="11483"/>
    <s v="CUST158"/>
    <d v="2024-10-12T00:00:00"/>
    <s v="Fashion"/>
    <s v="West"/>
    <n v="8"/>
    <n v="23.95"/>
    <n v="191.6"/>
    <x v="1"/>
    <s v="Repeat Customer"/>
  </r>
  <r>
    <n v="11484"/>
    <s v="CUST209"/>
    <d v="2024-11-23T00:00:00"/>
    <s v="Sports"/>
    <s v="West"/>
    <n v="10"/>
    <n v="20.51"/>
    <n v="205.1"/>
    <x v="0"/>
    <s v="Repeat Customer"/>
  </r>
  <r>
    <n v="11485"/>
    <s v="CUST285"/>
    <d v="2025-03-16T00:00:00"/>
    <s v="Fashion"/>
    <s v="North"/>
    <n v="8"/>
    <n v="110.64"/>
    <n v="885.12"/>
    <x v="3"/>
    <s v="Repeat Customer"/>
  </r>
  <r>
    <n v="11486"/>
    <s v="CUST238"/>
    <d v="2024-09-15T00:00:00"/>
    <s v="Electronics"/>
    <s v="East"/>
    <n v="3"/>
    <n v="46.38"/>
    <n v="139.13999999999999"/>
    <x v="3"/>
    <s v="Repeat Customer"/>
  </r>
  <r>
    <n v="11487"/>
    <s v="CUST141"/>
    <d v="2024-11-01T00:00:00"/>
    <s v="Sports"/>
    <s v="South"/>
    <n v="8"/>
    <n v="436.29"/>
    <n v="3490.32"/>
    <x v="2"/>
    <s v="Repeat Customer"/>
  </r>
  <r>
    <n v="11488"/>
    <s v="CUST194"/>
    <d v="2024-02-25T00:00:00"/>
    <s v="Beauty"/>
    <s v="East"/>
    <n v="2"/>
    <n v="448"/>
    <n v="896"/>
    <x v="2"/>
    <s v="Repeat Customer"/>
  </r>
  <r>
    <n v="11489"/>
    <s v="CUST184"/>
    <d v="2024-07-22T00:00:00"/>
    <s v="Beauty"/>
    <s v="West"/>
    <n v="6"/>
    <n v="471.26"/>
    <n v="2827.56"/>
    <x v="1"/>
    <s v="Repeat Customer"/>
  </r>
  <r>
    <n v="11490"/>
    <s v="CUST323"/>
    <d v="2024-12-29T00:00:00"/>
    <s v="Electronics"/>
    <s v="South"/>
    <n v="10"/>
    <n v="197.62"/>
    <n v="1976.2"/>
    <x v="0"/>
    <s v="Repeat Customer"/>
  </r>
  <r>
    <n v="11491"/>
    <s v="CUST396"/>
    <d v="2025-09-23T00:00:00"/>
    <s v="Home"/>
    <s v="North"/>
    <n v="3"/>
    <n v="165.25"/>
    <n v="495.75"/>
    <x v="1"/>
    <s v="Repeat Customer"/>
  </r>
  <r>
    <n v="11492"/>
    <s v="CUST334"/>
    <d v="2024-05-31T00:00:00"/>
    <s v="Electronics"/>
    <s v="West"/>
    <n v="8"/>
    <n v="432.83"/>
    <n v="3462.64"/>
    <x v="2"/>
    <s v="Repeat Customer"/>
  </r>
  <r>
    <n v="11493"/>
    <s v="CUST366"/>
    <d v="2024-01-04T00:00:00"/>
    <s v="Fashion"/>
    <s v="West"/>
    <n v="8"/>
    <n v="471.95"/>
    <n v="3775.6"/>
    <x v="0"/>
    <s v="Repeat Customer"/>
  </r>
  <r>
    <n v="11494"/>
    <s v="CUST118"/>
    <d v="2024-08-11T00:00:00"/>
    <s v="Sports"/>
    <s v="South"/>
    <n v="4"/>
    <n v="212.99"/>
    <n v="851.96"/>
    <x v="3"/>
    <s v="Repeat Customer"/>
  </r>
  <r>
    <n v="11495"/>
    <s v="CUST210"/>
    <d v="2024-12-22T00:00:00"/>
    <s v="Sports"/>
    <s v="North"/>
    <n v="4"/>
    <n v="476.43"/>
    <n v="1905.72"/>
    <x v="2"/>
    <s v="Repeat Customer"/>
  </r>
  <r>
    <n v="11496"/>
    <s v="CUST286"/>
    <d v="2024-01-17T00:00:00"/>
    <s v="Sports"/>
    <s v="North"/>
    <n v="5"/>
    <n v="448.84"/>
    <n v="2244.1999999999998"/>
    <x v="3"/>
    <s v="Repeat Customer"/>
  </r>
  <r>
    <n v="11497"/>
    <s v="CUST333"/>
    <d v="2025-02-27T00:00:00"/>
    <s v="Sports"/>
    <s v="West"/>
    <n v="7"/>
    <n v="179.11"/>
    <n v="1253.77"/>
    <x v="2"/>
    <s v="Repeat Customer"/>
  </r>
  <r>
    <n v="11498"/>
    <s v="CUST158"/>
    <d v="2024-06-29T00:00:00"/>
    <s v="Fashion"/>
    <s v="South"/>
    <n v="8"/>
    <n v="217.05"/>
    <n v="1736.4"/>
    <x v="3"/>
    <s v="Repeat Customer"/>
  </r>
  <r>
    <n v="11499"/>
    <s v="CUST295"/>
    <d v="2024-10-18T00:00:00"/>
    <s v="Sports"/>
    <s v="North"/>
    <n v="7"/>
    <n v="318.88"/>
    <n v="2232.16"/>
    <x v="0"/>
    <s v="Repeat Customer"/>
  </r>
  <r>
    <n v="11500"/>
    <s v="CUST153"/>
    <d v="2024-04-01T00:00:00"/>
    <s v="Beauty"/>
    <s v="North"/>
    <n v="1"/>
    <n v="310.05"/>
    <n v="310.05"/>
    <x v="3"/>
    <s v="Repeat Customer"/>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s v="CUST157"/>
    <d v="2024-01-26T00:00:00"/>
    <s v="Fashion"/>
    <x v="0"/>
    <n v="5"/>
    <n v="126.22"/>
    <n v="631.1"/>
    <s v="Credit Card"/>
    <s v="Repeat Customer"/>
  </r>
  <r>
    <n v="10002"/>
    <s v="CUST316"/>
    <d v="2024-02-02T00:00:00"/>
    <s v="Fashion"/>
    <x v="0"/>
    <n v="1"/>
    <n v="51.38"/>
    <n v="51.38"/>
    <s v="UPI"/>
    <s v="Repeat Customer"/>
  </r>
  <r>
    <n v="10003"/>
    <s v="CUST379"/>
    <d v="2025-03-05T00:00:00"/>
    <s v="Home"/>
    <x v="0"/>
    <n v="4"/>
    <n v="227.36"/>
    <n v="909.44"/>
    <s v="UPI"/>
    <s v="Repeat Customer"/>
  </r>
  <r>
    <n v="10004"/>
    <s v="CUST316"/>
    <d v="2024-12-14T00:00:00"/>
    <s v="Home"/>
    <x v="0"/>
    <n v="5"/>
    <n v="81.96"/>
    <n v="409.8"/>
    <s v="Credit Card"/>
    <s v="Repeat Customer"/>
  </r>
  <r>
    <n v="10005"/>
    <s v="CUST294"/>
    <d v="2024-04-09T00:00:00"/>
    <s v="Sports"/>
    <x v="1"/>
    <n v="6"/>
    <n v="424.51"/>
    <n v="2547.06"/>
    <s v="Credit Card"/>
    <s v="Repeat Customer"/>
  </r>
  <r>
    <n v="10006"/>
    <s v="CUST335"/>
    <d v="2025-07-03T00:00:00"/>
    <s v="Beauty"/>
    <x v="0"/>
    <n v="2"/>
    <n v="486.69"/>
    <n v="973.38"/>
    <s v="Net Banking"/>
    <s v="Repeat Customer"/>
  </r>
  <r>
    <n v="10007"/>
    <s v="CUST285"/>
    <d v="2025-08-14T00:00:00"/>
    <s v="Electronics"/>
    <x v="2"/>
    <n v="4"/>
    <n v="353.76"/>
    <n v="1415.04"/>
    <s v="Net Banking"/>
    <s v="Repeat Customer"/>
  </r>
  <r>
    <n v="10008"/>
    <s v="CUST140"/>
    <d v="2024-08-26T00:00:00"/>
    <s v="Beauty"/>
    <x v="1"/>
    <n v="2"/>
    <n v="193.16"/>
    <n v="386.32"/>
    <s v="UPI"/>
    <s v="Repeat Customer"/>
  </r>
  <r>
    <n v="10009"/>
    <s v="CUST289"/>
    <d v="2024-12-29T00:00:00"/>
    <s v="Electronics"/>
    <x v="2"/>
    <n v="4"/>
    <n v="336.74"/>
    <n v="1346.96"/>
    <s v="UPI"/>
    <s v="Repeat Customer"/>
  </r>
  <r>
    <n v="10010"/>
    <s v="CUST183"/>
    <d v="2025-04-18T00:00:00"/>
    <s v="Sports"/>
    <x v="2"/>
    <n v="7"/>
    <n v="138.62"/>
    <n v="970.34"/>
    <s v="Net Banking"/>
    <s v="Repeat Customer"/>
  </r>
  <r>
    <n v="10011"/>
    <s v="CUST128"/>
    <d v="2024-08-22T00:00:00"/>
    <s v="Beauty"/>
    <x v="1"/>
    <n v="1"/>
    <n v="403.5"/>
    <n v="403.5"/>
    <s v="Credit Card"/>
    <s v="Repeat Customer"/>
  </r>
  <r>
    <n v="10012"/>
    <s v="CUST208"/>
    <d v="2025-08-03T00:00:00"/>
    <s v="Beauty"/>
    <x v="3"/>
    <n v="6"/>
    <n v="110.25"/>
    <n v="661.5"/>
    <s v="Wallet"/>
    <s v="Repeat Customer"/>
  </r>
  <r>
    <n v="10013"/>
    <s v="CUST173"/>
    <d v="2024-09-28T00:00:00"/>
    <s v="Sports"/>
    <x v="1"/>
    <n v="3"/>
    <n v="127.08"/>
    <n v="381.24"/>
    <s v="Wallet"/>
    <s v="Repeat Customer"/>
  </r>
  <r>
    <n v="10014"/>
    <s v="CUST398"/>
    <d v="2025-02-12T00:00:00"/>
    <s v="Fashion"/>
    <x v="3"/>
    <n v="6"/>
    <n v="113.56"/>
    <n v="681.36"/>
    <s v="Credit Card"/>
    <s v="Repeat Customer"/>
  </r>
  <r>
    <n v="10015"/>
    <s v="CUST124"/>
    <d v="2024-04-22T00:00:00"/>
    <s v="Beauty"/>
    <x v="0"/>
    <n v="3"/>
    <n v="315.58999999999997"/>
    <n v="946.77"/>
    <s v="Wallet"/>
    <s v="Repeat Customer"/>
  </r>
  <r>
    <n v="10016"/>
    <s v="CUST295"/>
    <d v="2025-09-02T00:00:00"/>
    <s v="Sports"/>
    <x v="0"/>
    <n v="8"/>
    <n v="266.91000000000003"/>
    <n v="2135.2800000000002"/>
    <s v="Credit Card"/>
    <s v="Repeat Customer"/>
  </r>
  <r>
    <n v="10017"/>
    <s v="CUST374"/>
    <d v="2024-09-30T00:00:00"/>
    <s v="Beauty"/>
    <x v="2"/>
    <n v="6"/>
    <n v="60.22"/>
    <n v="361.32"/>
    <s v="Wallet"/>
    <s v="Repeat Customer"/>
  </r>
  <r>
    <n v="10018"/>
    <s v="CUST101"/>
    <d v="2024-09-26T00:00:00"/>
    <s v="Sports"/>
    <x v="0"/>
    <n v="9"/>
    <n v="382.17"/>
    <n v="3439.53"/>
    <s v="Net Banking"/>
    <s v="Repeat Customer"/>
  </r>
  <r>
    <n v="10019"/>
    <s v="CUST359"/>
    <d v="2025-09-15T00:00:00"/>
    <s v="Fashion"/>
    <x v="0"/>
    <n v="4"/>
    <n v="80.66"/>
    <n v="322.64"/>
    <s v="Net Banking"/>
    <s v="Repeat Customer"/>
  </r>
  <r>
    <n v="10020"/>
    <s v="CUST350"/>
    <d v="2024-01-20T00:00:00"/>
    <s v="Home"/>
    <x v="2"/>
    <n v="2"/>
    <n v="464.9"/>
    <n v="929.8"/>
    <s v="Credit Card"/>
    <s v="Repeat Customer"/>
  </r>
  <r>
    <n v="10021"/>
    <s v="CUST223"/>
    <d v="2025-08-03T00:00:00"/>
    <s v="Beauty"/>
    <x v="0"/>
    <n v="2"/>
    <n v="47.4"/>
    <n v="94.8"/>
    <s v="UPI"/>
    <s v="Repeat Customer"/>
  </r>
  <r>
    <n v="10022"/>
    <s v="CUST165"/>
    <d v="2025-11-06T00:00:00"/>
    <s v="Fashion"/>
    <x v="1"/>
    <n v="8"/>
    <n v="473.69"/>
    <n v="3789.52"/>
    <s v="Wallet"/>
    <s v="Repeat Customer"/>
  </r>
  <r>
    <n v="10023"/>
    <s v="CUST208"/>
    <d v="2025-07-06T00:00:00"/>
    <s v="Beauty"/>
    <x v="1"/>
    <n v="4"/>
    <n v="357.91"/>
    <n v="1431.64"/>
    <s v="Wallet"/>
    <s v="Repeat Customer"/>
  </r>
  <r>
    <n v="10024"/>
    <s v="CUST364"/>
    <d v="2025-04-07T00:00:00"/>
    <s v="Electronics"/>
    <x v="1"/>
    <n v="2"/>
    <n v="127.71"/>
    <n v="255.42"/>
    <s v="Credit Card"/>
    <s v="Repeat Customer"/>
  </r>
  <r>
    <n v="10025"/>
    <s v="CUST383"/>
    <d v="2024-08-23T00:00:00"/>
    <s v="Electronics"/>
    <x v="0"/>
    <n v="10"/>
    <n v="114.01"/>
    <n v="1140.0999999999999"/>
    <s v="UPI"/>
    <s v="Repeat Customer"/>
  </r>
  <r>
    <n v="10026"/>
    <s v="CUST134"/>
    <d v="2024-02-02T00:00:00"/>
    <s v="Fashion"/>
    <x v="1"/>
    <n v="6"/>
    <n v="40.07"/>
    <n v="240.42"/>
    <s v="Wallet"/>
    <s v="Repeat Customer"/>
  </r>
  <r>
    <n v="10027"/>
    <s v="CUST209"/>
    <d v="2025-07-06T00:00:00"/>
    <s v="Sports"/>
    <x v="3"/>
    <n v="3"/>
    <n v="363.06"/>
    <n v="1089.18"/>
    <s v="UPI"/>
    <s v="Repeat Customer"/>
  </r>
  <r>
    <n v="10028"/>
    <s v="CUST342"/>
    <d v="2025-02-20T00:00:00"/>
    <s v="Beauty"/>
    <x v="1"/>
    <n v="4"/>
    <n v="51.69"/>
    <n v="206.76"/>
    <s v="Wallet"/>
    <s v="Repeat Customer"/>
  </r>
  <r>
    <n v="10029"/>
    <s v="CUST310"/>
    <d v="2025-04-23T00:00:00"/>
    <s v="Electronics"/>
    <x v="0"/>
    <n v="1"/>
    <n v="338.32"/>
    <n v="338.32"/>
    <s v="Wallet"/>
    <s v="Repeat Customer"/>
  </r>
  <r>
    <n v="10030"/>
    <s v="CUST273"/>
    <d v="2024-04-21T00:00:00"/>
    <s v="Sports"/>
    <x v="3"/>
    <n v="4"/>
    <n v="99.84"/>
    <n v="399.36"/>
    <s v="UPI"/>
    <s v="Repeat Customer"/>
  </r>
  <r>
    <n v="10031"/>
    <s v="CUST316"/>
    <d v="2024-07-06T00:00:00"/>
    <s v="Electronics"/>
    <x v="3"/>
    <n v="5"/>
    <n v="234"/>
    <n v="1170"/>
    <s v="Credit Card"/>
    <s v="Repeat Customer"/>
  </r>
  <r>
    <n v="10032"/>
    <s v="CUST125"/>
    <d v="2025-10-29T00:00:00"/>
    <s v="Electronics"/>
    <x v="2"/>
    <n v="9"/>
    <n v="418.83"/>
    <n v="3769.47"/>
    <s v="UPI"/>
    <s v="Repeat Customer"/>
  </r>
  <r>
    <n v="10033"/>
    <s v="CUST308"/>
    <d v="2025-05-12T00:00:00"/>
    <s v="Beauty"/>
    <x v="0"/>
    <n v="8"/>
    <n v="110.8"/>
    <n v="886.4"/>
    <s v="UPI"/>
    <s v="Repeat Customer"/>
  </r>
  <r>
    <n v="10034"/>
    <s v="CUST294"/>
    <d v="2024-01-03T00:00:00"/>
    <s v="Beauty"/>
    <x v="1"/>
    <n v="7"/>
    <n v="136.28"/>
    <n v="953.96"/>
    <s v="Wallet"/>
    <s v="Repeat Customer"/>
  </r>
  <r>
    <n v="10035"/>
    <s v="CUST384"/>
    <d v="2025-11-08T00:00:00"/>
    <s v="Home"/>
    <x v="2"/>
    <n v="8"/>
    <n v="81.62"/>
    <n v="652.96"/>
    <s v="Credit Card"/>
    <s v="Repeat Customer"/>
  </r>
  <r>
    <n v="10036"/>
    <s v="CUST396"/>
    <d v="2025-07-09T00:00:00"/>
    <s v="Electronics"/>
    <x v="0"/>
    <n v="1"/>
    <n v="375.25"/>
    <n v="375.25"/>
    <s v="Wallet"/>
    <s v="Repeat Customer"/>
  </r>
  <r>
    <n v="10037"/>
    <s v="CUST357"/>
    <d v="2025-06-27T00:00:00"/>
    <s v="Sports"/>
    <x v="0"/>
    <n v="3"/>
    <n v="33.159999999999997"/>
    <n v="99.48"/>
    <s v="UPI"/>
    <s v="Repeat Customer"/>
  </r>
  <r>
    <n v="10038"/>
    <s v="CUST135"/>
    <d v="2025-09-01T00:00:00"/>
    <s v="Fashion"/>
    <x v="3"/>
    <n v="2"/>
    <n v="339.23"/>
    <n v="678.46"/>
    <s v="Credit Card"/>
    <s v="Repeat Customer"/>
  </r>
  <r>
    <n v="10039"/>
    <s v="CUST391"/>
    <d v="2024-09-09T00:00:00"/>
    <s v="Sports"/>
    <x v="0"/>
    <n v="10"/>
    <n v="299.29000000000002"/>
    <n v="2992.9"/>
    <s v="Wallet"/>
    <s v="Repeat Customer"/>
  </r>
  <r>
    <n v="10040"/>
    <s v="CUST398"/>
    <d v="2025-08-01T00:00:00"/>
    <s v="Home"/>
    <x v="2"/>
    <n v="9"/>
    <n v="161.6"/>
    <n v="1454.4"/>
    <s v="Net Banking"/>
    <s v="Repeat Customer"/>
  </r>
  <r>
    <n v="10041"/>
    <s v="CUST222"/>
    <d v="2024-09-28T00:00:00"/>
    <s v="Home"/>
    <x v="3"/>
    <n v="7"/>
    <n v="69.78"/>
    <n v="488.46"/>
    <s v="Net Banking"/>
    <s v="Repeat Customer"/>
  </r>
  <r>
    <n v="10042"/>
    <s v="CUST137"/>
    <d v="2024-01-10T00:00:00"/>
    <s v="Sports"/>
    <x v="0"/>
    <n v="8"/>
    <n v="312.47000000000003"/>
    <n v="2499.7600000000002"/>
    <s v="Credit Card"/>
    <s v="New Customer"/>
  </r>
  <r>
    <n v="10043"/>
    <s v="CUST375"/>
    <d v="2024-08-06T00:00:00"/>
    <s v="Home"/>
    <x v="0"/>
    <n v="9"/>
    <n v="136.27000000000001"/>
    <n v="1226.43"/>
    <s v="UPI"/>
    <s v="Repeat Customer"/>
  </r>
  <r>
    <n v="10044"/>
    <s v="CUST289"/>
    <d v="2024-10-18T00:00:00"/>
    <s v="Sports"/>
    <x v="1"/>
    <n v="3"/>
    <n v="221.9"/>
    <n v="665.7"/>
    <s v="Credit Card"/>
    <s v="Repeat Customer"/>
  </r>
  <r>
    <n v="10045"/>
    <s v="CUST383"/>
    <d v="2024-11-02T00:00:00"/>
    <s v="Fashion"/>
    <x v="1"/>
    <n v="2"/>
    <n v="469.77"/>
    <n v="939.54"/>
    <s v="Credit Card"/>
    <s v="Repeat Customer"/>
  </r>
  <r>
    <n v="10046"/>
    <s v="CUST154"/>
    <d v="2025-07-20T00:00:00"/>
    <s v="Sports"/>
    <x v="2"/>
    <n v="3"/>
    <n v="139.81"/>
    <n v="419.43"/>
    <s v="Net Banking"/>
    <s v="Repeat Customer"/>
  </r>
  <r>
    <n v="10047"/>
    <s v="CUST204"/>
    <d v="2025-12-04T00:00:00"/>
    <s v="Home"/>
    <x v="0"/>
    <n v="5"/>
    <n v="255.18"/>
    <n v="1275.9000000000001"/>
    <s v="Credit Card"/>
    <s v="Repeat Customer"/>
  </r>
  <r>
    <n v="10048"/>
    <s v="CUST316"/>
    <d v="2024-10-10T00:00:00"/>
    <s v="Fashion"/>
    <x v="1"/>
    <n v="1"/>
    <n v="6.76"/>
    <n v="6.76"/>
    <s v="UPI"/>
    <s v="Repeat Customer"/>
  </r>
  <r>
    <n v="10049"/>
    <s v="CUST326"/>
    <d v="2025-07-18T00:00:00"/>
    <s v="Electronics"/>
    <x v="0"/>
    <n v="7"/>
    <n v="282.64999999999998"/>
    <n v="1978.55"/>
    <s v="UPI"/>
    <s v="Repeat Customer"/>
  </r>
  <r>
    <n v="10050"/>
    <s v="CUST379"/>
    <d v="2024-02-06T00:00:00"/>
    <s v="Fashion"/>
    <x v="3"/>
    <n v="6"/>
    <n v="293.33999999999997"/>
    <n v="1760.04"/>
    <s v="UPI"/>
    <s v="Repeat Customer"/>
  </r>
  <r>
    <n v="10051"/>
    <s v="CUST121"/>
    <d v="2024-11-11T00:00:00"/>
    <s v="Electronics"/>
    <x v="1"/>
    <n v="6"/>
    <n v="450"/>
    <n v="2700"/>
    <s v="UPI"/>
    <s v="Repeat Customer"/>
  </r>
  <r>
    <n v="10052"/>
    <s v="CUST227"/>
    <d v="2025-11-13T00:00:00"/>
    <s v="Sports"/>
    <x v="3"/>
    <n v="2"/>
    <n v="180.07"/>
    <n v="360.14"/>
    <s v="UPI"/>
    <s v="Repeat Customer"/>
  </r>
  <r>
    <n v="10053"/>
    <s v="CUST221"/>
    <d v="2024-06-15T00:00:00"/>
    <s v="Electronics"/>
    <x v="2"/>
    <n v="3"/>
    <n v="441.3"/>
    <n v="1323.9"/>
    <s v="Net Banking"/>
    <s v="Repeat Customer"/>
  </r>
  <r>
    <n v="10054"/>
    <s v="CUST310"/>
    <d v="2025-11-16T00:00:00"/>
    <s v="Electronics"/>
    <x v="3"/>
    <n v="4"/>
    <n v="137.07"/>
    <n v="548.28"/>
    <s v="Credit Card"/>
    <s v="Repeat Customer"/>
  </r>
  <r>
    <n v="10055"/>
    <s v="CUST340"/>
    <d v="2024-08-15T00:00:00"/>
    <s v="Beauty"/>
    <x v="1"/>
    <n v="4"/>
    <n v="409.21"/>
    <n v="1636.84"/>
    <s v="Net Banking"/>
    <s v="Repeat Customer"/>
  </r>
  <r>
    <n v="10056"/>
    <s v="CUST216"/>
    <d v="2024-08-16T00:00:00"/>
    <s v="Beauty"/>
    <x v="1"/>
    <n v="1"/>
    <n v="331.72"/>
    <n v="331.72"/>
    <s v="Net Banking"/>
    <s v="Repeat Customer"/>
  </r>
  <r>
    <n v="10057"/>
    <s v="CUST135"/>
    <d v="2024-10-12T00:00:00"/>
    <s v="Beauty"/>
    <x v="1"/>
    <n v="6"/>
    <n v="322.52999999999997"/>
    <n v="1935.18"/>
    <s v="Credit Card"/>
    <s v="Repeat Customer"/>
  </r>
  <r>
    <n v="10058"/>
    <s v="CUST159"/>
    <d v="2024-09-24T00:00:00"/>
    <s v="Home"/>
    <x v="0"/>
    <n v="3"/>
    <n v="292.39"/>
    <n v="877.17"/>
    <s v="Credit Card"/>
    <s v="Repeat Customer"/>
  </r>
  <r>
    <n v="10059"/>
    <s v="CUST322"/>
    <d v="2024-12-19T00:00:00"/>
    <s v="Sports"/>
    <x v="0"/>
    <n v="6"/>
    <n v="221.01"/>
    <n v="1326.06"/>
    <s v="Wallet"/>
    <s v="Repeat Customer"/>
  </r>
  <r>
    <n v="10060"/>
    <s v="CUST395"/>
    <d v="2024-07-13T00:00:00"/>
    <s v="Beauty"/>
    <x v="0"/>
    <n v="5"/>
    <n v="26.97"/>
    <n v="134.85"/>
    <s v="UPI"/>
    <s v="Repeat Customer"/>
  </r>
  <r>
    <n v="10061"/>
    <s v="CUST286"/>
    <d v="2025-03-17T00:00:00"/>
    <s v="Home"/>
    <x v="1"/>
    <n v="2"/>
    <n v="474.69"/>
    <n v="949.38"/>
    <s v="Credit Card"/>
    <s v="Repeat Customer"/>
  </r>
  <r>
    <n v="10062"/>
    <s v="CUST253"/>
    <d v="2025-06-03T00:00:00"/>
    <s v="Home"/>
    <x v="3"/>
    <n v="5"/>
    <n v="335.11"/>
    <n v="1675.55"/>
    <s v="Net Banking"/>
    <s v="Repeat Customer"/>
  </r>
  <r>
    <n v="10063"/>
    <s v="CUST383"/>
    <d v="2024-05-10T00:00:00"/>
    <s v="Beauty"/>
    <x v="2"/>
    <n v="4"/>
    <n v="213.12"/>
    <n v="852.48"/>
    <s v="Net Banking"/>
    <s v="Repeat Customer"/>
  </r>
  <r>
    <n v="10064"/>
    <s v="CUST307"/>
    <d v="2025-07-15T00:00:00"/>
    <s v="Fashion"/>
    <x v="3"/>
    <n v="1"/>
    <n v="155.41999999999999"/>
    <n v="155.41999999999999"/>
    <s v="Net Banking"/>
    <s v="Repeat Customer"/>
  </r>
  <r>
    <n v="10065"/>
    <s v="CUST338"/>
    <d v="2025-03-28T00:00:00"/>
    <s v="Sports"/>
    <x v="3"/>
    <n v="8"/>
    <n v="339.44"/>
    <n v="2715.52"/>
    <s v="UPI"/>
    <s v="Repeat Customer"/>
  </r>
  <r>
    <n v="10066"/>
    <s v="CUST143"/>
    <d v="2024-10-17T00:00:00"/>
    <s v="Sports"/>
    <x v="1"/>
    <n v="9"/>
    <n v="333.61"/>
    <n v="3002.49"/>
    <s v="Credit Card"/>
    <s v="Repeat Customer"/>
  </r>
  <r>
    <n v="10067"/>
    <s v="CUST220"/>
    <d v="2025-11-19T00:00:00"/>
    <s v="Fashion"/>
    <x v="2"/>
    <n v="5"/>
    <n v="116.2"/>
    <n v="581"/>
    <s v="Credit Card"/>
    <s v="Repeat Customer"/>
  </r>
  <r>
    <n v="10068"/>
    <s v="CUST123"/>
    <d v="2024-09-07T00:00:00"/>
    <s v="Electronics"/>
    <x v="3"/>
    <n v="8"/>
    <n v="307.58"/>
    <n v="2460.64"/>
    <s v="Wallet"/>
    <s v="Repeat Customer"/>
  </r>
  <r>
    <n v="10069"/>
    <s v="CUST394"/>
    <d v="2024-07-18T00:00:00"/>
    <s v="Fashion"/>
    <x v="2"/>
    <n v="7"/>
    <n v="249.72"/>
    <n v="1748.04"/>
    <s v="Credit Card"/>
    <s v="Repeat Customer"/>
  </r>
  <r>
    <n v="10070"/>
    <s v="CUST154"/>
    <d v="2025-03-11T00:00:00"/>
    <s v="Sports"/>
    <x v="3"/>
    <n v="4"/>
    <n v="92.06"/>
    <n v="368.24"/>
    <s v="Credit Card"/>
    <s v="Repeat Customer"/>
  </r>
  <r>
    <n v="10071"/>
    <s v="CUST385"/>
    <d v="2024-09-12T00:00:00"/>
    <s v="Beauty"/>
    <x v="1"/>
    <n v="2"/>
    <n v="230.95"/>
    <n v="461.9"/>
    <s v="Wallet"/>
    <s v="Repeat Customer"/>
  </r>
  <r>
    <n v="10072"/>
    <s v="CUST358"/>
    <d v="2025-03-12T00:00:00"/>
    <s v="Fashion"/>
    <x v="3"/>
    <n v="9"/>
    <n v="225.73"/>
    <n v="2031.57"/>
    <s v="Wallet"/>
    <s v="Repeat Customer"/>
  </r>
  <r>
    <n v="10073"/>
    <s v="CUST232"/>
    <d v="2024-09-10T00:00:00"/>
    <s v="Sports"/>
    <x v="3"/>
    <n v="5"/>
    <n v="384.08"/>
    <n v="1920.4"/>
    <s v="UPI"/>
    <s v="Repeat Customer"/>
  </r>
  <r>
    <n v="10074"/>
    <s v="CUST240"/>
    <d v="2025-03-26T00:00:00"/>
    <s v="Fashion"/>
    <x v="1"/>
    <n v="2"/>
    <n v="358.2"/>
    <n v="716.4"/>
    <s v="Net Banking"/>
    <s v="Repeat Customer"/>
  </r>
  <r>
    <n v="10075"/>
    <s v="CUST263"/>
    <d v="2025-07-07T00:00:00"/>
    <s v="Fashion"/>
    <x v="3"/>
    <n v="2"/>
    <n v="73.5"/>
    <n v="147"/>
    <s v="UPI"/>
    <s v="Repeat Customer"/>
  </r>
  <r>
    <n v="10076"/>
    <s v="CUST209"/>
    <d v="2024-03-06T00:00:00"/>
    <s v="Sports"/>
    <x v="3"/>
    <n v="7"/>
    <n v="206.76"/>
    <n v="1447.32"/>
    <s v="Wallet"/>
    <s v="Repeat Customer"/>
  </r>
  <r>
    <n v="10077"/>
    <s v="CUST131"/>
    <d v="2024-07-30T00:00:00"/>
    <s v="Sports"/>
    <x v="0"/>
    <n v="7"/>
    <n v="197.79"/>
    <n v="1384.53"/>
    <s v="Wallet"/>
    <s v="Repeat Customer"/>
  </r>
  <r>
    <n v="10078"/>
    <s v="CUST344"/>
    <d v="2024-01-07T00:00:00"/>
    <s v="Beauty"/>
    <x v="3"/>
    <n v="6"/>
    <n v="152.81"/>
    <n v="916.86"/>
    <s v="UPI"/>
    <s v="Repeat Customer"/>
  </r>
  <r>
    <n v="10079"/>
    <s v="CUST349"/>
    <d v="2024-08-12T00:00:00"/>
    <s v="Electronics"/>
    <x v="3"/>
    <n v="5"/>
    <n v="220.74"/>
    <n v="1103.7"/>
    <s v="Net Banking"/>
    <s v="Repeat Customer"/>
  </r>
  <r>
    <n v="10080"/>
    <s v="CUST307"/>
    <d v="2024-06-18T00:00:00"/>
    <s v="Sports"/>
    <x v="0"/>
    <n v="8"/>
    <n v="460.17"/>
    <n v="3681.36"/>
    <s v="Wallet"/>
    <s v="Repeat Customer"/>
  </r>
  <r>
    <n v="10081"/>
    <s v="CUST388"/>
    <d v="2025-11-09T00:00:00"/>
    <s v="Beauty"/>
    <x v="2"/>
    <n v="1"/>
    <n v="46.55"/>
    <n v="46.55"/>
    <s v="Wallet"/>
    <s v="Repeat Customer"/>
  </r>
  <r>
    <n v="10082"/>
    <s v="CUST193"/>
    <d v="2024-02-21T00:00:00"/>
    <s v="Fashion"/>
    <x v="3"/>
    <n v="5"/>
    <n v="192.66"/>
    <n v="963.3"/>
    <s v="Net Banking"/>
    <s v="Repeat Customer"/>
  </r>
  <r>
    <n v="10083"/>
    <s v="CUST272"/>
    <d v="2025-01-23T00:00:00"/>
    <s v="Beauty"/>
    <x v="1"/>
    <n v="5"/>
    <n v="377.24"/>
    <n v="1886.2"/>
    <s v="Credit Card"/>
    <s v="Repeat Customer"/>
  </r>
  <r>
    <n v="10084"/>
    <s v="CUST340"/>
    <d v="2024-01-20T00:00:00"/>
    <s v="Home"/>
    <x v="2"/>
    <n v="9"/>
    <n v="30.78"/>
    <n v="277.02"/>
    <s v="Credit Card"/>
    <s v="Repeat Customer"/>
  </r>
  <r>
    <n v="10085"/>
    <s v="CUST120"/>
    <d v="2024-02-01T00:00:00"/>
    <s v="Electronics"/>
    <x v="2"/>
    <n v="4"/>
    <n v="103.68"/>
    <n v="414.72"/>
    <s v="UPI"/>
    <s v="Repeat Customer"/>
  </r>
  <r>
    <n v="10086"/>
    <s v="CUST164"/>
    <d v="2025-04-29T00:00:00"/>
    <s v="Fashion"/>
    <x v="3"/>
    <n v="2"/>
    <n v="284.16000000000003"/>
    <n v="568.32000000000005"/>
    <s v="Net Banking"/>
    <s v="Repeat Customer"/>
  </r>
  <r>
    <n v="10087"/>
    <s v="CUST288"/>
    <d v="2024-06-20T00:00:00"/>
    <s v="Electronics"/>
    <x v="2"/>
    <n v="10"/>
    <n v="305.58999999999997"/>
    <n v="3055.9"/>
    <s v="Net Banking"/>
    <s v="Repeat Customer"/>
  </r>
  <r>
    <n v="10088"/>
    <s v="CUST155"/>
    <d v="2025-08-15T00:00:00"/>
    <s v="Sports"/>
    <x v="3"/>
    <n v="1"/>
    <n v="464.8"/>
    <n v="464.8"/>
    <s v="Wallet"/>
    <s v="Repeat Customer"/>
  </r>
  <r>
    <n v="10089"/>
    <s v="CUST201"/>
    <d v="2024-03-18T00:00:00"/>
    <s v="Fashion"/>
    <x v="0"/>
    <n v="10"/>
    <n v="346.85"/>
    <n v="3468.5"/>
    <s v="Net Banking"/>
    <s v="Repeat Customer"/>
  </r>
  <r>
    <n v="10090"/>
    <s v="CUST161"/>
    <d v="2025-08-02T00:00:00"/>
    <s v="Beauty"/>
    <x v="1"/>
    <n v="1"/>
    <n v="176.87"/>
    <n v="176.87"/>
    <s v="Credit Card"/>
    <s v="Repeat Customer"/>
  </r>
  <r>
    <n v="10091"/>
    <s v="CUST359"/>
    <d v="2025-10-25T00:00:00"/>
    <s v="Beauty"/>
    <x v="3"/>
    <n v="6"/>
    <n v="11.26"/>
    <n v="67.56"/>
    <s v="Credit Card"/>
    <s v="Repeat Customer"/>
  </r>
  <r>
    <n v="10092"/>
    <s v="CUST321"/>
    <d v="2025-01-05T00:00:00"/>
    <s v="Beauty"/>
    <x v="2"/>
    <n v="8"/>
    <n v="355.12"/>
    <n v="2840.96"/>
    <s v="Net Banking"/>
    <s v="New Customer"/>
  </r>
  <r>
    <n v="10093"/>
    <s v="CUST375"/>
    <d v="2025-05-10T00:00:00"/>
    <s v="Sports"/>
    <x v="1"/>
    <n v="8"/>
    <n v="220.61"/>
    <n v="1764.88"/>
    <s v="Net Banking"/>
    <s v="Repeat Customer"/>
  </r>
  <r>
    <n v="10094"/>
    <s v="CUST225"/>
    <d v="2024-03-29T00:00:00"/>
    <s v="Fashion"/>
    <x v="3"/>
    <n v="5"/>
    <n v="441.41"/>
    <n v="2207.0500000000002"/>
    <s v="Wallet"/>
    <s v="Repeat Customer"/>
  </r>
  <r>
    <n v="10095"/>
    <s v="CUST272"/>
    <d v="2024-01-30T00:00:00"/>
    <s v="Fashion"/>
    <x v="3"/>
    <n v="8"/>
    <n v="426.22"/>
    <n v="3409.76"/>
    <s v="UPI"/>
    <s v="Repeat Customer"/>
  </r>
  <r>
    <n v="10096"/>
    <s v="CUST281"/>
    <d v="2024-09-21T00:00:00"/>
    <s v="Sports"/>
    <x v="1"/>
    <n v="6"/>
    <n v="143.43"/>
    <n v="860.58"/>
    <s v="Credit Card"/>
    <s v="Repeat Customer"/>
  </r>
  <r>
    <n v="10097"/>
    <s v="CUST364"/>
    <d v="2024-07-14T00:00:00"/>
    <s v="Beauty"/>
    <x v="3"/>
    <n v="2"/>
    <n v="124.47"/>
    <n v="248.94"/>
    <s v="UPI"/>
    <s v="Repeat Customer"/>
  </r>
  <r>
    <n v="10098"/>
    <s v="CUST343"/>
    <d v="2025-10-23T00:00:00"/>
    <s v="Electronics"/>
    <x v="0"/>
    <n v="8"/>
    <n v="226.85"/>
    <n v="1814.8"/>
    <s v="Net Banking"/>
    <s v="Repeat Customer"/>
  </r>
  <r>
    <n v="10099"/>
    <s v="CUST213"/>
    <d v="2025-02-18T00:00:00"/>
    <s v="Sports"/>
    <x v="1"/>
    <n v="4"/>
    <n v="156.57"/>
    <n v="626.28"/>
    <s v="Wallet"/>
    <s v="Repeat Customer"/>
  </r>
  <r>
    <n v="10100"/>
    <s v="CUST383"/>
    <d v="2025-06-27T00:00:00"/>
    <s v="Sports"/>
    <x v="1"/>
    <n v="6"/>
    <n v="215.62"/>
    <n v="1293.72"/>
    <s v="Net Banking"/>
    <s v="Repeat Customer"/>
  </r>
  <r>
    <n v="10101"/>
    <s v="CUST332"/>
    <d v="2024-10-04T00:00:00"/>
    <s v="Electronics"/>
    <x v="2"/>
    <n v="5"/>
    <n v="129.44"/>
    <n v="647.20000000000005"/>
    <s v="Net Banking"/>
    <s v="Repeat Customer"/>
  </r>
  <r>
    <n v="10102"/>
    <s v="CUST161"/>
    <d v="2025-07-02T00:00:00"/>
    <s v="Beauty"/>
    <x v="1"/>
    <n v="3"/>
    <n v="99.81"/>
    <n v="299.43"/>
    <s v="Net Banking"/>
    <s v="Repeat Customer"/>
  </r>
  <r>
    <n v="10103"/>
    <s v="CUST151"/>
    <d v="2024-07-17T00:00:00"/>
    <s v="Fashion"/>
    <x v="1"/>
    <n v="5"/>
    <n v="117.6"/>
    <n v="588"/>
    <s v="Credit Card"/>
    <s v="Repeat Customer"/>
  </r>
  <r>
    <n v="10104"/>
    <s v="CUST373"/>
    <d v="2024-05-09T00:00:00"/>
    <s v="Electronics"/>
    <x v="1"/>
    <n v="5"/>
    <n v="27.53"/>
    <n v="137.65"/>
    <s v="UPI"/>
    <s v="Repeat Customer"/>
  </r>
  <r>
    <n v="10105"/>
    <s v="CUST351"/>
    <d v="2024-04-15T00:00:00"/>
    <s v="Beauty"/>
    <x v="3"/>
    <n v="1"/>
    <n v="289.16000000000003"/>
    <n v="289.16000000000003"/>
    <s v="Wallet"/>
    <s v="Repeat Customer"/>
  </r>
  <r>
    <n v="10106"/>
    <s v="CUST274"/>
    <d v="2024-07-07T00:00:00"/>
    <s v="Beauty"/>
    <x v="0"/>
    <n v="1"/>
    <n v="129.97999999999999"/>
    <n v="129.97999999999999"/>
    <s v="Credit Card"/>
    <s v="Repeat Customer"/>
  </r>
  <r>
    <n v="10107"/>
    <s v="CUST305"/>
    <d v="2025-05-18T00:00:00"/>
    <s v="Electronics"/>
    <x v="2"/>
    <n v="2"/>
    <n v="290.63"/>
    <n v="581.26"/>
    <s v="UPI"/>
    <s v="Repeat Customer"/>
  </r>
  <r>
    <n v="10108"/>
    <s v="CUST388"/>
    <d v="2024-11-07T00:00:00"/>
    <s v="Electronics"/>
    <x v="3"/>
    <n v="2"/>
    <n v="496.99"/>
    <n v="993.98"/>
    <s v="UPI"/>
    <s v="Repeat Customer"/>
  </r>
  <r>
    <n v="10109"/>
    <s v="CUST367"/>
    <d v="2025-01-24T00:00:00"/>
    <s v="Home"/>
    <x v="3"/>
    <n v="8"/>
    <n v="454.71"/>
    <n v="3637.68"/>
    <s v="Net Banking"/>
    <s v="Repeat Customer"/>
  </r>
  <r>
    <n v="10110"/>
    <s v="CUST391"/>
    <d v="2025-09-27T00:00:00"/>
    <s v="Electronics"/>
    <x v="2"/>
    <n v="1"/>
    <n v="306.77"/>
    <n v="306.77"/>
    <s v="UPI"/>
    <s v="Repeat Customer"/>
  </r>
  <r>
    <n v="10111"/>
    <s v="CUST235"/>
    <d v="2025-11-07T00:00:00"/>
    <s v="Fashion"/>
    <x v="0"/>
    <n v="2"/>
    <n v="82.74"/>
    <n v="165.48"/>
    <s v="UPI"/>
    <s v="Repeat Customer"/>
  </r>
  <r>
    <n v="10112"/>
    <s v="CUST101"/>
    <d v="2025-02-22T00:00:00"/>
    <s v="Beauty"/>
    <x v="1"/>
    <n v="8"/>
    <n v="346.24"/>
    <n v="2769.92"/>
    <s v="Credit Card"/>
    <s v="Repeat Customer"/>
  </r>
  <r>
    <n v="10113"/>
    <s v="CUST218"/>
    <d v="2024-10-22T00:00:00"/>
    <s v="Beauty"/>
    <x v="0"/>
    <n v="5"/>
    <n v="352.98"/>
    <n v="1764.9"/>
    <s v="UPI"/>
    <s v="Repeat Customer"/>
  </r>
  <r>
    <n v="10114"/>
    <s v="CUST235"/>
    <d v="2025-10-02T00:00:00"/>
    <s v="Fashion"/>
    <x v="3"/>
    <n v="10"/>
    <n v="332.29"/>
    <n v="3322.9"/>
    <s v="Credit Card"/>
    <s v="Repeat Customer"/>
  </r>
  <r>
    <n v="10115"/>
    <s v="CUST378"/>
    <d v="2024-08-18T00:00:00"/>
    <s v="Fashion"/>
    <x v="0"/>
    <n v="3"/>
    <n v="454.66"/>
    <n v="1363.98"/>
    <s v="Credit Card"/>
    <s v="Repeat Customer"/>
  </r>
  <r>
    <n v="10116"/>
    <s v="CUST184"/>
    <d v="2024-11-10T00:00:00"/>
    <s v="Sports"/>
    <x v="1"/>
    <n v="10"/>
    <n v="375.73"/>
    <n v="3757.3"/>
    <s v="Wallet"/>
    <s v="Repeat Customer"/>
  </r>
  <r>
    <n v="10117"/>
    <s v="CUST163"/>
    <d v="2025-04-24T00:00:00"/>
    <s v="Home"/>
    <x v="3"/>
    <n v="5"/>
    <n v="351.37"/>
    <n v="1756.85"/>
    <s v="Wallet"/>
    <s v="Repeat Customer"/>
  </r>
  <r>
    <n v="10118"/>
    <s v="CUST141"/>
    <d v="2025-09-04T00:00:00"/>
    <s v="Home"/>
    <x v="1"/>
    <n v="1"/>
    <n v="445.26"/>
    <n v="445.26"/>
    <s v="Credit Card"/>
    <s v="Repeat Customer"/>
  </r>
  <r>
    <n v="10119"/>
    <s v="CUST146"/>
    <d v="2024-08-22T00:00:00"/>
    <s v="Electronics"/>
    <x v="1"/>
    <n v="10"/>
    <n v="295.63"/>
    <n v="2956.3"/>
    <s v="Credit Card"/>
    <s v="Repeat Customer"/>
  </r>
  <r>
    <n v="10120"/>
    <s v="CUST189"/>
    <d v="2025-04-26T00:00:00"/>
    <s v="Home"/>
    <x v="2"/>
    <n v="9"/>
    <n v="327.5"/>
    <n v="2947.5"/>
    <s v="Wallet"/>
    <s v="Repeat Customer"/>
  </r>
  <r>
    <n v="10121"/>
    <s v="CUST351"/>
    <d v="2024-04-03T00:00:00"/>
    <s v="Home"/>
    <x v="1"/>
    <n v="8"/>
    <n v="177.24"/>
    <n v="1417.92"/>
    <s v="Credit Card"/>
    <s v="Repeat Customer"/>
  </r>
  <r>
    <n v="10122"/>
    <s v="CUST182"/>
    <d v="2024-12-03T00:00:00"/>
    <s v="Home"/>
    <x v="3"/>
    <n v="7"/>
    <n v="348.37"/>
    <n v="2438.59"/>
    <s v="Credit Card"/>
    <s v="Repeat Customer"/>
  </r>
  <r>
    <n v="10123"/>
    <s v="CUST332"/>
    <d v="2024-03-31T00:00:00"/>
    <s v="Electronics"/>
    <x v="3"/>
    <n v="6"/>
    <n v="129.94"/>
    <n v="779.64"/>
    <s v="Credit Card"/>
    <s v="Repeat Customer"/>
  </r>
  <r>
    <n v="10124"/>
    <s v="CUST377"/>
    <d v="2025-04-18T00:00:00"/>
    <s v="Sports"/>
    <x v="1"/>
    <n v="7"/>
    <n v="31.83"/>
    <n v="222.81"/>
    <s v="Wallet"/>
    <s v="Repeat Customer"/>
  </r>
  <r>
    <n v="10125"/>
    <s v="CUST326"/>
    <d v="2024-02-22T00:00:00"/>
    <s v="Fashion"/>
    <x v="1"/>
    <n v="4"/>
    <n v="137.19"/>
    <n v="548.76"/>
    <s v="Wallet"/>
    <s v="Repeat Customer"/>
  </r>
  <r>
    <n v="10126"/>
    <s v="CUST348"/>
    <d v="2024-05-04T00:00:00"/>
    <s v="Sports"/>
    <x v="2"/>
    <n v="1"/>
    <n v="486.71"/>
    <n v="486.71"/>
    <s v="UPI"/>
    <s v="Repeat Customer"/>
  </r>
  <r>
    <n v="10127"/>
    <s v="CUST259"/>
    <d v="2025-07-18T00:00:00"/>
    <s v="Electronics"/>
    <x v="2"/>
    <n v="1"/>
    <n v="278.36"/>
    <n v="278.36"/>
    <s v="Credit Card"/>
    <s v="Repeat Customer"/>
  </r>
  <r>
    <n v="10128"/>
    <s v="CUST336"/>
    <d v="2024-04-30T00:00:00"/>
    <s v="Home"/>
    <x v="1"/>
    <n v="3"/>
    <n v="251.7"/>
    <n v="755.1"/>
    <s v="Wallet"/>
    <s v="Repeat Customer"/>
  </r>
  <r>
    <n v="10129"/>
    <s v="CUST347"/>
    <d v="2025-04-28T00:00:00"/>
    <s v="Fashion"/>
    <x v="3"/>
    <n v="4"/>
    <n v="231.11"/>
    <n v="924.44"/>
    <s v="UPI"/>
    <s v="Repeat Customer"/>
  </r>
  <r>
    <n v="10130"/>
    <s v="CUST360"/>
    <d v="2024-05-19T00:00:00"/>
    <s v="Beauty"/>
    <x v="1"/>
    <n v="2"/>
    <n v="141.74"/>
    <n v="283.48"/>
    <s v="Net Banking"/>
    <s v="Repeat Customer"/>
  </r>
  <r>
    <n v="10131"/>
    <s v="CUST101"/>
    <d v="2024-10-16T00:00:00"/>
    <s v="Sports"/>
    <x v="3"/>
    <n v="5"/>
    <n v="419.55"/>
    <n v="2097.75"/>
    <s v="UPI"/>
    <s v="Repeat Customer"/>
  </r>
  <r>
    <n v="10132"/>
    <s v="CUST328"/>
    <d v="2025-07-05T00:00:00"/>
    <s v="Sports"/>
    <x v="3"/>
    <n v="8"/>
    <n v="175.84"/>
    <n v="1406.72"/>
    <s v="Wallet"/>
    <s v="Repeat Customer"/>
  </r>
  <r>
    <n v="10133"/>
    <s v="CUST264"/>
    <d v="2024-07-12T00:00:00"/>
    <s v="Fashion"/>
    <x v="3"/>
    <n v="4"/>
    <n v="288.04000000000002"/>
    <n v="1152.1600000000001"/>
    <s v="Credit Card"/>
    <s v="Repeat Customer"/>
  </r>
  <r>
    <n v="10134"/>
    <s v="CUST262"/>
    <d v="2025-04-29T00:00:00"/>
    <s v="Fashion"/>
    <x v="3"/>
    <n v="7"/>
    <n v="196.11"/>
    <n v="1372.77"/>
    <s v="Credit Card"/>
    <s v="Repeat Customer"/>
  </r>
  <r>
    <n v="10135"/>
    <s v="CUST164"/>
    <d v="2025-05-29T00:00:00"/>
    <s v="Electronics"/>
    <x v="3"/>
    <n v="10"/>
    <n v="169.34"/>
    <n v="1693.4"/>
    <s v="Credit Card"/>
    <s v="Repeat Customer"/>
  </r>
  <r>
    <n v="10136"/>
    <s v="CUST369"/>
    <d v="2025-04-12T00:00:00"/>
    <s v="Beauty"/>
    <x v="2"/>
    <n v="1"/>
    <n v="362.61"/>
    <n v="362.61"/>
    <s v="Credit Card"/>
    <s v="Repeat Customer"/>
  </r>
  <r>
    <n v="10137"/>
    <s v="CUST340"/>
    <d v="2024-09-28T00:00:00"/>
    <s v="Beauty"/>
    <x v="0"/>
    <n v="6"/>
    <n v="313.51"/>
    <n v="1881.06"/>
    <s v="Net Banking"/>
    <s v="Repeat Customer"/>
  </r>
  <r>
    <n v="10138"/>
    <s v="CUST373"/>
    <d v="2025-01-24T00:00:00"/>
    <s v="Beauty"/>
    <x v="0"/>
    <n v="6"/>
    <n v="315.27"/>
    <n v="1891.62"/>
    <s v="Credit Card"/>
    <s v="Repeat Customer"/>
  </r>
  <r>
    <n v="10139"/>
    <s v="CUST220"/>
    <d v="2025-10-08T00:00:00"/>
    <s v="Electronics"/>
    <x v="3"/>
    <n v="5"/>
    <n v="498.73"/>
    <n v="2493.65"/>
    <s v="Credit Card"/>
    <s v="Repeat Customer"/>
  </r>
  <r>
    <n v="10140"/>
    <s v="CUST151"/>
    <d v="2025-03-30T00:00:00"/>
    <s v="Electronics"/>
    <x v="0"/>
    <n v="3"/>
    <n v="348.53"/>
    <n v="1045.5899999999999"/>
    <s v="Net Banking"/>
    <s v="Repeat Customer"/>
  </r>
  <r>
    <n v="10141"/>
    <s v="CUST128"/>
    <d v="2024-10-27T00:00:00"/>
    <s v="Fashion"/>
    <x v="2"/>
    <n v="6"/>
    <n v="190.55"/>
    <n v="1143.3"/>
    <s v="Wallet"/>
    <s v="Repeat Customer"/>
  </r>
  <r>
    <n v="10142"/>
    <s v="CUST389"/>
    <d v="2025-11-29T00:00:00"/>
    <s v="Electronics"/>
    <x v="3"/>
    <n v="3"/>
    <n v="89.14"/>
    <n v="267.42"/>
    <s v="UPI"/>
    <s v="Repeat Customer"/>
  </r>
  <r>
    <n v="10143"/>
    <s v="CUST354"/>
    <d v="2025-08-20T00:00:00"/>
    <s v="Home"/>
    <x v="3"/>
    <n v="3"/>
    <n v="119.93"/>
    <n v="359.79"/>
    <s v="Net Banking"/>
    <s v="Repeat Customer"/>
  </r>
  <r>
    <n v="10144"/>
    <s v="CUST104"/>
    <d v="2025-04-21T00:00:00"/>
    <s v="Fashion"/>
    <x v="0"/>
    <n v="5"/>
    <n v="340.42"/>
    <n v="1702.1"/>
    <s v="Wallet"/>
    <s v="Repeat Customer"/>
  </r>
  <r>
    <n v="10145"/>
    <s v="CUST276"/>
    <d v="2025-08-24T00:00:00"/>
    <s v="Beauty"/>
    <x v="1"/>
    <n v="5"/>
    <n v="321.27"/>
    <n v="1606.35"/>
    <s v="Wallet"/>
    <s v="Repeat Customer"/>
  </r>
  <r>
    <n v="10146"/>
    <s v="CUST254"/>
    <d v="2024-07-22T00:00:00"/>
    <s v="Electronics"/>
    <x v="2"/>
    <n v="7"/>
    <n v="427.4"/>
    <n v="2991.8"/>
    <s v="Wallet"/>
    <s v="Repeat Customer"/>
  </r>
  <r>
    <n v="10147"/>
    <s v="CUST392"/>
    <d v="2025-01-02T00:00:00"/>
    <s v="Home"/>
    <x v="0"/>
    <n v="10"/>
    <n v="151.46"/>
    <n v="1514.6"/>
    <s v="Wallet"/>
    <s v="Repeat Customer"/>
  </r>
  <r>
    <n v="10148"/>
    <s v="CUST240"/>
    <d v="2024-01-09T00:00:00"/>
    <s v="Electronics"/>
    <x v="3"/>
    <n v="10"/>
    <n v="433.21"/>
    <n v="4332.1000000000004"/>
    <s v="Net Banking"/>
    <s v="Repeat Customer"/>
  </r>
  <r>
    <n v="10149"/>
    <s v="CUST217"/>
    <d v="2025-09-13T00:00:00"/>
    <s v="Fashion"/>
    <x v="1"/>
    <n v="6"/>
    <n v="113.41"/>
    <n v="680.46"/>
    <s v="UPI"/>
    <s v="Repeat Customer"/>
  </r>
  <r>
    <n v="10150"/>
    <s v="CUST149"/>
    <d v="2025-10-04T00:00:00"/>
    <s v="Beauty"/>
    <x v="0"/>
    <n v="1"/>
    <n v="157.91999999999999"/>
    <n v="157.91999999999999"/>
    <s v="Net Banking"/>
    <s v="Repeat Customer"/>
  </r>
  <r>
    <n v="10151"/>
    <s v="CUST167"/>
    <d v="2024-04-02T00:00:00"/>
    <s v="Beauty"/>
    <x v="2"/>
    <n v="5"/>
    <n v="166.73"/>
    <n v="833.65"/>
    <s v="UPI"/>
    <s v="Repeat Customer"/>
  </r>
  <r>
    <n v="10152"/>
    <s v="CUST167"/>
    <d v="2025-07-06T00:00:00"/>
    <s v="Home"/>
    <x v="2"/>
    <n v="6"/>
    <n v="267.77"/>
    <n v="1606.62"/>
    <s v="Net Banking"/>
    <s v="Repeat Customer"/>
  </r>
  <r>
    <n v="10153"/>
    <s v="CUST346"/>
    <d v="2024-10-29T00:00:00"/>
    <s v="Beauty"/>
    <x v="0"/>
    <n v="6"/>
    <n v="403.1"/>
    <n v="2418.6"/>
    <s v="UPI"/>
    <s v="Repeat Customer"/>
  </r>
  <r>
    <n v="10154"/>
    <s v="CUST215"/>
    <d v="2025-11-23T00:00:00"/>
    <s v="Sports"/>
    <x v="1"/>
    <n v="7"/>
    <n v="483.8"/>
    <n v="3386.6"/>
    <s v="Credit Card"/>
    <s v="Repeat Customer"/>
  </r>
  <r>
    <n v="10155"/>
    <s v="CUST302"/>
    <d v="2024-01-15T00:00:00"/>
    <s v="Beauty"/>
    <x v="1"/>
    <n v="5"/>
    <n v="270.60000000000002"/>
    <n v="1353"/>
    <s v="Net Banking"/>
    <s v="Repeat Customer"/>
  </r>
  <r>
    <n v="10156"/>
    <s v="CUST399"/>
    <d v="2025-01-25T00:00:00"/>
    <s v="Fashion"/>
    <x v="3"/>
    <n v="6"/>
    <n v="58.63"/>
    <n v="351.78"/>
    <s v="Credit Card"/>
    <s v="Repeat Customer"/>
  </r>
  <r>
    <n v="10157"/>
    <s v="CUST387"/>
    <d v="2024-12-01T00:00:00"/>
    <s v="Electronics"/>
    <x v="3"/>
    <n v="10"/>
    <n v="114.58"/>
    <n v="1145.8"/>
    <s v="Net Banking"/>
    <s v="Repeat Customer"/>
  </r>
  <r>
    <n v="10158"/>
    <s v="CUST309"/>
    <d v="2024-04-29T00:00:00"/>
    <s v="Electronics"/>
    <x v="1"/>
    <n v="3"/>
    <n v="27.45"/>
    <n v="82.35"/>
    <s v="Wallet"/>
    <s v="Repeat Customer"/>
  </r>
  <r>
    <n v="10159"/>
    <s v="CUST159"/>
    <d v="2024-04-09T00:00:00"/>
    <s v="Fashion"/>
    <x v="3"/>
    <n v="4"/>
    <n v="444.19"/>
    <n v="1776.76"/>
    <s v="Wallet"/>
    <s v="Repeat Customer"/>
  </r>
  <r>
    <n v="10160"/>
    <s v="CUST289"/>
    <d v="2025-11-17T00:00:00"/>
    <s v="Fashion"/>
    <x v="3"/>
    <n v="9"/>
    <n v="212.47"/>
    <n v="1912.23"/>
    <s v="Credit Card"/>
    <s v="Repeat Customer"/>
  </r>
  <r>
    <n v="10161"/>
    <s v="CUST350"/>
    <d v="2025-09-22T00:00:00"/>
    <s v="Home"/>
    <x v="0"/>
    <n v="7"/>
    <n v="469.83"/>
    <n v="3288.81"/>
    <s v="Net Banking"/>
    <s v="Repeat Customer"/>
  </r>
  <r>
    <n v="10162"/>
    <s v="CUST211"/>
    <d v="2025-03-30T00:00:00"/>
    <s v="Home"/>
    <x v="0"/>
    <n v="8"/>
    <n v="475.52"/>
    <n v="3804.16"/>
    <s v="Net Banking"/>
    <s v="Repeat Customer"/>
  </r>
  <r>
    <n v="10163"/>
    <s v="CUST378"/>
    <d v="2025-10-22T00:00:00"/>
    <s v="Home"/>
    <x v="2"/>
    <n v="6"/>
    <n v="34.97"/>
    <n v="209.82"/>
    <s v="Credit Card"/>
    <s v="Repeat Customer"/>
  </r>
  <r>
    <n v="10164"/>
    <s v="CUST332"/>
    <d v="2024-04-03T00:00:00"/>
    <s v="Sports"/>
    <x v="0"/>
    <n v="4"/>
    <n v="322.64"/>
    <n v="1290.56"/>
    <s v="Credit Card"/>
    <s v="Repeat Customer"/>
  </r>
  <r>
    <n v="10165"/>
    <s v="CUST270"/>
    <d v="2024-09-06T00:00:00"/>
    <s v="Fashion"/>
    <x v="0"/>
    <n v="3"/>
    <n v="394.55"/>
    <n v="1183.6500000000001"/>
    <s v="UPI"/>
    <s v="Repeat Customer"/>
  </r>
  <r>
    <n v="10166"/>
    <s v="CUST210"/>
    <d v="2024-08-26T00:00:00"/>
    <s v="Sports"/>
    <x v="0"/>
    <n v="6"/>
    <n v="388.31"/>
    <n v="2329.86"/>
    <s v="Net Banking"/>
    <s v="Repeat Customer"/>
  </r>
  <r>
    <n v="10167"/>
    <s v="CUST174"/>
    <d v="2024-05-13T00:00:00"/>
    <s v="Fashion"/>
    <x v="0"/>
    <n v="9"/>
    <n v="129.07"/>
    <n v="1161.6300000000001"/>
    <s v="Credit Card"/>
    <s v="Repeat Customer"/>
  </r>
  <r>
    <n v="10168"/>
    <s v="CUST167"/>
    <d v="2024-01-16T00:00:00"/>
    <s v="Fashion"/>
    <x v="1"/>
    <n v="6"/>
    <n v="396.04"/>
    <n v="2376.2399999999998"/>
    <s v="Credit Card"/>
    <s v="Repeat Customer"/>
  </r>
  <r>
    <n v="10169"/>
    <s v="CUST189"/>
    <d v="2024-09-28T00:00:00"/>
    <s v="Beauty"/>
    <x v="0"/>
    <n v="1"/>
    <n v="67.75"/>
    <n v="67.75"/>
    <s v="Credit Card"/>
    <s v="Repeat Customer"/>
  </r>
  <r>
    <n v="10170"/>
    <s v="CUST343"/>
    <d v="2025-04-04T00:00:00"/>
    <s v="Electronics"/>
    <x v="3"/>
    <n v="6"/>
    <n v="259.05"/>
    <n v="1554.3"/>
    <s v="UPI"/>
    <s v="Repeat Customer"/>
  </r>
  <r>
    <n v="10171"/>
    <s v="CUST122"/>
    <d v="2025-11-05T00:00:00"/>
    <s v="Electronics"/>
    <x v="0"/>
    <n v="9"/>
    <n v="154.31"/>
    <n v="1388.79"/>
    <s v="Wallet"/>
    <s v="Repeat Customer"/>
  </r>
  <r>
    <n v="10172"/>
    <s v="CUST305"/>
    <d v="2025-03-12T00:00:00"/>
    <s v="Beauty"/>
    <x v="0"/>
    <n v="2"/>
    <n v="247.68"/>
    <n v="495.36"/>
    <s v="Credit Card"/>
    <s v="Repeat Customer"/>
  </r>
  <r>
    <n v="10173"/>
    <s v="CUST264"/>
    <d v="2025-09-14T00:00:00"/>
    <s v="Home"/>
    <x v="1"/>
    <n v="3"/>
    <n v="37.51"/>
    <n v="112.53"/>
    <s v="Wallet"/>
    <s v="Repeat Customer"/>
  </r>
  <r>
    <n v="10174"/>
    <s v="CUST371"/>
    <d v="2024-10-28T00:00:00"/>
    <s v="Beauty"/>
    <x v="0"/>
    <n v="8"/>
    <n v="255.25"/>
    <n v="2042"/>
    <s v="Credit Card"/>
    <s v="Repeat Customer"/>
  </r>
  <r>
    <n v="10175"/>
    <s v="CUST382"/>
    <d v="2024-08-08T00:00:00"/>
    <s v="Fashion"/>
    <x v="3"/>
    <n v="7"/>
    <n v="228.52"/>
    <n v="1599.64"/>
    <s v="Net Banking"/>
    <s v="Repeat Customer"/>
  </r>
  <r>
    <n v="10176"/>
    <s v="CUST332"/>
    <d v="2025-02-12T00:00:00"/>
    <s v="Home"/>
    <x v="3"/>
    <n v="7"/>
    <n v="366.16"/>
    <n v="2563.12"/>
    <s v="Net Banking"/>
    <s v="Repeat Customer"/>
  </r>
  <r>
    <n v="10177"/>
    <s v="CUST230"/>
    <d v="2025-01-18T00:00:00"/>
    <s v="Beauty"/>
    <x v="0"/>
    <n v="3"/>
    <n v="344.98"/>
    <n v="1034.94"/>
    <s v="Credit Card"/>
    <s v="Repeat Customer"/>
  </r>
  <r>
    <n v="10178"/>
    <s v="CUST143"/>
    <d v="2024-04-05T00:00:00"/>
    <s v="Home"/>
    <x v="2"/>
    <n v="7"/>
    <n v="52.8"/>
    <n v="369.6"/>
    <s v="Credit Card"/>
    <s v="Repeat Customer"/>
  </r>
  <r>
    <n v="10179"/>
    <s v="CUST387"/>
    <d v="2025-07-29T00:00:00"/>
    <s v="Beauty"/>
    <x v="1"/>
    <n v="6"/>
    <n v="336.66"/>
    <n v="2019.96"/>
    <s v="Wallet"/>
    <s v="Repeat Customer"/>
  </r>
  <r>
    <n v="10180"/>
    <s v="CUST126"/>
    <d v="2024-10-21T00:00:00"/>
    <s v="Electronics"/>
    <x v="2"/>
    <n v="10"/>
    <n v="159.66"/>
    <n v="1596.6"/>
    <s v="UPI"/>
    <s v="Repeat Customer"/>
  </r>
  <r>
    <n v="10181"/>
    <s v="CUST346"/>
    <d v="2024-08-17T00:00:00"/>
    <s v="Sports"/>
    <x v="1"/>
    <n v="2"/>
    <n v="178.31"/>
    <n v="356.62"/>
    <s v="Credit Card"/>
    <s v="Repeat Customer"/>
  </r>
  <r>
    <n v="10182"/>
    <s v="CUST242"/>
    <d v="2025-08-10T00:00:00"/>
    <s v="Sports"/>
    <x v="0"/>
    <n v="4"/>
    <n v="404.57"/>
    <n v="1618.28"/>
    <s v="Net Banking"/>
    <s v="Repeat Customer"/>
  </r>
  <r>
    <n v="10183"/>
    <s v="CUST114"/>
    <d v="2024-07-03T00:00:00"/>
    <s v="Home"/>
    <x v="1"/>
    <n v="5"/>
    <n v="352.84"/>
    <n v="1764.2"/>
    <s v="Net Banking"/>
    <s v="Repeat Customer"/>
  </r>
  <r>
    <n v="10184"/>
    <s v="CUST103"/>
    <d v="2024-07-04T00:00:00"/>
    <s v="Beauty"/>
    <x v="0"/>
    <n v="3"/>
    <n v="285.33"/>
    <n v="855.99"/>
    <s v="UPI"/>
    <s v="Repeat Customer"/>
  </r>
  <r>
    <n v="10185"/>
    <s v="CUST115"/>
    <d v="2024-04-03T00:00:00"/>
    <s v="Beauty"/>
    <x v="3"/>
    <n v="9"/>
    <n v="111.49"/>
    <n v="1003.41"/>
    <s v="Net Banking"/>
    <s v="Repeat Customer"/>
  </r>
  <r>
    <n v="10186"/>
    <s v="CUST180"/>
    <d v="2025-01-13T00:00:00"/>
    <s v="Sports"/>
    <x v="0"/>
    <n v="5"/>
    <n v="362.19"/>
    <n v="1810.95"/>
    <s v="Credit Card"/>
    <s v="Repeat Customer"/>
  </r>
  <r>
    <n v="10187"/>
    <s v="CUST179"/>
    <d v="2024-06-10T00:00:00"/>
    <s v="Electronics"/>
    <x v="1"/>
    <n v="10"/>
    <n v="29.63"/>
    <n v="296.3"/>
    <s v="Wallet"/>
    <s v="Repeat Customer"/>
  </r>
  <r>
    <n v="10188"/>
    <s v="CUST317"/>
    <d v="2025-05-12T00:00:00"/>
    <s v="Home"/>
    <x v="2"/>
    <n v="10"/>
    <n v="223.81"/>
    <n v="2238.1"/>
    <s v="Credit Card"/>
    <s v="Repeat Customer"/>
  </r>
  <r>
    <n v="10189"/>
    <s v="CUST276"/>
    <d v="2025-03-16T00:00:00"/>
    <s v="Sports"/>
    <x v="3"/>
    <n v="2"/>
    <n v="145.21"/>
    <n v="290.42"/>
    <s v="Net Banking"/>
    <s v="Repeat Customer"/>
  </r>
  <r>
    <n v="10190"/>
    <s v="CUST123"/>
    <d v="2024-08-13T00:00:00"/>
    <s v="Electronics"/>
    <x v="0"/>
    <n v="7"/>
    <n v="492.3"/>
    <n v="3446.1"/>
    <s v="UPI"/>
    <s v="Repeat Customer"/>
  </r>
  <r>
    <n v="10191"/>
    <s v="CUST254"/>
    <d v="2024-08-04T00:00:00"/>
    <s v="Home"/>
    <x v="1"/>
    <n v="3"/>
    <n v="383.26"/>
    <n v="1149.78"/>
    <s v="Credit Card"/>
    <s v="Repeat Customer"/>
  </r>
  <r>
    <n v="10192"/>
    <s v="CUST103"/>
    <d v="2025-05-24T00:00:00"/>
    <s v="Beauty"/>
    <x v="2"/>
    <n v="7"/>
    <n v="91.97"/>
    <n v="643.79"/>
    <s v="Net Banking"/>
    <s v="Repeat Customer"/>
  </r>
  <r>
    <n v="10193"/>
    <s v="CUST136"/>
    <d v="2025-02-10T00:00:00"/>
    <s v="Beauty"/>
    <x v="0"/>
    <n v="1"/>
    <n v="220.93"/>
    <n v="220.93"/>
    <s v="Net Banking"/>
    <s v="Repeat Customer"/>
  </r>
  <r>
    <n v="10194"/>
    <s v="CUST394"/>
    <d v="2025-03-15T00:00:00"/>
    <s v="Beauty"/>
    <x v="1"/>
    <n v="10"/>
    <n v="205.19"/>
    <n v="2051.9"/>
    <s v="Credit Card"/>
    <s v="Repeat Customer"/>
  </r>
  <r>
    <n v="10195"/>
    <s v="CUST307"/>
    <d v="2024-01-22T00:00:00"/>
    <s v="Sports"/>
    <x v="3"/>
    <n v="6"/>
    <n v="90.08"/>
    <n v="540.48"/>
    <s v="Net Banking"/>
    <s v="Repeat Customer"/>
  </r>
  <r>
    <n v="10196"/>
    <s v="CUST145"/>
    <d v="2025-03-23T00:00:00"/>
    <s v="Sports"/>
    <x v="3"/>
    <n v="2"/>
    <n v="125.44"/>
    <n v="250.88"/>
    <s v="Credit Card"/>
    <s v="Repeat Customer"/>
  </r>
  <r>
    <n v="10197"/>
    <s v="CUST302"/>
    <d v="2024-11-13T00:00:00"/>
    <s v="Fashion"/>
    <x v="0"/>
    <n v="6"/>
    <n v="114.68"/>
    <n v="688.08"/>
    <s v="Credit Card"/>
    <s v="Repeat Customer"/>
  </r>
  <r>
    <n v="10198"/>
    <s v="CUST371"/>
    <d v="2025-06-06T00:00:00"/>
    <s v="Home"/>
    <x v="1"/>
    <n v="4"/>
    <n v="453.43"/>
    <n v="1813.72"/>
    <s v="UPI"/>
    <s v="Repeat Customer"/>
  </r>
  <r>
    <n v="10199"/>
    <s v="CUST220"/>
    <d v="2024-04-15T00:00:00"/>
    <s v="Fashion"/>
    <x v="2"/>
    <n v="3"/>
    <n v="131.69999999999999"/>
    <n v="395.1"/>
    <s v="Credit Card"/>
    <s v="Repeat Customer"/>
  </r>
  <r>
    <n v="10200"/>
    <s v="CUST190"/>
    <d v="2025-10-05T00:00:00"/>
    <s v="Sports"/>
    <x v="3"/>
    <n v="8"/>
    <n v="234.66"/>
    <n v="1877.28"/>
    <s v="Net Banking"/>
    <s v="Repeat Customer"/>
  </r>
  <r>
    <n v="10201"/>
    <s v="CUST261"/>
    <d v="2024-06-03T00:00:00"/>
    <s v="Beauty"/>
    <x v="1"/>
    <n v="8"/>
    <n v="38.799999999999997"/>
    <n v="310.39999999999998"/>
    <s v="Net Banking"/>
    <s v="Repeat Customer"/>
  </r>
  <r>
    <n v="10202"/>
    <s v="CUST128"/>
    <d v="2024-12-26T00:00:00"/>
    <s v="Beauty"/>
    <x v="3"/>
    <n v="9"/>
    <n v="41.72"/>
    <n v="375.48"/>
    <s v="Credit Card"/>
    <s v="Repeat Customer"/>
  </r>
  <r>
    <n v="10203"/>
    <s v="CUST129"/>
    <d v="2025-01-12T00:00:00"/>
    <s v="Electronics"/>
    <x v="3"/>
    <n v="5"/>
    <n v="42.98"/>
    <n v="214.9"/>
    <s v="Wallet"/>
    <s v="Repeat Customer"/>
  </r>
  <r>
    <n v="10204"/>
    <s v="CUST397"/>
    <d v="2025-07-21T00:00:00"/>
    <s v="Sports"/>
    <x v="2"/>
    <n v="1"/>
    <n v="227.62"/>
    <n v="227.62"/>
    <s v="Net Banking"/>
    <s v="New Customer"/>
  </r>
  <r>
    <n v="10205"/>
    <s v="CUST343"/>
    <d v="2025-05-28T00:00:00"/>
    <s v="Beauty"/>
    <x v="0"/>
    <n v="3"/>
    <n v="479.07"/>
    <n v="1437.21"/>
    <s v="Net Banking"/>
    <s v="Repeat Customer"/>
  </r>
  <r>
    <n v="10206"/>
    <s v="CUST143"/>
    <d v="2025-05-31T00:00:00"/>
    <s v="Beauty"/>
    <x v="3"/>
    <n v="3"/>
    <n v="24.38"/>
    <n v="73.14"/>
    <s v="UPI"/>
    <s v="Repeat Customer"/>
  </r>
  <r>
    <n v="10207"/>
    <s v="CUST286"/>
    <d v="2025-01-16T00:00:00"/>
    <s v="Home"/>
    <x v="0"/>
    <n v="5"/>
    <n v="196.77"/>
    <n v="983.85"/>
    <s v="Net Banking"/>
    <s v="Repeat Customer"/>
  </r>
  <r>
    <n v="10208"/>
    <s v="CUST133"/>
    <d v="2024-12-03T00:00:00"/>
    <s v="Beauty"/>
    <x v="1"/>
    <n v="2"/>
    <n v="281.19"/>
    <n v="562.38"/>
    <s v="Net Banking"/>
    <s v="Repeat Customer"/>
  </r>
  <r>
    <n v="10209"/>
    <s v="CUST176"/>
    <d v="2024-12-07T00:00:00"/>
    <s v="Fashion"/>
    <x v="1"/>
    <n v="2"/>
    <n v="293.45999999999998"/>
    <n v="586.91999999999996"/>
    <s v="Net Banking"/>
    <s v="Repeat Customer"/>
  </r>
  <r>
    <n v="10210"/>
    <s v="CUST300"/>
    <d v="2024-05-12T00:00:00"/>
    <s v="Electronics"/>
    <x v="1"/>
    <n v="10"/>
    <n v="355.87"/>
    <n v="3558.7"/>
    <s v="Wallet"/>
    <s v="Repeat Customer"/>
  </r>
  <r>
    <n v="10211"/>
    <s v="CUST268"/>
    <d v="2024-05-10T00:00:00"/>
    <s v="Beauty"/>
    <x v="1"/>
    <n v="9"/>
    <n v="51.26"/>
    <n v="461.34"/>
    <s v="Credit Card"/>
    <s v="Repeat Customer"/>
  </r>
  <r>
    <n v="10212"/>
    <s v="CUST285"/>
    <d v="2024-11-12T00:00:00"/>
    <s v="Home"/>
    <x v="3"/>
    <n v="3"/>
    <n v="475.83"/>
    <n v="1427.49"/>
    <s v="UPI"/>
    <s v="Repeat Customer"/>
  </r>
  <r>
    <n v="10213"/>
    <s v="CUST215"/>
    <d v="2024-05-20T00:00:00"/>
    <s v="Electronics"/>
    <x v="0"/>
    <n v="3"/>
    <n v="43.2"/>
    <n v="129.6"/>
    <s v="Net Banking"/>
    <s v="Repeat Customer"/>
  </r>
  <r>
    <n v="10214"/>
    <s v="CUST167"/>
    <d v="2025-09-03T00:00:00"/>
    <s v="Fashion"/>
    <x v="2"/>
    <n v="7"/>
    <n v="81.36"/>
    <n v="569.52"/>
    <s v="Wallet"/>
    <s v="Repeat Customer"/>
  </r>
  <r>
    <n v="10215"/>
    <s v="CUST122"/>
    <d v="2025-02-24T00:00:00"/>
    <s v="Fashion"/>
    <x v="3"/>
    <n v="6"/>
    <n v="339.8"/>
    <n v="2038.8"/>
    <s v="Net Banking"/>
    <s v="Repeat Customer"/>
  </r>
  <r>
    <n v="10216"/>
    <s v="CUST329"/>
    <d v="2024-08-27T00:00:00"/>
    <s v="Beauty"/>
    <x v="2"/>
    <n v="9"/>
    <n v="123.39"/>
    <n v="1110.51"/>
    <s v="Net Banking"/>
    <s v="Repeat Customer"/>
  </r>
  <r>
    <n v="10217"/>
    <s v="CUST392"/>
    <d v="2025-03-27T00:00:00"/>
    <s v="Beauty"/>
    <x v="3"/>
    <n v="8"/>
    <n v="385.87"/>
    <n v="3086.96"/>
    <s v="UPI"/>
    <s v="Repeat Customer"/>
  </r>
  <r>
    <n v="10218"/>
    <s v="CUST202"/>
    <d v="2025-09-11T00:00:00"/>
    <s v="Electronics"/>
    <x v="3"/>
    <n v="3"/>
    <n v="437.14"/>
    <n v="1311.42"/>
    <s v="Net Banking"/>
    <s v="Repeat Customer"/>
  </r>
  <r>
    <n v="10219"/>
    <s v="CUST383"/>
    <d v="2024-04-15T00:00:00"/>
    <s v="Home"/>
    <x v="0"/>
    <n v="9"/>
    <n v="426.33"/>
    <n v="3836.97"/>
    <s v="UPI"/>
    <s v="Repeat Customer"/>
  </r>
  <r>
    <n v="10220"/>
    <s v="CUST239"/>
    <d v="2025-04-05T00:00:00"/>
    <s v="Beauty"/>
    <x v="0"/>
    <n v="9"/>
    <n v="77.94"/>
    <n v="701.46"/>
    <s v="UPI"/>
    <s v="Repeat Customer"/>
  </r>
  <r>
    <n v="10221"/>
    <s v="CUST330"/>
    <d v="2024-12-23T00:00:00"/>
    <s v="Beauty"/>
    <x v="1"/>
    <n v="1"/>
    <n v="210.37"/>
    <n v="210.37"/>
    <s v="UPI"/>
    <s v="Repeat Customer"/>
  </r>
  <r>
    <n v="10222"/>
    <s v="CUST297"/>
    <d v="2024-03-24T00:00:00"/>
    <s v="Home"/>
    <x v="0"/>
    <n v="6"/>
    <n v="116.15"/>
    <n v="696.9"/>
    <s v="Net Banking"/>
    <s v="Repeat Customer"/>
  </r>
  <r>
    <n v="10223"/>
    <s v="CUST174"/>
    <d v="2024-05-20T00:00:00"/>
    <s v="Beauty"/>
    <x v="2"/>
    <n v="1"/>
    <n v="147.01"/>
    <n v="147.01"/>
    <s v="Wallet"/>
    <s v="Repeat Customer"/>
  </r>
  <r>
    <n v="10224"/>
    <s v="CUST329"/>
    <d v="2025-09-22T00:00:00"/>
    <s v="Electronics"/>
    <x v="1"/>
    <n v="1"/>
    <n v="453.4"/>
    <n v="453.4"/>
    <s v="UPI"/>
    <s v="Repeat Customer"/>
  </r>
  <r>
    <n v="10225"/>
    <s v="CUST176"/>
    <d v="2025-07-15T00:00:00"/>
    <s v="Electronics"/>
    <x v="1"/>
    <n v="10"/>
    <n v="266.25"/>
    <n v="2662.5"/>
    <s v="UPI"/>
    <s v="Repeat Customer"/>
  </r>
  <r>
    <n v="10226"/>
    <s v="CUST254"/>
    <d v="2024-05-04T00:00:00"/>
    <s v="Sports"/>
    <x v="3"/>
    <n v="1"/>
    <n v="123.03"/>
    <n v="123.03"/>
    <s v="Credit Card"/>
    <s v="Repeat Customer"/>
  </r>
  <r>
    <n v="10227"/>
    <s v="CUST156"/>
    <d v="2025-05-26T00:00:00"/>
    <s v="Sports"/>
    <x v="2"/>
    <n v="10"/>
    <n v="270.35000000000002"/>
    <n v="2703.5"/>
    <s v="UPI"/>
    <s v="Repeat Customer"/>
  </r>
  <r>
    <n v="10228"/>
    <s v="CUST249"/>
    <d v="2025-03-15T00:00:00"/>
    <s v="Fashion"/>
    <x v="3"/>
    <n v="1"/>
    <n v="309.33"/>
    <n v="309.33"/>
    <s v="UPI"/>
    <s v="Repeat Customer"/>
  </r>
  <r>
    <n v="10229"/>
    <s v="CUST143"/>
    <d v="2025-06-20T00:00:00"/>
    <s v="Sports"/>
    <x v="0"/>
    <n v="6"/>
    <n v="38.5"/>
    <n v="231"/>
    <s v="Wallet"/>
    <s v="Repeat Customer"/>
  </r>
  <r>
    <n v="10230"/>
    <s v="CUST340"/>
    <d v="2024-02-14T00:00:00"/>
    <s v="Home"/>
    <x v="0"/>
    <n v="7"/>
    <n v="490.61"/>
    <n v="3434.27"/>
    <s v="Net Banking"/>
    <s v="Repeat Customer"/>
  </r>
  <r>
    <n v="10231"/>
    <s v="CUST134"/>
    <d v="2024-12-19T00:00:00"/>
    <s v="Electronics"/>
    <x v="1"/>
    <n v="4"/>
    <n v="367.81"/>
    <n v="1471.24"/>
    <s v="UPI"/>
    <s v="Repeat Customer"/>
  </r>
  <r>
    <n v="10232"/>
    <s v="CUST122"/>
    <d v="2024-12-26T00:00:00"/>
    <s v="Fashion"/>
    <x v="3"/>
    <n v="9"/>
    <n v="172.58"/>
    <n v="1553.22"/>
    <s v="Wallet"/>
    <s v="Repeat Customer"/>
  </r>
  <r>
    <n v="10233"/>
    <s v="CUST193"/>
    <d v="2024-05-18T00:00:00"/>
    <s v="Beauty"/>
    <x v="0"/>
    <n v="2"/>
    <n v="359.44"/>
    <n v="718.88"/>
    <s v="Net Banking"/>
    <s v="Repeat Customer"/>
  </r>
  <r>
    <n v="10234"/>
    <s v="CUST203"/>
    <d v="2024-02-14T00:00:00"/>
    <s v="Home"/>
    <x v="1"/>
    <n v="4"/>
    <n v="443.47"/>
    <n v="1773.88"/>
    <s v="Wallet"/>
    <s v="Repeat Customer"/>
  </r>
  <r>
    <n v="10235"/>
    <s v="CUST378"/>
    <d v="2025-04-29T00:00:00"/>
    <s v="Fashion"/>
    <x v="1"/>
    <n v="5"/>
    <n v="23.13"/>
    <n v="115.65"/>
    <s v="Net Banking"/>
    <s v="Repeat Customer"/>
  </r>
  <r>
    <n v="10236"/>
    <s v="CUST124"/>
    <d v="2025-11-02T00:00:00"/>
    <s v="Home"/>
    <x v="3"/>
    <n v="6"/>
    <n v="140.24"/>
    <n v="841.44"/>
    <s v="Wallet"/>
    <s v="Repeat Customer"/>
  </r>
  <r>
    <n v="10237"/>
    <s v="CUST325"/>
    <d v="2025-01-30T00:00:00"/>
    <s v="Beauty"/>
    <x v="3"/>
    <n v="6"/>
    <n v="486.99"/>
    <n v="2921.94"/>
    <s v="Net Banking"/>
    <s v="Repeat Customer"/>
  </r>
  <r>
    <n v="10238"/>
    <s v="CUST365"/>
    <d v="2024-09-30T00:00:00"/>
    <s v="Electronics"/>
    <x v="3"/>
    <n v="2"/>
    <n v="364.91"/>
    <n v="729.82"/>
    <s v="UPI"/>
    <s v="Repeat Customer"/>
  </r>
  <r>
    <n v="10239"/>
    <s v="CUST379"/>
    <d v="2024-10-27T00:00:00"/>
    <s v="Home"/>
    <x v="1"/>
    <n v="6"/>
    <n v="55.79"/>
    <n v="334.74"/>
    <s v="Net Banking"/>
    <s v="Repeat Customer"/>
  </r>
  <r>
    <n v="10240"/>
    <s v="CUST328"/>
    <d v="2025-09-09T00:00:00"/>
    <s v="Beauty"/>
    <x v="1"/>
    <n v="7"/>
    <n v="87.49"/>
    <n v="612.42999999999995"/>
    <s v="Wallet"/>
    <s v="Repeat Customer"/>
  </r>
  <r>
    <n v="10241"/>
    <s v="CUST121"/>
    <d v="2024-12-27T00:00:00"/>
    <s v="Home"/>
    <x v="0"/>
    <n v="10"/>
    <n v="499.08"/>
    <n v="4990.8"/>
    <s v="Credit Card"/>
    <s v="Repeat Customer"/>
  </r>
  <r>
    <n v="10242"/>
    <s v="CUST307"/>
    <d v="2025-01-07T00:00:00"/>
    <s v="Fashion"/>
    <x v="0"/>
    <n v="9"/>
    <n v="401.54"/>
    <n v="3613.86"/>
    <s v="UPI"/>
    <s v="Repeat Customer"/>
  </r>
  <r>
    <n v="10243"/>
    <s v="CUST324"/>
    <d v="2024-02-05T00:00:00"/>
    <s v="Home"/>
    <x v="1"/>
    <n v="3"/>
    <n v="38.28"/>
    <n v="114.84"/>
    <s v="Wallet"/>
    <s v="Repeat Customer"/>
  </r>
  <r>
    <n v="10244"/>
    <s v="CUST390"/>
    <d v="2024-02-03T00:00:00"/>
    <s v="Beauty"/>
    <x v="1"/>
    <n v="10"/>
    <n v="80.95"/>
    <n v="809.5"/>
    <s v="Net Banking"/>
    <s v="Repeat Customer"/>
  </r>
  <r>
    <n v="10245"/>
    <s v="CUST327"/>
    <d v="2024-03-19T00:00:00"/>
    <s v="Home"/>
    <x v="3"/>
    <n v="10"/>
    <n v="73.16"/>
    <n v="731.6"/>
    <s v="Net Banking"/>
    <s v="Repeat Customer"/>
  </r>
  <r>
    <n v="10246"/>
    <s v="CUST242"/>
    <d v="2024-09-12T00:00:00"/>
    <s v="Fashion"/>
    <x v="3"/>
    <n v="2"/>
    <n v="17.829999999999998"/>
    <n v="35.659999999999997"/>
    <s v="Wallet"/>
    <s v="Repeat Customer"/>
  </r>
  <r>
    <n v="10247"/>
    <s v="CUST387"/>
    <d v="2024-04-30T00:00:00"/>
    <s v="Beauty"/>
    <x v="2"/>
    <n v="5"/>
    <n v="388.61"/>
    <n v="1943.05"/>
    <s v="Net Banking"/>
    <s v="Repeat Customer"/>
  </r>
  <r>
    <n v="10248"/>
    <s v="CUST351"/>
    <d v="2024-07-23T00:00:00"/>
    <s v="Electronics"/>
    <x v="3"/>
    <n v="2"/>
    <n v="72.19"/>
    <n v="144.38"/>
    <s v="UPI"/>
    <s v="Repeat Customer"/>
  </r>
  <r>
    <n v="10249"/>
    <s v="CUST327"/>
    <d v="2024-03-30T00:00:00"/>
    <s v="Electronics"/>
    <x v="1"/>
    <n v="6"/>
    <n v="335.58"/>
    <n v="2013.48"/>
    <s v="Net Banking"/>
    <s v="Repeat Customer"/>
  </r>
  <r>
    <n v="10250"/>
    <s v="CUST180"/>
    <d v="2025-12-29T00:00:00"/>
    <s v="Sports"/>
    <x v="2"/>
    <n v="3"/>
    <n v="397.88"/>
    <n v="1193.6400000000001"/>
    <s v="Credit Card"/>
    <s v="Repeat Customer"/>
  </r>
  <r>
    <n v="10251"/>
    <s v="CUST202"/>
    <d v="2024-05-22T00:00:00"/>
    <s v="Electronics"/>
    <x v="1"/>
    <n v="4"/>
    <n v="396.23"/>
    <n v="1584.92"/>
    <s v="Net Banking"/>
    <s v="Repeat Customer"/>
  </r>
  <r>
    <n v="10252"/>
    <s v="CUST339"/>
    <d v="2025-07-18T00:00:00"/>
    <s v="Electronics"/>
    <x v="0"/>
    <n v="3"/>
    <n v="307.91000000000003"/>
    <n v="923.73"/>
    <s v="Net Banking"/>
    <s v="Repeat Customer"/>
  </r>
  <r>
    <n v="10253"/>
    <s v="CUST303"/>
    <d v="2025-05-05T00:00:00"/>
    <s v="Beauty"/>
    <x v="0"/>
    <n v="9"/>
    <n v="208.34"/>
    <n v="1875.06"/>
    <s v="UPI"/>
    <s v="New Customer"/>
  </r>
  <r>
    <n v="10254"/>
    <s v="CUST262"/>
    <d v="2025-10-19T00:00:00"/>
    <s v="Sports"/>
    <x v="1"/>
    <n v="2"/>
    <n v="227.74"/>
    <n v="455.48"/>
    <s v="UPI"/>
    <s v="Repeat Customer"/>
  </r>
  <r>
    <n v="10255"/>
    <s v="CUST382"/>
    <d v="2025-10-17T00:00:00"/>
    <s v="Fashion"/>
    <x v="3"/>
    <n v="10"/>
    <n v="95.07"/>
    <n v="950.7"/>
    <s v="Credit Card"/>
    <s v="Repeat Customer"/>
  </r>
  <r>
    <n v="10256"/>
    <s v="CUST163"/>
    <d v="2025-06-14T00:00:00"/>
    <s v="Fashion"/>
    <x v="1"/>
    <n v="3"/>
    <n v="155.54"/>
    <n v="466.62"/>
    <s v="UPI"/>
    <s v="Repeat Customer"/>
  </r>
  <r>
    <n v="10257"/>
    <s v="CUST277"/>
    <d v="2025-06-15T00:00:00"/>
    <s v="Home"/>
    <x v="2"/>
    <n v="5"/>
    <n v="423.74"/>
    <n v="2118.6999999999998"/>
    <s v="Net Banking"/>
    <s v="Repeat Customer"/>
  </r>
  <r>
    <n v="10258"/>
    <s v="CUST164"/>
    <d v="2025-10-02T00:00:00"/>
    <s v="Electronics"/>
    <x v="2"/>
    <n v="5"/>
    <n v="309.14"/>
    <n v="1545.7"/>
    <s v="UPI"/>
    <s v="Repeat Customer"/>
  </r>
  <r>
    <n v="10259"/>
    <s v="CUST187"/>
    <d v="2025-11-05T00:00:00"/>
    <s v="Sports"/>
    <x v="1"/>
    <n v="10"/>
    <n v="361.71"/>
    <n v="3617.1"/>
    <s v="Credit Card"/>
    <s v="Repeat Customer"/>
  </r>
  <r>
    <n v="10260"/>
    <s v="CUST114"/>
    <d v="2024-03-24T00:00:00"/>
    <s v="Sports"/>
    <x v="1"/>
    <n v="1"/>
    <n v="474.53"/>
    <n v="474.53"/>
    <s v="UPI"/>
    <s v="Repeat Customer"/>
  </r>
  <r>
    <n v="10261"/>
    <s v="CUST392"/>
    <d v="2025-03-02T00:00:00"/>
    <s v="Beauty"/>
    <x v="1"/>
    <n v="10"/>
    <n v="321.3"/>
    <n v="3213"/>
    <s v="Net Banking"/>
    <s v="Repeat Customer"/>
  </r>
  <r>
    <n v="10262"/>
    <s v="CUST347"/>
    <d v="2024-09-07T00:00:00"/>
    <s v="Electronics"/>
    <x v="0"/>
    <n v="7"/>
    <n v="152.22999999999999"/>
    <n v="1065.6099999999999"/>
    <s v="UPI"/>
    <s v="Repeat Customer"/>
  </r>
  <r>
    <n v="10263"/>
    <s v="CUST325"/>
    <d v="2025-03-01T00:00:00"/>
    <s v="Home"/>
    <x v="2"/>
    <n v="8"/>
    <n v="234.9"/>
    <n v="1879.2"/>
    <s v="Net Banking"/>
    <s v="Repeat Customer"/>
  </r>
  <r>
    <n v="10264"/>
    <s v="CUST263"/>
    <d v="2024-12-19T00:00:00"/>
    <s v="Home"/>
    <x v="0"/>
    <n v="7"/>
    <n v="69.73"/>
    <n v="488.11"/>
    <s v="Net Banking"/>
    <s v="Repeat Customer"/>
  </r>
  <r>
    <n v="10265"/>
    <s v="CUST223"/>
    <d v="2025-04-22T00:00:00"/>
    <s v="Fashion"/>
    <x v="2"/>
    <n v="2"/>
    <n v="137.4"/>
    <n v="274.8"/>
    <s v="Credit Card"/>
    <s v="Repeat Customer"/>
  </r>
  <r>
    <n v="10266"/>
    <s v="CUST125"/>
    <d v="2024-10-24T00:00:00"/>
    <s v="Beauty"/>
    <x v="2"/>
    <n v="7"/>
    <n v="432.76"/>
    <n v="3029.32"/>
    <s v="UPI"/>
    <s v="Repeat Customer"/>
  </r>
  <r>
    <n v="10267"/>
    <s v="CUST267"/>
    <d v="2025-08-14T00:00:00"/>
    <s v="Fashion"/>
    <x v="3"/>
    <n v="6"/>
    <n v="98.97"/>
    <n v="593.82000000000005"/>
    <s v="Wallet"/>
    <s v="Repeat Customer"/>
  </r>
  <r>
    <n v="10268"/>
    <s v="CUST355"/>
    <d v="2024-11-11T00:00:00"/>
    <s v="Beauty"/>
    <x v="3"/>
    <n v="8"/>
    <n v="16.47"/>
    <n v="131.76"/>
    <s v="UPI"/>
    <s v="Repeat Customer"/>
  </r>
  <r>
    <n v="10269"/>
    <s v="CUST210"/>
    <d v="2025-08-20T00:00:00"/>
    <s v="Home"/>
    <x v="3"/>
    <n v="6"/>
    <n v="29.09"/>
    <n v="174.54"/>
    <s v="Wallet"/>
    <s v="Repeat Customer"/>
  </r>
  <r>
    <n v="10270"/>
    <s v="CUST246"/>
    <d v="2025-07-03T00:00:00"/>
    <s v="Beauty"/>
    <x v="2"/>
    <n v="1"/>
    <n v="424.35"/>
    <n v="424.35"/>
    <s v="Net Banking"/>
    <s v="Repeat Customer"/>
  </r>
  <r>
    <n v="10271"/>
    <s v="CUST287"/>
    <d v="2025-02-16T00:00:00"/>
    <s v="Electronics"/>
    <x v="2"/>
    <n v="6"/>
    <n v="27.39"/>
    <n v="164.34"/>
    <s v="Net Banking"/>
    <s v="Repeat Customer"/>
  </r>
  <r>
    <n v="10272"/>
    <s v="CUST383"/>
    <d v="2024-10-22T00:00:00"/>
    <s v="Beauty"/>
    <x v="1"/>
    <n v="2"/>
    <n v="196.24"/>
    <n v="392.48"/>
    <s v="Credit Card"/>
    <s v="Repeat Customer"/>
  </r>
  <r>
    <n v="10273"/>
    <s v="CUST165"/>
    <d v="2024-04-09T00:00:00"/>
    <s v="Home"/>
    <x v="1"/>
    <n v="7"/>
    <n v="189.73"/>
    <n v="1328.11"/>
    <s v="UPI"/>
    <s v="Repeat Customer"/>
  </r>
  <r>
    <n v="10274"/>
    <s v="CUST201"/>
    <d v="2025-09-08T00:00:00"/>
    <s v="Electronics"/>
    <x v="0"/>
    <n v="9"/>
    <n v="203.69"/>
    <n v="1833.21"/>
    <s v="Credit Card"/>
    <s v="Repeat Customer"/>
  </r>
  <r>
    <n v="10275"/>
    <s v="CUST170"/>
    <d v="2025-12-31T00:00:00"/>
    <s v="Sports"/>
    <x v="3"/>
    <n v="6"/>
    <n v="402.96"/>
    <n v="2417.7600000000002"/>
    <s v="UPI"/>
    <s v="Repeat Customer"/>
  </r>
  <r>
    <n v="10276"/>
    <s v="CUST363"/>
    <d v="2024-05-23T00:00:00"/>
    <s v="Home"/>
    <x v="2"/>
    <n v="6"/>
    <n v="466.03"/>
    <n v="2796.18"/>
    <s v="Wallet"/>
    <s v="Repeat Customer"/>
  </r>
  <r>
    <n v="10277"/>
    <s v="CUST253"/>
    <d v="2025-08-30T00:00:00"/>
    <s v="Sports"/>
    <x v="3"/>
    <n v="6"/>
    <n v="256.12"/>
    <n v="1536.72"/>
    <s v="Net Banking"/>
    <s v="Repeat Customer"/>
  </r>
  <r>
    <n v="10278"/>
    <s v="CUST343"/>
    <d v="2024-01-18T00:00:00"/>
    <s v="Electronics"/>
    <x v="3"/>
    <n v="6"/>
    <n v="168.96"/>
    <n v="1013.76"/>
    <s v="Net Banking"/>
    <s v="Repeat Customer"/>
  </r>
  <r>
    <n v="10279"/>
    <s v="CUST113"/>
    <d v="2025-09-03T00:00:00"/>
    <s v="Sports"/>
    <x v="2"/>
    <n v="8"/>
    <n v="136.44"/>
    <n v="1091.52"/>
    <s v="Credit Card"/>
    <s v="Repeat Customer"/>
  </r>
  <r>
    <n v="10280"/>
    <s v="CUST398"/>
    <d v="2025-05-06T00:00:00"/>
    <s v="Sports"/>
    <x v="3"/>
    <n v="3"/>
    <n v="264.5"/>
    <n v="793.5"/>
    <s v="UPI"/>
    <s v="Repeat Customer"/>
  </r>
  <r>
    <n v="10281"/>
    <s v="CUST224"/>
    <d v="2024-02-02T00:00:00"/>
    <s v="Electronics"/>
    <x v="2"/>
    <n v="10"/>
    <n v="474.36"/>
    <n v="4743.6000000000004"/>
    <s v="Credit Card"/>
    <s v="Repeat Customer"/>
  </r>
  <r>
    <n v="10282"/>
    <s v="CUST325"/>
    <d v="2024-11-17T00:00:00"/>
    <s v="Fashion"/>
    <x v="3"/>
    <n v="7"/>
    <n v="79.959999999999994"/>
    <n v="559.72"/>
    <s v="Wallet"/>
    <s v="Repeat Customer"/>
  </r>
  <r>
    <n v="10283"/>
    <s v="CUST131"/>
    <d v="2025-12-23T00:00:00"/>
    <s v="Sports"/>
    <x v="1"/>
    <n v="3"/>
    <n v="261.75"/>
    <n v="785.25"/>
    <s v="Wallet"/>
    <s v="Repeat Customer"/>
  </r>
  <r>
    <n v="10284"/>
    <s v="CUST369"/>
    <d v="2025-01-20T00:00:00"/>
    <s v="Beauty"/>
    <x v="1"/>
    <n v="6"/>
    <n v="478.56"/>
    <n v="2871.36"/>
    <s v="Net Banking"/>
    <s v="Repeat Customer"/>
  </r>
  <r>
    <n v="10285"/>
    <s v="CUST235"/>
    <d v="2025-09-16T00:00:00"/>
    <s v="Fashion"/>
    <x v="1"/>
    <n v="8"/>
    <n v="100.17"/>
    <n v="801.36"/>
    <s v="Net Banking"/>
    <s v="Repeat Customer"/>
  </r>
  <r>
    <n v="10286"/>
    <s v="CUST215"/>
    <d v="2024-10-31T00:00:00"/>
    <s v="Beauty"/>
    <x v="1"/>
    <n v="5"/>
    <n v="353.93"/>
    <n v="1769.65"/>
    <s v="Wallet"/>
    <s v="Repeat Customer"/>
  </r>
  <r>
    <n v="10287"/>
    <s v="CUST278"/>
    <d v="2025-07-27T00:00:00"/>
    <s v="Sports"/>
    <x v="3"/>
    <n v="5"/>
    <n v="147.46"/>
    <n v="737.3"/>
    <s v="Wallet"/>
    <s v="Repeat Customer"/>
  </r>
  <r>
    <n v="10288"/>
    <s v="CUST276"/>
    <d v="2024-05-29T00:00:00"/>
    <s v="Electronics"/>
    <x v="1"/>
    <n v="5"/>
    <n v="25.82"/>
    <n v="129.1"/>
    <s v="Wallet"/>
    <s v="Repeat Customer"/>
  </r>
  <r>
    <n v="10289"/>
    <s v="CUST231"/>
    <d v="2025-05-05T00:00:00"/>
    <s v="Sports"/>
    <x v="1"/>
    <n v="4"/>
    <n v="105.02"/>
    <n v="420.08"/>
    <s v="Net Banking"/>
    <s v="Repeat Customer"/>
  </r>
  <r>
    <n v="10290"/>
    <s v="CUST170"/>
    <d v="2024-04-21T00:00:00"/>
    <s v="Fashion"/>
    <x v="2"/>
    <n v="10"/>
    <n v="371.74"/>
    <n v="3717.4"/>
    <s v="Credit Card"/>
    <s v="Repeat Customer"/>
  </r>
  <r>
    <n v="10291"/>
    <s v="CUST371"/>
    <d v="2024-08-19T00:00:00"/>
    <s v="Beauty"/>
    <x v="1"/>
    <n v="4"/>
    <n v="30.98"/>
    <n v="123.92"/>
    <s v="Wallet"/>
    <s v="Repeat Customer"/>
  </r>
  <r>
    <n v="10292"/>
    <s v="CUST151"/>
    <d v="2025-11-28T00:00:00"/>
    <s v="Sports"/>
    <x v="2"/>
    <n v="3"/>
    <n v="7.56"/>
    <n v="22.68"/>
    <s v="Wallet"/>
    <s v="Repeat Customer"/>
  </r>
  <r>
    <n v="10293"/>
    <s v="CUST343"/>
    <d v="2025-05-03T00:00:00"/>
    <s v="Home"/>
    <x v="1"/>
    <n v="4"/>
    <n v="379.18"/>
    <n v="1516.72"/>
    <s v="Net Banking"/>
    <s v="Repeat Customer"/>
  </r>
  <r>
    <n v="10294"/>
    <s v="CUST130"/>
    <d v="2024-04-01T00:00:00"/>
    <s v="Electronics"/>
    <x v="2"/>
    <n v="10"/>
    <n v="119.95"/>
    <n v="1199.5"/>
    <s v="Wallet"/>
    <s v="Repeat Customer"/>
  </r>
  <r>
    <n v="10295"/>
    <s v="CUST190"/>
    <d v="2024-02-07T00:00:00"/>
    <s v="Fashion"/>
    <x v="1"/>
    <n v="7"/>
    <n v="395.04"/>
    <n v="2765.28"/>
    <s v="Credit Card"/>
    <s v="Repeat Customer"/>
  </r>
  <r>
    <n v="10296"/>
    <s v="CUST104"/>
    <d v="2024-11-01T00:00:00"/>
    <s v="Home"/>
    <x v="1"/>
    <n v="10"/>
    <n v="303.38"/>
    <n v="3033.8"/>
    <s v="Wallet"/>
    <s v="Repeat Customer"/>
  </r>
  <r>
    <n v="10297"/>
    <s v="CUST378"/>
    <d v="2025-06-20T00:00:00"/>
    <s v="Fashion"/>
    <x v="3"/>
    <n v="8"/>
    <n v="445.18"/>
    <n v="3561.44"/>
    <s v="Net Banking"/>
    <s v="Repeat Customer"/>
  </r>
  <r>
    <n v="10298"/>
    <s v="CUST198"/>
    <d v="2024-04-25T00:00:00"/>
    <s v="Beauty"/>
    <x v="1"/>
    <n v="6"/>
    <n v="85.43"/>
    <n v="512.58000000000004"/>
    <s v="UPI"/>
    <s v="Repeat Customer"/>
  </r>
  <r>
    <n v="10299"/>
    <s v="CUST107"/>
    <d v="2024-12-11T00:00:00"/>
    <s v="Fashion"/>
    <x v="2"/>
    <n v="5"/>
    <n v="286.05"/>
    <n v="1430.25"/>
    <s v="Wallet"/>
    <s v="Repeat Customer"/>
  </r>
  <r>
    <n v="10300"/>
    <s v="CUST318"/>
    <d v="2025-06-11T00:00:00"/>
    <s v="Electronics"/>
    <x v="2"/>
    <n v="6"/>
    <n v="47.94"/>
    <n v="287.64"/>
    <s v="UPI"/>
    <s v="Repeat Customer"/>
  </r>
  <r>
    <n v="10301"/>
    <s v="CUST344"/>
    <d v="2024-11-27T00:00:00"/>
    <s v="Beauty"/>
    <x v="2"/>
    <n v="4"/>
    <n v="8.3800000000000008"/>
    <n v="33.520000000000003"/>
    <s v="Wallet"/>
    <s v="Repeat Customer"/>
  </r>
  <r>
    <n v="10302"/>
    <s v="CUST236"/>
    <d v="2024-12-03T00:00:00"/>
    <s v="Sports"/>
    <x v="0"/>
    <n v="5"/>
    <n v="293.32"/>
    <n v="1466.6"/>
    <s v="Net Banking"/>
    <s v="Repeat Customer"/>
  </r>
  <r>
    <n v="10303"/>
    <s v="CUST284"/>
    <d v="2025-12-10T00:00:00"/>
    <s v="Electronics"/>
    <x v="3"/>
    <n v="4"/>
    <n v="35.75"/>
    <n v="143"/>
    <s v="Net Banking"/>
    <s v="Repeat Customer"/>
  </r>
  <r>
    <n v="10304"/>
    <s v="CUST181"/>
    <d v="2025-02-19T00:00:00"/>
    <s v="Home"/>
    <x v="0"/>
    <n v="9"/>
    <n v="461.94"/>
    <n v="4157.46"/>
    <s v="Net Banking"/>
    <s v="Repeat Customer"/>
  </r>
  <r>
    <n v="10305"/>
    <s v="CUST288"/>
    <d v="2025-09-21T00:00:00"/>
    <s v="Fashion"/>
    <x v="3"/>
    <n v="4"/>
    <n v="113.47"/>
    <n v="453.88"/>
    <s v="UPI"/>
    <s v="Repeat Customer"/>
  </r>
  <r>
    <n v="10306"/>
    <s v="CUST332"/>
    <d v="2025-09-12T00:00:00"/>
    <s v="Sports"/>
    <x v="3"/>
    <n v="6"/>
    <n v="210.84"/>
    <n v="1265.04"/>
    <s v="UPI"/>
    <s v="Repeat Customer"/>
  </r>
  <r>
    <n v="10307"/>
    <s v="CUST226"/>
    <d v="2025-11-27T00:00:00"/>
    <s v="Electronics"/>
    <x v="3"/>
    <n v="10"/>
    <n v="437.2"/>
    <n v="4372"/>
    <s v="Net Banking"/>
    <s v="Repeat Customer"/>
  </r>
  <r>
    <n v="10308"/>
    <s v="CUST139"/>
    <d v="2025-07-31T00:00:00"/>
    <s v="Sports"/>
    <x v="2"/>
    <n v="2"/>
    <n v="35.57"/>
    <n v="71.14"/>
    <s v="UPI"/>
    <s v="Repeat Customer"/>
  </r>
  <r>
    <n v="10309"/>
    <s v="CUST184"/>
    <d v="2024-12-01T00:00:00"/>
    <s v="Fashion"/>
    <x v="3"/>
    <n v="9"/>
    <n v="223.71"/>
    <n v="2013.39"/>
    <s v="Credit Card"/>
    <s v="Repeat Customer"/>
  </r>
  <r>
    <n v="10310"/>
    <s v="CUST361"/>
    <d v="2025-04-01T00:00:00"/>
    <s v="Sports"/>
    <x v="3"/>
    <n v="1"/>
    <n v="229.45"/>
    <n v="229.45"/>
    <s v="Wallet"/>
    <s v="New Customer"/>
  </r>
  <r>
    <n v="10311"/>
    <s v="CUST388"/>
    <d v="2024-02-29T00:00:00"/>
    <s v="Home"/>
    <x v="0"/>
    <n v="9"/>
    <n v="233.88"/>
    <n v="2104.92"/>
    <s v="Wallet"/>
    <s v="Repeat Customer"/>
  </r>
  <r>
    <n v="10312"/>
    <s v="CUST230"/>
    <d v="2024-01-04T00:00:00"/>
    <s v="Electronics"/>
    <x v="3"/>
    <n v="4"/>
    <n v="291.26"/>
    <n v="1165.04"/>
    <s v="Net Banking"/>
    <s v="Repeat Customer"/>
  </r>
  <r>
    <n v="10313"/>
    <s v="CUST132"/>
    <d v="2025-07-08T00:00:00"/>
    <s v="Electronics"/>
    <x v="3"/>
    <n v="1"/>
    <n v="467.62"/>
    <n v="467.62"/>
    <s v="Credit Card"/>
    <s v="Repeat Customer"/>
  </r>
  <r>
    <n v="10314"/>
    <s v="CUST246"/>
    <d v="2025-02-22T00:00:00"/>
    <s v="Beauty"/>
    <x v="1"/>
    <n v="3"/>
    <n v="385.64"/>
    <n v="1156.92"/>
    <s v="Wallet"/>
    <s v="Repeat Customer"/>
  </r>
  <r>
    <n v="10315"/>
    <s v="CUST329"/>
    <d v="2025-01-21T00:00:00"/>
    <s v="Sports"/>
    <x v="2"/>
    <n v="7"/>
    <n v="44.72"/>
    <n v="313.04000000000002"/>
    <s v="Net Banking"/>
    <s v="Repeat Customer"/>
  </r>
  <r>
    <n v="10316"/>
    <s v="CUST160"/>
    <d v="2024-07-01T00:00:00"/>
    <s v="Fashion"/>
    <x v="2"/>
    <n v="9"/>
    <n v="199.56"/>
    <n v="1796.04"/>
    <s v="Credit Card"/>
    <s v="Repeat Customer"/>
  </r>
  <r>
    <n v="10317"/>
    <s v="CUST111"/>
    <d v="2024-11-01T00:00:00"/>
    <s v="Sports"/>
    <x v="3"/>
    <n v="8"/>
    <n v="338.38"/>
    <n v="2707.04"/>
    <s v="Wallet"/>
    <s v="Repeat Customer"/>
  </r>
  <r>
    <n v="10318"/>
    <s v="CUST217"/>
    <d v="2024-09-10T00:00:00"/>
    <s v="Home"/>
    <x v="2"/>
    <n v="8"/>
    <n v="176.35"/>
    <n v="1410.8"/>
    <s v="Credit Card"/>
    <s v="Repeat Customer"/>
  </r>
  <r>
    <n v="10319"/>
    <s v="CUST116"/>
    <d v="2025-11-07T00:00:00"/>
    <s v="Electronics"/>
    <x v="2"/>
    <n v="7"/>
    <n v="309.39"/>
    <n v="2165.73"/>
    <s v="UPI"/>
    <s v="Repeat Customer"/>
  </r>
  <r>
    <n v="10320"/>
    <s v="CUST134"/>
    <d v="2024-04-13T00:00:00"/>
    <s v="Sports"/>
    <x v="0"/>
    <n v="10"/>
    <n v="21.62"/>
    <n v="216.2"/>
    <s v="UPI"/>
    <s v="Repeat Customer"/>
  </r>
  <r>
    <n v="10321"/>
    <s v="CUST122"/>
    <d v="2025-02-15T00:00:00"/>
    <s v="Fashion"/>
    <x v="0"/>
    <n v="8"/>
    <n v="121"/>
    <n v="968"/>
    <s v="UPI"/>
    <s v="Repeat Customer"/>
  </r>
  <r>
    <n v="10322"/>
    <s v="CUST357"/>
    <d v="2024-10-23T00:00:00"/>
    <s v="Sports"/>
    <x v="1"/>
    <n v="4"/>
    <n v="408.81"/>
    <n v="1635.24"/>
    <s v="Net Banking"/>
    <s v="Repeat Customer"/>
  </r>
  <r>
    <n v="10323"/>
    <s v="CUST221"/>
    <d v="2024-11-05T00:00:00"/>
    <s v="Sports"/>
    <x v="2"/>
    <n v="3"/>
    <n v="492.92"/>
    <n v="1478.76"/>
    <s v="Wallet"/>
    <s v="Repeat Customer"/>
  </r>
  <r>
    <n v="10324"/>
    <s v="CUST253"/>
    <d v="2024-10-08T00:00:00"/>
    <s v="Sports"/>
    <x v="2"/>
    <n v="1"/>
    <n v="280.58"/>
    <n v="280.58"/>
    <s v="Wallet"/>
    <s v="Repeat Customer"/>
  </r>
  <r>
    <n v="10325"/>
    <s v="CUST384"/>
    <d v="2025-05-22T00:00:00"/>
    <s v="Beauty"/>
    <x v="1"/>
    <n v="1"/>
    <n v="486.28"/>
    <n v="486.28"/>
    <s v="Wallet"/>
    <s v="Repeat Customer"/>
  </r>
  <r>
    <n v="10326"/>
    <s v="CUST309"/>
    <d v="2024-06-01T00:00:00"/>
    <s v="Sports"/>
    <x v="3"/>
    <n v="5"/>
    <n v="191.35"/>
    <n v="956.75"/>
    <s v="UPI"/>
    <s v="Repeat Customer"/>
  </r>
  <r>
    <n v="10327"/>
    <s v="CUST215"/>
    <d v="2024-11-03T00:00:00"/>
    <s v="Electronics"/>
    <x v="3"/>
    <n v="3"/>
    <n v="403.86"/>
    <n v="1211.58"/>
    <s v="Wallet"/>
    <s v="Repeat Customer"/>
  </r>
  <r>
    <n v="10328"/>
    <s v="CUST385"/>
    <d v="2025-06-26T00:00:00"/>
    <s v="Home"/>
    <x v="2"/>
    <n v="3"/>
    <n v="197.27"/>
    <n v="591.80999999999995"/>
    <s v="Net Banking"/>
    <s v="Repeat Customer"/>
  </r>
  <r>
    <n v="10329"/>
    <s v="CUST140"/>
    <d v="2025-04-05T00:00:00"/>
    <s v="Fashion"/>
    <x v="0"/>
    <n v="6"/>
    <n v="50.77"/>
    <n v="304.62"/>
    <s v="Net Banking"/>
    <s v="Repeat Customer"/>
  </r>
  <r>
    <n v="10330"/>
    <s v="CUST293"/>
    <d v="2025-11-20T00:00:00"/>
    <s v="Electronics"/>
    <x v="2"/>
    <n v="10"/>
    <n v="303.45"/>
    <n v="3034.5"/>
    <s v="UPI"/>
    <s v="Repeat Customer"/>
  </r>
  <r>
    <n v="10331"/>
    <s v="CUST345"/>
    <d v="2024-08-01T00:00:00"/>
    <s v="Electronics"/>
    <x v="2"/>
    <n v="6"/>
    <n v="155.08000000000001"/>
    <n v="930.48"/>
    <s v="UPI"/>
    <s v="Repeat Customer"/>
  </r>
  <r>
    <n v="10332"/>
    <s v="CUST160"/>
    <d v="2025-05-05T00:00:00"/>
    <s v="Fashion"/>
    <x v="3"/>
    <n v="4"/>
    <n v="349.34"/>
    <n v="1397.36"/>
    <s v="UPI"/>
    <s v="Repeat Customer"/>
  </r>
  <r>
    <n v="10333"/>
    <s v="CUST382"/>
    <d v="2024-11-25T00:00:00"/>
    <s v="Sports"/>
    <x v="1"/>
    <n v="5"/>
    <n v="193.43"/>
    <n v="967.15"/>
    <s v="Net Banking"/>
    <s v="Repeat Customer"/>
  </r>
  <r>
    <n v="10334"/>
    <s v="CUST233"/>
    <d v="2025-01-03T00:00:00"/>
    <s v="Beauty"/>
    <x v="0"/>
    <n v="9"/>
    <n v="441.99"/>
    <n v="3977.91"/>
    <s v="Wallet"/>
    <s v="Repeat Customer"/>
  </r>
  <r>
    <n v="10335"/>
    <s v="CUST263"/>
    <d v="2024-07-27T00:00:00"/>
    <s v="Electronics"/>
    <x v="2"/>
    <n v="6"/>
    <n v="159.9"/>
    <n v="959.4"/>
    <s v="UPI"/>
    <s v="Repeat Customer"/>
  </r>
  <r>
    <n v="10336"/>
    <s v="CUST108"/>
    <d v="2024-09-24T00:00:00"/>
    <s v="Sports"/>
    <x v="3"/>
    <n v="9"/>
    <n v="467.71"/>
    <n v="4209.3900000000003"/>
    <s v="Net Banking"/>
    <s v="Repeat Customer"/>
  </r>
  <r>
    <n v="10337"/>
    <s v="CUST178"/>
    <d v="2024-07-19T00:00:00"/>
    <s v="Sports"/>
    <x v="2"/>
    <n v="6"/>
    <n v="118.86"/>
    <n v="713.16"/>
    <s v="Wallet"/>
    <s v="Repeat Customer"/>
  </r>
  <r>
    <n v="10338"/>
    <s v="CUST381"/>
    <d v="2025-11-01T00:00:00"/>
    <s v="Beauty"/>
    <x v="3"/>
    <n v="6"/>
    <n v="132.38"/>
    <n v="794.28"/>
    <s v="Wallet"/>
    <s v="Repeat Customer"/>
  </r>
  <r>
    <n v="10339"/>
    <s v="CUST186"/>
    <d v="2024-12-26T00:00:00"/>
    <s v="Sports"/>
    <x v="3"/>
    <n v="3"/>
    <n v="74.28"/>
    <n v="222.84"/>
    <s v="UPI"/>
    <s v="Repeat Customer"/>
  </r>
  <r>
    <n v="10340"/>
    <s v="CUST377"/>
    <d v="2025-10-19T00:00:00"/>
    <s v="Electronics"/>
    <x v="0"/>
    <n v="1"/>
    <n v="264.35000000000002"/>
    <n v="264.35000000000002"/>
    <s v="Credit Card"/>
    <s v="Repeat Customer"/>
  </r>
  <r>
    <n v="10341"/>
    <s v="CUST311"/>
    <d v="2024-05-20T00:00:00"/>
    <s v="Fashion"/>
    <x v="0"/>
    <n v="4"/>
    <n v="38.64"/>
    <n v="154.56"/>
    <s v="UPI"/>
    <s v="Repeat Customer"/>
  </r>
  <r>
    <n v="10342"/>
    <s v="CUST358"/>
    <d v="2025-04-11T00:00:00"/>
    <s v="Sports"/>
    <x v="3"/>
    <n v="6"/>
    <n v="34.92"/>
    <n v="209.52"/>
    <s v="Wallet"/>
    <s v="Repeat Customer"/>
  </r>
  <r>
    <n v="10343"/>
    <s v="CUST108"/>
    <d v="2024-01-07T00:00:00"/>
    <s v="Electronics"/>
    <x v="0"/>
    <n v="9"/>
    <n v="278.06"/>
    <n v="2502.54"/>
    <s v="Net Banking"/>
    <s v="Repeat Customer"/>
  </r>
  <r>
    <n v="10344"/>
    <s v="CUST374"/>
    <d v="2024-10-20T00:00:00"/>
    <s v="Beauty"/>
    <x v="2"/>
    <n v="1"/>
    <n v="253.6"/>
    <n v="253.6"/>
    <s v="Credit Card"/>
    <s v="Repeat Customer"/>
  </r>
  <r>
    <n v="10345"/>
    <s v="CUST149"/>
    <d v="2025-06-20T00:00:00"/>
    <s v="Sports"/>
    <x v="1"/>
    <n v="3"/>
    <n v="124.28"/>
    <n v="372.84"/>
    <s v="Net Banking"/>
    <s v="Repeat Customer"/>
  </r>
  <r>
    <n v="10346"/>
    <s v="CUST236"/>
    <d v="2025-02-10T00:00:00"/>
    <s v="Beauty"/>
    <x v="3"/>
    <n v="2"/>
    <n v="189.66"/>
    <n v="379.32"/>
    <s v="UPI"/>
    <s v="Repeat Customer"/>
  </r>
  <r>
    <n v="10347"/>
    <s v="CUST215"/>
    <d v="2024-11-03T00:00:00"/>
    <s v="Electronics"/>
    <x v="0"/>
    <n v="2"/>
    <n v="328.6"/>
    <n v="657.2"/>
    <s v="Wallet"/>
    <s v="Repeat Customer"/>
  </r>
  <r>
    <n v="10348"/>
    <s v="CUST294"/>
    <d v="2025-01-21T00:00:00"/>
    <s v="Electronics"/>
    <x v="2"/>
    <n v="9"/>
    <n v="240.62"/>
    <n v="2165.58"/>
    <s v="Credit Card"/>
    <s v="Repeat Customer"/>
  </r>
  <r>
    <n v="10349"/>
    <s v="CUST355"/>
    <d v="2025-03-20T00:00:00"/>
    <s v="Electronics"/>
    <x v="0"/>
    <n v="6"/>
    <n v="285.10000000000002"/>
    <n v="1710.6"/>
    <s v="UPI"/>
    <s v="Repeat Customer"/>
  </r>
  <r>
    <n v="10350"/>
    <s v="CUST208"/>
    <d v="2025-12-09T00:00:00"/>
    <s v="Electronics"/>
    <x v="0"/>
    <n v="10"/>
    <n v="240.37"/>
    <n v="2403.6999999999998"/>
    <s v="Net Banking"/>
    <s v="Repeat Customer"/>
  </r>
  <r>
    <n v="10351"/>
    <s v="CUST378"/>
    <d v="2025-07-31T00:00:00"/>
    <s v="Home"/>
    <x v="0"/>
    <n v="1"/>
    <n v="93.78"/>
    <n v="93.78"/>
    <s v="UPI"/>
    <s v="Repeat Customer"/>
  </r>
  <r>
    <n v="10352"/>
    <s v="CUST173"/>
    <d v="2025-12-30T00:00:00"/>
    <s v="Home"/>
    <x v="2"/>
    <n v="7"/>
    <n v="464.79"/>
    <n v="3253.53"/>
    <s v="UPI"/>
    <s v="Repeat Customer"/>
  </r>
  <r>
    <n v="10353"/>
    <s v="CUST390"/>
    <d v="2025-02-02T00:00:00"/>
    <s v="Fashion"/>
    <x v="0"/>
    <n v="9"/>
    <n v="169.21"/>
    <n v="1522.89"/>
    <s v="Net Banking"/>
    <s v="Repeat Customer"/>
  </r>
  <r>
    <n v="10354"/>
    <s v="CUST127"/>
    <d v="2024-04-10T00:00:00"/>
    <s v="Electronics"/>
    <x v="1"/>
    <n v="7"/>
    <n v="119.91"/>
    <n v="839.37"/>
    <s v="Wallet"/>
    <s v="Repeat Customer"/>
  </r>
  <r>
    <n v="10355"/>
    <s v="CUST267"/>
    <d v="2024-01-31T00:00:00"/>
    <s v="Beauty"/>
    <x v="3"/>
    <n v="5"/>
    <n v="392.86"/>
    <n v="1964.3"/>
    <s v="UPI"/>
    <s v="Repeat Customer"/>
  </r>
  <r>
    <n v="10356"/>
    <s v="CUST282"/>
    <d v="2025-07-20T00:00:00"/>
    <s v="Sports"/>
    <x v="3"/>
    <n v="7"/>
    <n v="218.76"/>
    <n v="1531.32"/>
    <s v="Credit Card"/>
    <s v="Repeat Customer"/>
  </r>
  <r>
    <n v="10357"/>
    <s v="CUST251"/>
    <d v="2024-09-09T00:00:00"/>
    <s v="Fashion"/>
    <x v="3"/>
    <n v="2"/>
    <n v="45.61"/>
    <n v="91.22"/>
    <s v="UPI"/>
    <s v="Repeat Customer"/>
  </r>
  <r>
    <n v="10358"/>
    <s v="CUST299"/>
    <d v="2024-11-20T00:00:00"/>
    <s v="Electronics"/>
    <x v="1"/>
    <n v="6"/>
    <n v="57.74"/>
    <n v="346.44"/>
    <s v="Wallet"/>
    <s v="Repeat Customer"/>
  </r>
  <r>
    <n v="10359"/>
    <s v="CUST284"/>
    <d v="2024-10-03T00:00:00"/>
    <s v="Fashion"/>
    <x v="3"/>
    <n v="2"/>
    <n v="70.59"/>
    <n v="141.18"/>
    <s v="Wallet"/>
    <s v="Repeat Customer"/>
  </r>
  <r>
    <n v="10360"/>
    <s v="CUST385"/>
    <d v="2025-07-22T00:00:00"/>
    <s v="Electronics"/>
    <x v="0"/>
    <n v="9"/>
    <n v="206.98"/>
    <n v="1862.82"/>
    <s v="Net Banking"/>
    <s v="Repeat Customer"/>
  </r>
  <r>
    <n v="10361"/>
    <s v="CUST383"/>
    <d v="2024-04-05T00:00:00"/>
    <s v="Home"/>
    <x v="3"/>
    <n v="10"/>
    <n v="301.02999999999997"/>
    <n v="3010.3"/>
    <s v="Credit Card"/>
    <s v="Repeat Customer"/>
  </r>
  <r>
    <n v="10362"/>
    <s v="CUST249"/>
    <d v="2025-02-27T00:00:00"/>
    <s v="Sports"/>
    <x v="2"/>
    <n v="7"/>
    <n v="390.69"/>
    <n v="2734.83"/>
    <s v="UPI"/>
    <s v="Repeat Customer"/>
  </r>
  <r>
    <n v="10363"/>
    <s v="CUST294"/>
    <d v="2024-06-22T00:00:00"/>
    <s v="Home"/>
    <x v="3"/>
    <n v="3"/>
    <n v="138.11000000000001"/>
    <n v="414.33"/>
    <s v="UPI"/>
    <s v="Repeat Customer"/>
  </r>
  <r>
    <n v="10364"/>
    <s v="CUST132"/>
    <d v="2024-06-20T00:00:00"/>
    <s v="Home"/>
    <x v="3"/>
    <n v="7"/>
    <n v="141.6"/>
    <n v="991.2"/>
    <s v="Credit Card"/>
    <s v="Repeat Customer"/>
  </r>
  <r>
    <n v="10365"/>
    <s v="CUST284"/>
    <d v="2024-09-14T00:00:00"/>
    <s v="Beauty"/>
    <x v="2"/>
    <n v="4"/>
    <n v="361.85"/>
    <n v="1447.4"/>
    <s v="Wallet"/>
    <s v="Repeat Customer"/>
  </r>
  <r>
    <n v="10366"/>
    <s v="CUST154"/>
    <d v="2024-05-18T00:00:00"/>
    <s v="Beauty"/>
    <x v="1"/>
    <n v="5"/>
    <n v="8.35"/>
    <n v="41.75"/>
    <s v="Wallet"/>
    <s v="Repeat Customer"/>
  </r>
  <r>
    <n v="10367"/>
    <s v="CUST268"/>
    <d v="2025-03-26T00:00:00"/>
    <s v="Sports"/>
    <x v="2"/>
    <n v="6"/>
    <n v="218.16"/>
    <n v="1308.96"/>
    <s v="Net Banking"/>
    <s v="Repeat Customer"/>
  </r>
  <r>
    <n v="10368"/>
    <s v="CUST264"/>
    <d v="2025-09-09T00:00:00"/>
    <s v="Fashion"/>
    <x v="3"/>
    <n v="4"/>
    <n v="242.11"/>
    <n v="968.44"/>
    <s v="Net Banking"/>
    <s v="Repeat Customer"/>
  </r>
  <r>
    <n v="10369"/>
    <s v="CUST249"/>
    <d v="2025-12-12T00:00:00"/>
    <s v="Fashion"/>
    <x v="1"/>
    <n v="8"/>
    <n v="484.04"/>
    <n v="3872.32"/>
    <s v="Wallet"/>
    <s v="Repeat Customer"/>
  </r>
  <r>
    <n v="10370"/>
    <s v="CUST243"/>
    <d v="2025-02-06T00:00:00"/>
    <s v="Sports"/>
    <x v="2"/>
    <n v="6"/>
    <n v="61.37"/>
    <n v="368.22"/>
    <s v="UPI"/>
    <s v="Repeat Customer"/>
  </r>
  <r>
    <n v="10371"/>
    <s v="CUST381"/>
    <d v="2024-01-28T00:00:00"/>
    <s v="Fashion"/>
    <x v="3"/>
    <n v="8"/>
    <n v="471.77"/>
    <n v="3774.16"/>
    <s v="Net Banking"/>
    <s v="Repeat Customer"/>
  </r>
  <r>
    <n v="10372"/>
    <s v="CUST135"/>
    <d v="2025-02-22T00:00:00"/>
    <s v="Home"/>
    <x v="2"/>
    <n v="8"/>
    <n v="73.89"/>
    <n v="591.12"/>
    <s v="Net Banking"/>
    <s v="Repeat Customer"/>
  </r>
  <r>
    <n v="10373"/>
    <s v="CUST178"/>
    <d v="2025-03-09T00:00:00"/>
    <s v="Sports"/>
    <x v="3"/>
    <n v="7"/>
    <n v="41.61"/>
    <n v="291.27"/>
    <s v="Wallet"/>
    <s v="Repeat Customer"/>
  </r>
  <r>
    <n v="10374"/>
    <s v="CUST373"/>
    <d v="2025-06-02T00:00:00"/>
    <s v="Home"/>
    <x v="0"/>
    <n v="7"/>
    <n v="274.10000000000002"/>
    <n v="1918.7"/>
    <s v="Credit Card"/>
    <s v="Repeat Customer"/>
  </r>
  <r>
    <n v="10375"/>
    <s v="CUST227"/>
    <d v="2025-11-04T00:00:00"/>
    <s v="Sports"/>
    <x v="0"/>
    <n v="6"/>
    <n v="87.34"/>
    <n v="524.04"/>
    <s v="Wallet"/>
    <s v="Repeat Customer"/>
  </r>
  <r>
    <n v="10376"/>
    <s v="CUST269"/>
    <d v="2025-03-16T00:00:00"/>
    <s v="Home"/>
    <x v="2"/>
    <n v="2"/>
    <n v="10.220000000000001"/>
    <n v="20.440000000000001"/>
    <s v="UPI"/>
    <s v="Repeat Customer"/>
  </r>
  <r>
    <n v="10377"/>
    <s v="CUST328"/>
    <d v="2025-01-18T00:00:00"/>
    <s v="Sports"/>
    <x v="2"/>
    <n v="7"/>
    <n v="234.22"/>
    <n v="1639.54"/>
    <s v="Net Banking"/>
    <s v="Repeat Customer"/>
  </r>
  <r>
    <n v="10378"/>
    <s v="CUST112"/>
    <d v="2025-05-09T00:00:00"/>
    <s v="Electronics"/>
    <x v="0"/>
    <n v="2"/>
    <n v="151.24"/>
    <n v="302.48"/>
    <s v="UPI"/>
    <s v="Repeat Customer"/>
  </r>
  <r>
    <n v="10379"/>
    <s v="CUST278"/>
    <d v="2024-11-15T00:00:00"/>
    <s v="Fashion"/>
    <x v="3"/>
    <n v="6"/>
    <n v="230.39"/>
    <n v="1382.34"/>
    <s v="Net Banking"/>
    <s v="Repeat Customer"/>
  </r>
  <r>
    <n v="10380"/>
    <s v="CUST343"/>
    <d v="2024-04-09T00:00:00"/>
    <s v="Beauty"/>
    <x v="1"/>
    <n v="8"/>
    <n v="362.39"/>
    <n v="2899.12"/>
    <s v="Credit Card"/>
    <s v="Repeat Customer"/>
  </r>
  <r>
    <n v="10381"/>
    <s v="CUST253"/>
    <d v="2024-02-15T00:00:00"/>
    <s v="Home"/>
    <x v="0"/>
    <n v="2"/>
    <n v="16.18"/>
    <n v="32.36"/>
    <s v="UPI"/>
    <s v="Repeat Customer"/>
  </r>
  <r>
    <n v="10382"/>
    <s v="CUST224"/>
    <d v="2025-06-12T00:00:00"/>
    <s v="Home"/>
    <x v="3"/>
    <n v="3"/>
    <n v="278.2"/>
    <n v="834.6"/>
    <s v="Wallet"/>
    <s v="Repeat Customer"/>
  </r>
  <r>
    <n v="10383"/>
    <s v="CUST218"/>
    <d v="2025-02-18T00:00:00"/>
    <s v="Beauty"/>
    <x v="3"/>
    <n v="3"/>
    <n v="97.26"/>
    <n v="291.77999999999997"/>
    <s v="Credit Card"/>
    <s v="Repeat Customer"/>
  </r>
  <r>
    <n v="10384"/>
    <s v="CUST201"/>
    <d v="2025-04-05T00:00:00"/>
    <s v="Electronics"/>
    <x v="2"/>
    <n v="10"/>
    <n v="217.63"/>
    <n v="2176.3000000000002"/>
    <s v="UPI"/>
    <s v="Repeat Customer"/>
  </r>
  <r>
    <n v="10385"/>
    <s v="CUST242"/>
    <d v="2025-12-21T00:00:00"/>
    <s v="Sports"/>
    <x v="2"/>
    <n v="2"/>
    <n v="290.79000000000002"/>
    <n v="581.58000000000004"/>
    <s v="Net Banking"/>
    <s v="Repeat Customer"/>
  </r>
  <r>
    <n v="10386"/>
    <s v="CUST266"/>
    <d v="2024-07-20T00:00:00"/>
    <s v="Beauty"/>
    <x v="1"/>
    <n v="8"/>
    <n v="61.41"/>
    <n v="491.28"/>
    <s v="Wallet"/>
    <s v="Repeat Customer"/>
  </r>
  <r>
    <n v="10387"/>
    <s v="CUST300"/>
    <d v="2025-08-24T00:00:00"/>
    <s v="Beauty"/>
    <x v="2"/>
    <n v="2"/>
    <n v="177.22"/>
    <n v="354.44"/>
    <s v="Net Banking"/>
    <s v="Repeat Customer"/>
  </r>
  <r>
    <n v="10388"/>
    <s v="CUST143"/>
    <d v="2025-11-19T00:00:00"/>
    <s v="Fashion"/>
    <x v="1"/>
    <n v="3"/>
    <n v="160.03"/>
    <n v="480.09"/>
    <s v="Credit Card"/>
    <s v="Repeat Customer"/>
  </r>
  <r>
    <n v="10389"/>
    <s v="CUST193"/>
    <d v="2025-01-17T00:00:00"/>
    <s v="Beauty"/>
    <x v="2"/>
    <n v="3"/>
    <n v="257.86"/>
    <n v="773.58"/>
    <s v="Wallet"/>
    <s v="Repeat Customer"/>
  </r>
  <r>
    <n v="10390"/>
    <s v="CUST316"/>
    <d v="2024-07-09T00:00:00"/>
    <s v="Fashion"/>
    <x v="2"/>
    <n v="8"/>
    <n v="319.57"/>
    <n v="2556.56"/>
    <s v="Wallet"/>
    <s v="Repeat Customer"/>
  </r>
  <r>
    <n v="10391"/>
    <s v="CUST247"/>
    <d v="2024-05-23T00:00:00"/>
    <s v="Beauty"/>
    <x v="0"/>
    <n v="3"/>
    <n v="160.72"/>
    <n v="482.16"/>
    <s v="Net Banking"/>
    <s v="Repeat Customer"/>
  </r>
  <r>
    <n v="10392"/>
    <s v="CUST104"/>
    <d v="2025-05-11T00:00:00"/>
    <s v="Beauty"/>
    <x v="3"/>
    <n v="3"/>
    <n v="101.59"/>
    <n v="304.77"/>
    <s v="Wallet"/>
    <s v="Repeat Customer"/>
  </r>
  <r>
    <n v="10393"/>
    <s v="CUST351"/>
    <d v="2025-03-01T00:00:00"/>
    <s v="Electronics"/>
    <x v="0"/>
    <n v="8"/>
    <n v="246.91"/>
    <n v="1975.28"/>
    <s v="UPI"/>
    <s v="Repeat Customer"/>
  </r>
  <r>
    <n v="10394"/>
    <s v="CUST249"/>
    <d v="2024-02-03T00:00:00"/>
    <s v="Home"/>
    <x v="2"/>
    <n v="5"/>
    <n v="116.3"/>
    <n v="581.5"/>
    <s v="Wallet"/>
    <s v="Repeat Customer"/>
  </r>
  <r>
    <n v="10395"/>
    <s v="CUST389"/>
    <d v="2025-05-22T00:00:00"/>
    <s v="Sports"/>
    <x v="0"/>
    <n v="9"/>
    <n v="257.85000000000002"/>
    <n v="2320.65"/>
    <s v="Net Banking"/>
    <s v="Repeat Customer"/>
  </r>
  <r>
    <n v="10396"/>
    <s v="CUST378"/>
    <d v="2025-01-10T00:00:00"/>
    <s v="Electronics"/>
    <x v="3"/>
    <n v="9"/>
    <n v="412.19"/>
    <n v="3709.71"/>
    <s v="UPI"/>
    <s v="Repeat Customer"/>
  </r>
  <r>
    <n v="10397"/>
    <s v="CUST317"/>
    <d v="2024-04-14T00:00:00"/>
    <s v="Electronics"/>
    <x v="3"/>
    <n v="4"/>
    <n v="152.37"/>
    <n v="609.48"/>
    <s v="Net Banking"/>
    <s v="Repeat Customer"/>
  </r>
  <r>
    <n v="10398"/>
    <s v="CUST278"/>
    <d v="2024-03-30T00:00:00"/>
    <s v="Electronics"/>
    <x v="2"/>
    <n v="8"/>
    <n v="433.32"/>
    <n v="3466.56"/>
    <s v="UPI"/>
    <s v="Repeat Customer"/>
  </r>
  <r>
    <n v="10399"/>
    <s v="CUST279"/>
    <d v="2025-12-28T00:00:00"/>
    <s v="Fashion"/>
    <x v="2"/>
    <n v="10"/>
    <n v="318.22000000000003"/>
    <n v="3182.2"/>
    <s v="UPI"/>
    <s v="Repeat Customer"/>
  </r>
  <r>
    <n v="10400"/>
    <s v="CUST205"/>
    <d v="2024-03-01T00:00:00"/>
    <s v="Home"/>
    <x v="2"/>
    <n v="10"/>
    <n v="178.65"/>
    <n v="1786.5"/>
    <s v="Net Banking"/>
    <s v="Repeat Customer"/>
  </r>
  <r>
    <n v="10401"/>
    <s v="CUST249"/>
    <d v="2024-10-23T00:00:00"/>
    <s v="Sports"/>
    <x v="0"/>
    <n v="10"/>
    <n v="137.33000000000001"/>
    <n v="1373.3"/>
    <s v="UPI"/>
    <s v="Repeat Customer"/>
  </r>
  <r>
    <n v="10402"/>
    <s v="CUST310"/>
    <d v="2024-03-01T00:00:00"/>
    <s v="Fashion"/>
    <x v="2"/>
    <n v="5"/>
    <n v="434.19"/>
    <n v="2170.9499999999998"/>
    <s v="UPI"/>
    <s v="Repeat Customer"/>
  </r>
  <r>
    <n v="10403"/>
    <s v="CUST174"/>
    <d v="2025-12-29T00:00:00"/>
    <s v="Beauty"/>
    <x v="3"/>
    <n v="6"/>
    <n v="415.1"/>
    <n v="2490.6"/>
    <s v="UPI"/>
    <s v="Repeat Customer"/>
  </r>
  <r>
    <n v="10404"/>
    <s v="CUST395"/>
    <d v="2025-10-09T00:00:00"/>
    <s v="Beauty"/>
    <x v="3"/>
    <n v="5"/>
    <n v="315.77"/>
    <n v="1578.85"/>
    <s v="Credit Card"/>
    <s v="Repeat Customer"/>
  </r>
  <r>
    <n v="10405"/>
    <s v="CUST147"/>
    <d v="2025-02-16T00:00:00"/>
    <s v="Home"/>
    <x v="3"/>
    <n v="9"/>
    <n v="376.15"/>
    <n v="3385.35"/>
    <s v="Wallet"/>
    <s v="Repeat Customer"/>
  </r>
  <r>
    <n v="10406"/>
    <s v="CUST267"/>
    <d v="2025-08-18T00:00:00"/>
    <s v="Electronics"/>
    <x v="3"/>
    <n v="1"/>
    <n v="435.11"/>
    <n v="435.11"/>
    <s v="Net Banking"/>
    <s v="Repeat Customer"/>
  </r>
  <r>
    <n v="10407"/>
    <s v="CUST132"/>
    <d v="2025-07-01T00:00:00"/>
    <s v="Beauty"/>
    <x v="2"/>
    <n v="7"/>
    <n v="112.83"/>
    <n v="789.81"/>
    <s v="Wallet"/>
    <s v="Repeat Customer"/>
  </r>
  <r>
    <n v="10408"/>
    <s v="CUST237"/>
    <d v="2024-11-26T00:00:00"/>
    <s v="Sports"/>
    <x v="2"/>
    <n v="5"/>
    <n v="172.19"/>
    <n v="860.95"/>
    <s v="Wallet"/>
    <s v="Repeat Customer"/>
  </r>
  <r>
    <n v="10409"/>
    <s v="CUST275"/>
    <d v="2025-11-29T00:00:00"/>
    <s v="Beauty"/>
    <x v="0"/>
    <n v="1"/>
    <n v="27.74"/>
    <n v="27.74"/>
    <s v="Credit Card"/>
    <s v="Repeat Customer"/>
  </r>
  <r>
    <n v="10410"/>
    <s v="CUST180"/>
    <d v="2025-03-27T00:00:00"/>
    <s v="Beauty"/>
    <x v="2"/>
    <n v="8"/>
    <n v="5.33"/>
    <n v="42.64"/>
    <s v="UPI"/>
    <s v="Repeat Customer"/>
  </r>
  <r>
    <n v="10411"/>
    <s v="CUST254"/>
    <d v="2024-06-11T00:00:00"/>
    <s v="Home"/>
    <x v="1"/>
    <n v="5"/>
    <n v="51.2"/>
    <n v="256"/>
    <s v="Credit Card"/>
    <s v="Repeat Customer"/>
  </r>
  <r>
    <n v="10412"/>
    <s v="CUST290"/>
    <d v="2025-11-11T00:00:00"/>
    <s v="Home"/>
    <x v="2"/>
    <n v="3"/>
    <n v="30.63"/>
    <n v="91.89"/>
    <s v="Wallet"/>
    <s v="Repeat Customer"/>
  </r>
  <r>
    <n v="10413"/>
    <s v="CUST146"/>
    <d v="2025-12-21T00:00:00"/>
    <s v="Beauty"/>
    <x v="0"/>
    <n v="2"/>
    <n v="5.54"/>
    <n v="11.08"/>
    <s v="UPI"/>
    <s v="Repeat Customer"/>
  </r>
  <r>
    <n v="10414"/>
    <s v="CUST215"/>
    <d v="2025-06-15T00:00:00"/>
    <s v="Home"/>
    <x v="0"/>
    <n v="8"/>
    <n v="9.6"/>
    <n v="76.8"/>
    <s v="Wallet"/>
    <s v="Repeat Customer"/>
  </r>
  <r>
    <n v="10415"/>
    <s v="CUST167"/>
    <d v="2025-05-04T00:00:00"/>
    <s v="Electronics"/>
    <x v="0"/>
    <n v="2"/>
    <n v="118.33"/>
    <n v="236.66"/>
    <s v="Credit Card"/>
    <s v="Repeat Customer"/>
  </r>
  <r>
    <n v="10416"/>
    <s v="CUST260"/>
    <d v="2025-01-11T00:00:00"/>
    <s v="Fashion"/>
    <x v="2"/>
    <n v="5"/>
    <n v="72.88"/>
    <n v="364.4"/>
    <s v="Credit Card"/>
    <s v="Repeat Customer"/>
  </r>
  <r>
    <n v="10417"/>
    <s v="CUST371"/>
    <d v="2025-07-30T00:00:00"/>
    <s v="Fashion"/>
    <x v="3"/>
    <n v="1"/>
    <n v="307.11"/>
    <n v="307.11"/>
    <s v="Net Banking"/>
    <s v="Repeat Customer"/>
  </r>
  <r>
    <n v="10418"/>
    <s v="CUST209"/>
    <d v="2025-10-05T00:00:00"/>
    <s v="Sports"/>
    <x v="3"/>
    <n v="3"/>
    <n v="460.35"/>
    <n v="1381.05"/>
    <s v="UPI"/>
    <s v="Repeat Customer"/>
  </r>
  <r>
    <n v="10419"/>
    <s v="CUST144"/>
    <d v="2024-04-12T00:00:00"/>
    <s v="Sports"/>
    <x v="3"/>
    <n v="3"/>
    <n v="377.46"/>
    <n v="1132.3800000000001"/>
    <s v="Net Banking"/>
    <s v="Repeat Customer"/>
  </r>
  <r>
    <n v="10420"/>
    <s v="CUST319"/>
    <d v="2024-11-18T00:00:00"/>
    <s v="Electronics"/>
    <x v="2"/>
    <n v="3"/>
    <n v="127.65"/>
    <n v="382.95"/>
    <s v="Net Banking"/>
    <s v="Repeat Customer"/>
  </r>
  <r>
    <n v="10421"/>
    <s v="CUST113"/>
    <d v="2025-11-05T00:00:00"/>
    <s v="Sports"/>
    <x v="2"/>
    <n v="5"/>
    <n v="106.7"/>
    <n v="533.5"/>
    <s v="Wallet"/>
    <s v="Repeat Customer"/>
  </r>
  <r>
    <n v="10422"/>
    <s v="CUST251"/>
    <d v="2025-10-23T00:00:00"/>
    <s v="Fashion"/>
    <x v="3"/>
    <n v="1"/>
    <n v="392.98"/>
    <n v="392.98"/>
    <s v="Wallet"/>
    <s v="Repeat Customer"/>
  </r>
  <r>
    <n v="10423"/>
    <s v="CUST157"/>
    <d v="2024-09-03T00:00:00"/>
    <s v="Electronics"/>
    <x v="0"/>
    <n v="8"/>
    <n v="320.85000000000002"/>
    <n v="2566.8000000000002"/>
    <s v="Net Banking"/>
    <s v="Repeat Customer"/>
  </r>
  <r>
    <n v="10424"/>
    <s v="CUST262"/>
    <d v="2024-05-15T00:00:00"/>
    <s v="Sports"/>
    <x v="3"/>
    <n v="7"/>
    <n v="431.1"/>
    <n v="3017.7"/>
    <s v="Net Banking"/>
    <s v="Repeat Customer"/>
  </r>
  <r>
    <n v="10425"/>
    <s v="CUST379"/>
    <d v="2025-11-30T00:00:00"/>
    <s v="Electronics"/>
    <x v="0"/>
    <n v="3"/>
    <n v="382.55"/>
    <n v="1147.6500000000001"/>
    <s v="Credit Card"/>
    <s v="Repeat Customer"/>
  </r>
  <r>
    <n v="10426"/>
    <s v="CUST107"/>
    <d v="2024-09-25T00:00:00"/>
    <s v="Electronics"/>
    <x v="3"/>
    <n v="4"/>
    <n v="24.71"/>
    <n v="98.84"/>
    <s v="Net Banking"/>
    <s v="Repeat Customer"/>
  </r>
  <r>
    <n v="10427"/>
    <s v="CUST356"/>
    <d v="2025-03-01T00:00:00"/>
    <s v="Electronics"/>
    <x v="2"/>
    <n v="7"/>
    <n v="352.4"/>
    <n v="2466.8000000000002"/>
    <s v="Net Banking"/>
    <s v="Repeat Customer"/>
  </r>
  <r>
    <n v="10428"/>
    <s v="CUST142"/>
    <d v="2024-11-13T00:00:00"/>
    <s v="Fashion"/>
    <x v="2"/>
    <n v="2"/>
    <n v="258.10000000000002"/>
    <n v="516.20000000000005"/>
    <s v="Net Banking"/>
    <s v="Repeat Customer"/>
  </r>
  <r>
    <n v="10429"/>
    <s v="CUST300"/>
    <d v="2025-08-23T00:00:00"/>
    <s v="Beauty"/>
    <x v="2"/>
    <n v="2"/>
    <n v="158.53"/>
    <n v="317.06"/>
    <s v="Credit Card"/>
    <s v="Repeat Customer"/>
  </r>
  <r>
    <n v="10430"/>
    <s v="CUST225"/>
    <d v="2024-03-29T00:00:00"/>
    <s v="Sports"/>
    <x v="0"/>
    <n v="7"/>
    <n v="62.41"/>
    <n v="436.87"/>
    <s v="Net Banking"/>
    <s v="Repeat Customer"/>
  </r>
  <r>
    <n v="10431"/>
    <s v="CUST189"/>
    <d v="2024-05-02T00:00:00"/>
    <s v="Electronics"/>
    <x v="2"/>
    <n v="1"/>
    <n v="355.41"/>
    <n v="355.41"/>
    <s v="Wallet"/>
    <s v="Repeat Customer"/>
  </r>
  <r>
    <n v="10432"/>
    <s v="CUST277"/>
    <d v="2025-06-19T00:00:00"/>
    <s v="Home"/>
    <x v="2"/>
    <n v="9"/>
    <n v="392.58"/>
    <n v="3533.22"/>
    <s v="Net Banking"/>
    <s v="Repeat Customer"/>
  </r>
  <r>
    <n v="10433"/>
    <s v="CUST164"/>
    <d v="2024-10-02T00:00:00"/>
    <s v="Electronics"/>
    <x v="1"/>
    <n v="2"/>
    <n v="386.86"/>
    <n v="773.72"/>
    <s v="Wallet"/>
    <s v="Repeat Customer"/>
  </r>
  <r>
    <n v="10434"/>
    <s v="CUST239"/>
    <d v="2025-06-20T00:00:00"/>
    <s v="Sports"/>
    <x v="0"/>
    <n v="2"/>
    <n v="135.16"/>
    <n v="270.32"/>
    <s v="Wallet"/>
    <s v="Repeat Customer"/>
  </r>
  <r>
    <n v="10435"/>
    <s v="CUST333"/>
    <d v="2025-06-07T00:00:00"/>
    <s v="Sports"/>
    <x v="2"/>
    <n v="6"/>
    <n v="32.44"/>
    <n v="194.64"/>
    <s v="Net Banking"/>
    <s v="Repeat Customer"/>
  </r>
  <r>
    <n v="10436"/>
    <s v="CUST180"/>
    <d v="2024-09-18T00:00:00"/>
    <s v="Electronics"/>
    <x v="2"/>
    <n v="2"/>
    <n v="447.66"/>
    <n v="895.32"/>
    <s v="Credit Card"/>
    <s v="Repeat Customer"/>
  </r>
  <r>
    <n v="10437"/>
    <s v="CUST122"/>
    <d v="2024-01-13T00:00:00"/>
    <s v="Home"/>
    <x v="3"/>
    <n v="4"/>
    <n v="27.76"/>
    <n v="111.04"/>
    <s v="UPI"/>
    <s v="Repeat Customer"/>
  </r>
  <r>
    <n v="10438"/>
    <s v="CUST191"/>
    <d v="2024-02-06T00:00:00"/>
    <s v="Beauty"/>
    <x v="2"/>
    <n v="9"/>
    <n v="402.54"/>
    <n v="3622.86"/>
    <s v="Net Banking"/>
    <s v="Repeat Customer"/>
  </r>
  <r>
    <n v="10439"/>
    <s v="CUST227"/>
    <d v="2025-03-02T00:00:00"/>
    <s v="Electronics"/>
    <x v="1"/>
    <n v="6"/>
    <n v="139.27000000000001"/>
    <n v="835.62"/>
    <s v="Credit Card"/>
    <s v="Repeat Customer"/>
  </r>
  <r>
    <n v="10440"/>
    <s v="CUST357"/>
    <d v="2025-11-20T00:00:00"/>
    <s v="Sports"/>
    <x v="0"/>
    <n v="1"/>
    <n v="93.78"/>
    <n v="93.78"/>
    <s v="Wallet"/>
    <s v="Repeat Customer"/>
  </r>
  <r>
    <n v="10441"/>
    <s v="CUST135"/>
    <d v="2025-04-21T00:00:00"/>
    <s v="Home"/>
    <x v="1"/>
    <n v="5"/>
    <n v="387.9"/>
    <n v="1939.5"/>
    <s v="Credit Card"/>
    <s v="Repeat Customer"/>
  </r>
  <r>
    <n v="10442"/>
    <s v="CUST383"/>
    <d v="2025-04-12T00:00:00"/>
    <s v="Home"/>
    <x v="1"/>
    <n v="1"/>
    <n v="187.62"/>
    <n v="187.62"/>
    <s v="UPI"/>
    <s v="Repeat Customer"/>
  </r>
  <r>
    <n v="10443"/>
    <s v="CUST337"/>
    <d v="2025-01-12T00:00:00"/>
    <s v="Fashion"/>
    <x v="2"/>
    <n v="10"/>
    <n v="486.07"/>
    <n v="4860.7"/>
    <s v="UPI"/>
    <s v="Repeat Customer"/>
  </r>
  <r>
    <n v="10444"/>
    <s v="CUST103"/>
    <d v="2025-02-23T00:00:00"/>
    <s v="Home"/>
    <x v="0"/>
    <n v="1"/>
    <n v="120.33"/>
    <n v="120.33"/>
    <s v="Net Banking"/>
    <s v="Repeat Customer"/>
  </r>
  <r>
    <n v="10445"/>
    <s v="CUST100"/>
    <d v="2025-11-04T00:00:00"/>
    <s v="Home"/>
    <x v="0"/>
    <n v="7"/>
    <n v="425.26"/>
    <n v="2976.82"/>
    <s v="UPI"/>
    <s v="Repeat Customer"/>
  </r>
  <r>
    <n v="10446"/>
    <s v="CUST371"/>
    <d v="2024-08-31T00:00:00"/>
    <s v="Electronics"/>
    <x v="2"/>
    <n v="7"/>
    <n v="248.55"/>
    <n v="1739.85"/>
    <s v="Net Banking"/>
    <s v="Repeat Customer"/>
  </r>
  <r>
    <n v="10447"/>
    <s v="CUST147"/>
    <d v="2024-02-14T00:00:00"/>
    <s v="Sports"/>
    <x v="3"/>
    <n v="4"/>
    <n v="449.16"/>
    <n v="1796.64"/>
    <s v="Net Banking"/>
    <s v="Repeat Customer"/>
  </r>
  <r>
    <n v="10448"/>
    <s v="CUST334"/>
    <d v="2024-03-27T00:00:00"/>
    <s v="Fashion"/>
    <x v="3"/>
    <n v="10"/>
    <n v="52.31"/>
    <n v="523.1"/>
    <s v="Credit Card"/>
    <s v="Repeat Customer"/>
  </r>
  <r>
    <n v="10449"/>
    <s v="CUST390"/>
    <d v="2024-03-04T00:00:00"/>
    <s v="Fashion"/>
    <x v="2"/>
    <n v="7"/>
    <n v="332.91"/>
    <n v="2330.37"/>
    <s v="Net Banking"/>
    <s v="Repeat Customer"/>
  </r>
  <r>
    <n v="10450"/>
    <s v="CUST233"/>
    <d v="2024-11-18T00:00:00"/>
    <s v="Home"/>
    <x v="1"/>
    <n v="7"/>
    <n v="351.86"/>
    <n v="2463.02"/>
    <s v="Wallet"/>
    <s v="Repeat Customer"/>
  </r>
  <r>
    <n v="10451"/>
    <s v="CUST239"/>
    <d v="2024-08-27T00:00:00"/>
    <s v="Fashion"/>
    <x v="0"/>
    <n v="2"/>
    <n v="472.06"/>
    <n v="944.12"/>
    <s v="UPI"/>
    <s v="Repeat Customer"/>
  </r>
  <r>
    <n v="10452"/>
    <s v="CUST154"/>
    <d v="2024-06-17T00:00:00"/>
    <s v="Beauty"/>
    <x v="0"/>
    <n v="8"/>
    <n v="235.7"/>
    <n v="1885.6"/>
    <s v="Net Banking"/>
    <s v="Repeat Customer"/>
  </r>
  <r>
    <n v="10453"/>
    <s v="CUST206"/>
    <d v="2025-04-07T00:00:00"/>
    <s v="Electronics"/>
    <x v="0"/>
    <n v="5"/>
    <n v="234.36"/>
    <n v="1171.8"/>
    <s v="UPI"/>
    <s v="Repeat Customer"/>
  </r>
  <r>
    <n v="10454"/>
    <s v="CUST255"/>
    <d v="2025-12-22T00:00:00"/>
    <s v="Home"/>
    <x v="2"/>
    <n v="10"/>
    <n v="24.96"/>
    <n v="249.6"/>
    <s v="Credit Card"/>
    <s v="Repeat Customer"/>
  </r>
  <r>
    <n v="10455"/>
    <s v="CUST227"/>
    <d v="2024-12-30T00:00:00"/>
    <s v="Home"/>
    <x v="1"/>
    <n v="7"/>
    <n v="259.16000000000003"/>
    <n v="1814.12"/>
    <s v="UPI"/>
    <s v="Repeat Customer"/>
  </r>
  <r>
    <n v="10456"/>
    <s v="CUST115"/>
    <d v="2025-02-18T00:00:00"/>
    <s v="Sports"/>
    <x v="2"/>
    <n v="8"/>
    <n v="280.2"/>
    <n v="2241.6"/>
    <s v="Credit Card"/>
    <s v="Repeat Customer"/>
  </r>
  <r>
    <n v="10457"/>
    <s v="CUST336"/>
    <d v="2024-04-14T00:00:00"/>
    <s v="Electronics"/>
    <x v="2"/>
    <n v="3"/>
    <n v="65.12"/>
    <n v="195.36"/>
    <s v="UPI"/>
    <s v="Repeat Customer"/>
  </r>
  <r>
    <n v="10458"/>
    <s v="CUST201"/>
    <d v="2025-02-14T00:00:00"/>
    <s v="Electronics"/>
    <x v="1"/>
    <n v="6"/>
    <n v="344.71"/>
    <n v="2068.2600000000002"/>
    <s v="Credit Card"/>
    <s v="Repeat Customer"/>
  </r>
  <r>
    <n v="10459"/>
    <s v="CUST111"/>
    <d v="2024-03-07T00:00:00"/>
    <s v="Beauty"/>
    <x v="2"/>
    <n v="4"/>
    <n v="451.74"/>
    <n v="1806.96"/>
    <s v="Credit Card"/>
    <s v="Repeat Customer"/>
  </r>
  <r>
    <n v="10460"/>
    <s v="CUST269"/>
    <d v="2024-05-05T00:00:00"/>
    <s v="Electronics"/>
    <x v="2"/>
    <n v="1"/>
    <n v="471.43"/>
    <n v="471.43"/>
    <s v="Wallet"/>
    <s v="Repeat Customer"/>
  </r>
  <r>
    <n v="10461"/>
    <s v="CUST302"/>
    <d v="2025-05-23T00:00:00"/>
    <s v="Beauty"/>
    <x v="2"/>
    <n v="1"/>
    <n v="194.45"/>
    <n v="194.45"/>
    <s v="Net Banking"/>
    <s v="Repeat Customer"/>
  </r>
  <r>
    <n v="10462"/>
    <s v="CUST209"/>
    <d v="2024-07-10T00:00:00"/>
    <s v="Fashion"/>
    <x v="0"/>
    <n v="5"/>
    <n v="143.53"/>
    <n v="717.65"/>
    <s v="UPI"/>
    <s v="Repeat Customer"/>
  </r>
  <r>
    <n v="10463"/>
    <s v="CUST251"/>
    <d v="2025-05-25T00:00:00"/>
    <s v="Beauty"/>
    <x v="0"/>
    <n v="7"/>
    <n v="441.98"/>
    <n v="3093.86"/>
    <s v="Credit Card"/>
    <s v="Repeat Customer"/>
  </r>
  <r>
    <n v="10464"/>
    <s v="CUST243"/>
    <d v="2025-01-27T00:00:00"/>
    <s v="Sports"/>
    <x v="2"/>
    <n v="3"/>
    <n v="212.52"/>
    <n v="637.55999999999995"/>
    <s v="Credit Card"/>
    <s v="Repeat Customer"/>
  </r>
  <r>
    <n v="10465"/>
    <s v="CUST295"/>
    <d v="2025-12-31T00:00:00"/>
    <s v="Beauty"/>
    <x v="1"/>
    <n v="6"/>
    <n v="242.44"/>
    <n v="1454.64"/>
    <s v="Net Banking"/>
    <s v="Repeat Customer"/>
  </r>
  <r>
    <n v="10466"/>
    <s v="CUST298"/>
    <d v="2024-10-03T00:00:00"/>
    <s v="Sports"/>
    <x v="2"/>
    <n v="3"/>
    <n v="17.899999999999999"/>
    <n v="53.7"/>
    <s v="Credit Card"/>
    <s v="Repeat Customer"/>
  </r>
  <r>
    <n v="10467"/>
    <s v="CUST243"/>
    <d v="2024-02-29T00:00:00"/>
    <s v="Sports"/>
    <x v="2"/>
    <n v="8"/>
    <n v="267.07"/>
    <n v="2136.56"/>
    <s v="UPI"/>
    <s v="Repeat Customer"/>
  </r>
  <r>
    <n v="10468"/>
    <s v="CUST151"/>
    <d v="2024-09-10T00:00:00"/>
    <s v="Electronics"/>
    <x v="2"/>
    <n v="4"/>
    <n v="136.93"/>
    <n v="547.72"/>
    <s v="Wallet"/>
    <s v="Repeat Customer"/>
  </r>
  <r>
    <n v="10469"/>
    <s v="CUST281"/>
    <d v="2024-06-26T00:00:00"/>
    <s v="Home"/>
    <x v="1"/>
    <n v="3"/>
    <n v="122.09"/>
    <n v="366.27"/>
    <s v="Credit Card"/>
    <s v="Repeat Customer"/>
  </r>
  <r>
    <n v="10470"/>
    <s v="CUST280"/>
    <d v="2025-08-04T00:00:00"/>
    <s v="Fashion"/>
    <x v="3"/>
    <n v="10"/>
    <n v="75.34"/>
    <n v="753.4"/>
    <s v="Net Banking"/>
    <s v="Repeat Customer"/>
  </r>
  <r>
    <n v="10471"/>
    <s v="CUST189"/>
    <d v="2025-05-17T00:00:00"/>
    <s v="Fashion"/>
    <x v="2"/>
    <n v="1"/>
    <n v="49.68"/>
    <n v="49.68"/>
    <s v="Credit Card"/>
    <s v="Repeat Customer"/>
  </r>
  <r>
    <n v="10472"/>
    <s v="CUST369"/>
    <d v="2025-05-04T00:00:00"/>
    <s v="Sports"/>
    <x v="2"/>
    <n v="1"/>
    <n v="169.21"/>
    <n v="169.21"/>
    <s v="UPI"/>
    <s v="Repeat Customer"/>
  </r>
  <r>
    <n v="10473"/>
    <s v="CUST274"/>
    <d v="2024-06-30T00:00:00"/>
    <s v="Fashion"/>
    <x v="2"/>
    <n v="6"/>
    <n v="34.479999999999997"/>
    <n v="206.88"/>
    <s v="Credit Card"/>
    <s v="Repeat Customer"/>
  </r>
  <r>
    <n v="10474"/>
    <s v="CUST369"/>
    <d v="2025-01-08T00:00:00"/>
    <s v="Beauty"/>
    <x v="0"/>
    <n v="2"/>
    <n v="189.93"/>
    <n v="379.86"/>
    <s v="Net Banking"/>
    <s v="Repeat Customer"/>
  </r>
  <r>
    <n v="10475"/>
    <s v="CUST254"/>
    <d v="2024-11-26T00:00:00"/>
    <s v="Beauty"/>
    <x v="3"/>
    <n v="3"/>
    <n v="488.05"/>
    <n v="1464.15"/>
    <s v="Net Banking"/>
    <s v="Repeat Customer"/>
  </r>
  <r>
    <n v="10476"/>
    <s v="CUST189"/>
    <d v="2025-12-25T00:00:00"/>
    <s v="Sports"/>
    <x v="1"/>
    <n v="9"/>
    <n v="348.31"/>
    <n v="3134.79"/>
    <s v="UPI"/>
    <s v="Repeat Customer"/>
  </r>
  <r>
    <n v="10477"/>
    <s v="CUST189"/>
    <d v="2025-01-22T00:00:00"/>
    <s v="Home"/>
    <x v="2"/>
    <n v="5"/>
    <n v="368.33"/>
    <n v="1841.65"/>
    <s v="UPI"/>
    <s v="Repeat Customer"/>
  </r>
  <r>
    <n v="10478"/>
    <s v="CUST100"/>
    <d v="2025-12-19T00:00:00"/>
    <s v="Sports"/>
    <x v="0"/>
    <n v="10"/>
    <n v="198.84"/>
    <n v="1988.4"/>
    <s v="UPI"/>
    <s v="Repeat Customer"/>
  </r>
  <r>
    <n v="10479"/>
    <s v="CUST262"/>
    <d v="2025-09-18T00:00:00"/>
    <s v="Electronics"/>
    <x v="3"/>
    <n v="4"/>
    <n v="321.63"/>
    <n v="1286.52"/>
    <s v="UPI"/>
    <s v="Repeat Customer"/>
  </r>
  <r>
    <n v="10480"/>
    <s v="CUST269"/>
    <d v="2024-03-20T00:00:00"/>
    <s v="Home"/>
    <x v="2"/>
    <n v="4"/>
    <n v="176.67"/>
    <n v="706.68"/>
    <s v="Credit Card"/>
    <s v="Repeat Customer"/>
  </r>
  <r>
    <n v="10481"/>
    <s v="CUST271"/>
    <d v="2025-04-02T00:00:00"/>
    <s v="Fashion"/>
    <x v="0"/>
    <n v="1"/>
    <n v="136.28"/>
    <n v="136.28"/>
    <s v="Net Banking"/>
    <s v="Repeat Customer"/>
  </r>
  <r>
    <n v="10482"/>
    <s v="CUST231"/>
    <d v="2024-04-20T00:00:00"/>
    <s v="Beauty"/>
    <x v="3"/>
    <n v="1"/>
    <n v="28.83"/>
    <n v="28.83"/>
    <s v="UPI"/>
    <s v="Repeat Customer"/>
  </r>
  <r>
    <n v="10483"/>
    <s v="CUST311"/>
    <d v="2025-05-19T00:00:00"/>
    <s v="Beauty"/>
    <x v="0"/>
    <n v="7"/>
    <n v="178.86"/>
    <n v="1252.02"/>
    <s v="Wallet"/>
    <s v="Repeat Customer"/>
  </r>
  <r>
    <n v="10484"/>
    <s v="CUST395"/>
    <d v="2025-10-28T00:00:00"/>
    <s v="Electronics"/>
    <x v="0"/>
    <n v="4"/>
    <n v="85.51"/>
    <n v="342.04"/>
    <s v="Net Banking"/>
    <s v="Repeat Customer"/>
  </r>
  <r>
    <n v="10485"/>
    <s v="CUST110"/>
    <d v="2024-11-22T00:00:00"/>
    <s v="Electronics"/>
    <x v="1"/>
    <n v="5"/>
    <n v="476.07"/>
    <n v="2380.35"/>
    <s v="UPI"/>
    <s v="Repeat Customer"/>
  </r>
  <r>
    <n v="10486"/>
    <s v="CUST292"/>
    <d v="2024-06-13T00:00:00"/>
    <s v="Electronics"/>
    <x v="1"/>
    <n v="2"/>
    <n v="275.79000000000002"/>
    <n v="551.58000000000004"/>
    <s v="Wallet"/>
    <s v="Repeat Customer"/>
  </r>
  <r>
    <n v="10487"/>
    <s v="CUST115"/>
    <d v="2025-03-17T00:00:00"/>
    <s v="Beauty"/>
    <x v="2"/>
    <n v="3"/>
    <n v="305.62"/>
    <n v="916.86"/>
    <s v="Credit Card"/>
    <s v="Repeat Customer"/>
  </r>
  <r>
    <n v="10488"/>
    <s v="CUST151"/>
    <d v="2024-12-05T00:00:00"/>
    <s v="Beauty"/>
    <x v="1"/>
    <n v="4"/>
    <n v="487.33"/>
    <n v="1949.32"/>
    <s v="Net Banking"/>
    <s v="Repeat Customer"/>
  </r>
  <r>
    <n v="10489"/>
    <s v="CUST252"/>
    <d v="2024-08-31T00:00:00"/>
    <s v="Sports"/>
    <x v="3"/>
    <n v="2"/>
    <n v="29.57"/>
    <n v="59.14"/>
    <s v="UPI"/>
    <s v="Repeat Customer"/>
  </r>
  <r>
    <n v="10490"/>
    <s v="CUST127"/>
    <d v="2025-01-04T00:00:00"/>
    <s v="Home"/>
    <x v="3"/>
    <n v="1"/>
    <n v="216.66"/>
    <n v="216.66"/>
    <s v="UPI"/>
    <s v="Repeat Customer"/>
  </r>
  <r>
    <n v="10491"/>
    <s v="CUST149"/>
    <d v="2024-01-27T00:00:00"/>
    <s v="Home"/>
    <x v="0"/>
    <n v="4"/>
    <n v="89.56"/>
    <n v="358.24"/>
    <s v="Wallet"/>
    <s v="Repeat Customer"/>
  </r>
  <r>
    <n v="10492"/>
    <s v="CUST159"/>
    <d v="2024-11-11T00:00:00"/>
    <s v="Home"/>
    <x v="0"/>
    <n v="7"/>
    <n v="238.12"/>
    <n v="1666.84"/>
    <s v="Wallet"/>
    <s v="Repeat Customer"/>
  </r>
  <r>
    <n v="10493"/>
    <s v="CUST194"/>
    <d v="2025-01-14T00:00:00"/>
    <s v="Beauty"/>
    <x v="0"/>
    <n v="7"/>
    <n v="187.85"/>
    <n v="1314.95"/>
    <s v="Net Banking"/>
    <s v="Repeat Customer"/>
  </r>
  <r>
    <n v="10494"/>
    <s v="CUST325"/>
    <d v="2025-04-21T00:00:00"/>
    <s v="Home"/>
    <x v="0"/>
    <n v="5"/>
    <n v="116.99"/>
    <n v="584.95000000000005"/>
    <s v="UPI"/>
    <s v="Repeat Customer"/>
  </r>
  <r>
    <n v="10495"/>
    <s v="CUST149"/>
    <d v="2024-03-28T00:00:00"/>
    <s v="Beauty"/>
    <x v="2"/>
    <n v="6"/>
    <n v="405.05"/>
    <n v="2430.3000000000002"/>
    <s v="Credit Card"/>
    <s v="Repeat Customer"/>
  </r>
  <r>
    <n v="10496"/>
    <s v="CUST298"/>
    <d v="2025-06-19T00:00:00"/>
    <s v="Beauty"/>
    <x v="2"/>
    <n v="7"/>
    <n v="482.99"/>
    <n v="3380.93"/>
    <s v="Wallet"/>
    <s v="Repeat Customer"/>
  </r>
  <r>
    <n v="10497"/>
    <s v="CUST253"/>
    <d v="2024-03-21T00:00:00"/>
    <s v="Electronics"/>
    <x v="2"/>
    <n v="7"/>
    <n v="451.87"/>
    <n v="3163.09"/>
    <s v="Credit Card"/>
    <s v="Repeat Customer"/>
  </r>
  <r>
    <n v="10498"/>
    <s v="CUST329"/>
    <d v="2024-06-26T00:00:00"/>
    <s v="Fashion"/>
    <x v="2"/>
    <n v="3"/>
    <n v="486.22"/>
    <n v="1458.66"/>
    <s v="Credit Card"/>
    <s v="Repeat Customer"/>
  </r>
  <r>
    <n v="10499"/>
    <s v="CUST316"/>
    <d v="2024-03-21T00:00:00"/>
    <s v="Fashion"/>
    <x v="1"/>
    <n v="7"/>
    <n v="104.95"/>
    <n v="734.65"/>
    <s v="Net Banking"/>
    <s v="Repeat Customer"/>
  </r>
  <r>
    <n v="10500"/>
    <s v="CUST134"/>
    <d v="2024-03-30T00:00:00"/>
    <s v="Sports"/>
    <x v="1"/>
    <n v="7"/>
    <n v="280.39999999999998"/>
    <n v="1962.8"/>
    <s v="Net Banking"/>
    <s v="Repeat Customer"/>
  </r>
  <r>
    <n v="10501"/>
    <s v="CUST366"/>
    <d v="2025-04-14T00:00:00"/>
    <s v="Sports"/>
    <x v="3"/>
    <n v="1"/>
    <n v="394.34"/>
    <n v="394.34"/>
    <s v="Credit Card"/>
    <s v="Repeat Customer"/>
  </r>
  <r>
    <n v="10502"/>
    <s v="CUST312"/>
    <d v="2024-06-02T00:00:00"/>
    <s v="Sports"/>
    <x v="0"/>
    <n v="3"/>
    <n v="285.45999999999998"/>
    <n v="856.38"/>
    <s v="Credit Card"/>
    <s v="Repeat Customer"/>
  </r>
  <r>
    <n v="10503"/>
    <s v="CUST388"/>
    <d v="2024-04-13T00:00:00"/>
    <s v="Home"/>
    <x v="3"/>
    <n v="5"/>
    <n v="434.4"/>
    <n v="2172"/>
    <s v="Net Banking"/>
    <s v="Repeat Customer"/>
  </r>
  <r>
    <n v="10504"/>
    <s v="CUST296"/>
    <d v="2025-11-01T00:00:00"/>
    <s v="Beauty"/>
    <x v="0"/>
    <n v="8"/>
    <n v="288.14999999999998"/>
    <n v="2305.1999999999998"/>
    <s v="UPI"/>
    <s v="Repeat Customer"/>
  </r>
  <r>
    <n v="10505"/>
    <s v="CUST241"/>
    <d v="2025-02-16T00:00:00"/>
    <s v="Beauty"/>
    <x v="0"/>
    <n v="3"/>
    <n v="311.02999999999997"/>
    <n v="933.09"/>
    <s v="Wallet"/>
    <s v="Repeat Customer"/>
  </r>
  <r>
    <n v="10506"/>
    <s v="CUST269"/>
    <d v="2025-12-08T00:00:00"/>
    <s v="Beauty"/>
    <x v="1"/>
    <n v="4"/>
    <n v="29.4"/>
    <n v="117.6"/>
    <s v="Net Banking"/>
    <s v="Repeat Customer"/>
  </r>
  <r>
    <n v="10507"/>
    <s v="CUST110"/>
    <d v="2024-12-11T00:00:00"/>
    <s v="Beauty"/>
    <x v="0"/>
    <n v="5"/>
    <n v="158.91999999999999"/>
    <n v="794.6"/>
    <s v="UPI"/>
    <s v="Repeat Customer"/>
  </r>
  <r>
    <n v="10508"/>
    <s v="CUST168"/>
    <d v="2024-11-03T00:00:00"/>
    <s v="Home"/>
    <x v="1"/>
    <n v="8"/>
    <n v="388.15"/>
    <n v="3105.2"/>
    <s v="Wallet"/>
    <s v="Repeat Customer"/>
  </r>
  <r>
    <n v="10509"/>
    <s v="CUST145"/>
    <d v="2024-07-11T00:00:00"/>
    <s v="Beauty"/>
    <x v="3"/>
    <n v="8"/>
    <n v="109.64"/>
    <n v="877.12"/>
    <s v="Net Banking"/>
    <s v="Repeat Customer"/>
  </r>
  <r>
    <n v="10510"/>
    <s v="CUST128"/>
    <d v="2025-06-11T00:00:00"/>
    <s v="Sports"/>
    <x v="3"/>
    <n v="3"/>
    <n v="37.479999999999997"/>
    <n v="112.44"/>
    <s v="UPI"/>
    <s v="Repeat Customer"/>
  </r>
  <r>
    <n v="10511"/>
    <s v="CUST368"/>
    <d v="2025-08-05T00:00:00"/>
    <s v="Fashion"/>
    <x v="0"/>
    <n v="1"/>
    <n v="91"/>
    <n v="91"/>
    <s v="UPI"/>
    <s v="Repeat Customer"/>
  </r>
  <r>
    <n v="10512"/>
    <s v="CUST116"/>
    <d v="2025-04-12T00:00:00"/>
    <s v="Fashion"/>
    <x v="1"/>
    <n v="1"/>
    <n v="459.43"/>
    <n v="459.43"/>
    <s v="Net Banking"/>
    <s v="Repeat Customer"/>
  </r>
  <r>
    <n v="10513"/>
    <s v="CUST337"/>
    <d v="2025-06-01T00:00:00"/>
    <s v="Electronics"/>
    <x v="0"/>
    <n v="7"/>
    <n v="319.52999999999997"/>
    <n v="2236.71"/>
    <s v="UPI"/>
    <s v="Repeat Customer"/>
  </r>
  <r>
    <n v="10514"/>
    <s v="CUST290"/>
    <d v="2025-05-15T00:00:00"/>
    <s v="Beauty"/>
    <x v="1"/>
    <n v="10"/>
    <n v="225.82"/>
    <n v="2258.1999999999998"/>
    <s v="Net Banking"/>
    <s v="Repeat Customer"/>
  </r>
  <r>
    <n v="10515"/>
    <s v="CUST183"/>
    <d v="2024-09-21T00:00:00"/>
    <s v="Beauty"/>
    <x v="0"/>
    <n v="2"/>
    <n v="146.11000000000001"/>
    <n v="292.22000000000003"/>
    <s v="UPI"/>
    <s v="Repeat Customer"/>
  </r>
  <r>
    <n v="10516"/>
    <s v="CUST392"/>
    <d v="2024-08-07T00:00:00"/>
    <s v="Fashion"/>
    <x v="1"/>
    <n v="4"/>
    <n v="325.45"/>
    <n v="1301.8"/>
    <s v="Wallet"/>
    <s v="Repeat Customer"/>
  </r>
  <r>
    <n v="10517"/>
    <s v="CUST362"/>
    <d v="2024-01-21T00:00:00"/>
    <s v="Fashion"/>
    <x v="2"/>
    <n v="1"/>
    <n v="239.68"/>
    <n v="239.68"/>
    <s v="Credit Card"/>
    <s v="Repeat Customer"/>
  </r>
  <r>
    <n v="10518"/>
    <s v="CUST214"/>
    <d v="2024-09-15T00:00:00"/>
    <s v="Home"/>
    <x v="1"/>
    <n v="10"/>
    <n v="403.52"/>
    <n v="4035.2"/>
    <s v="Wallet"/>
    <s v="Repeat Customer"/>
  </r>
  <r>
    <n v="10519"/>
    <s v="CUST292"/>
    <d v="2024-12-23T00:00:00"/>
    <s v="Beauty"/>
    <x v="1"/>
    <n v="8"/>
    <n v="129.74"/>
    <n v="1037.92"/>
    <s v="Wallet"/>
    <s v="Repeat Customer"/>
  </r>
  <r>
    <n v="10520"/>
    <s v="CUST399"/>
    <d v="2024-04-14T00:00:00"/>
    <s v="Home"/>
    <x v="1"/>
    <n v="1"/>
    <n v="258.2"/>
    <n v="258.2"/>
    <s v="Net Banking"/>
    <s v="Repeat Customer"/>
  </r>
  <r>
    <n v="10521"/>
    <s v="CUST155"/>
    <d v="2025-05-08T00:00:00"/>
    <s v="Home"/>
    <x v="1"/>
    <n v="2"/>
    <n v="171.46"/>
    <n v="342.92"/>
    <s v="Net Banking"/>
    <s v="Repeat Customer"/>
  </r>
  <r>
    <n v="10522"/>
    <s v="CUST233"/>
    <d v="2025-11-02T00:00:00"/>
    <s v="Sports"/>
    <x v="2"/>
    <n v="5"/>
    <n v="98.24"/>
    <n v="491.2"/>
    <s v="Credit Card"/>
    <s v="Repeat Customer"/>
  </r>
  <r>
    <n v="10523"/>
    <s v="CUST306"/>
    <d v="2025-11-07T00:00:00"/>
    <s v="Electronics"/>
    <x v="3"/>
    <n v="6"/>
    <n v="341.97"/>
    <n v="2051.8200000000002"/>
    <s v="Net Banking"/>
    <s v="Repeat Customer"/>
  </r>
  <r>
    <n v="10524"/>
    <s v="CUST232"/>
    <d v="2025-03-04T00:00:00"/>
    <s v="Electronics"/>
    <x v="2"/>
    <n v="7"/>
    <n v="197.2"/>
    <n v="1380.4"/>
    <s v="Net Banking"/>
    <s v="Repeat Customer"/>
  </r>
  <r>
    <n v="10525"/>
    <s v="CUST213"/>
    <d v="2025-12-03T00:00:00"/>
    <s v="Beauty"/>
    <x v="1"/>
    <n v="9"/>
    <n v="320.97000000000003"/>
    <n v="2888.73"/>
    <s v="Net Banking"/>
    <s v="Repeat Customer"/>
  </r>
  <r>
    <n v="10526"/>
    <s v="CUST187"/>
    <d v="2025-11-04T00:00:00"/>
    <s v="Electronics"/>
    <x v="3"/>
    <n v="9"/>
    <n v="94.66"/>
    <n v="851.94"/>
    <s v="UPI"/>
    <s v="Repeat Customer"/>
  </r>
  <r>
    <n v="10527"/>
    <s v="CUST232"/>
    <d v="2025-07-26T00:00:00"/>
    <s v="Home"/>
    <x v="0"/>
    <n v="3"/>
    <n v="473.73"/>
    <n v="1421.19"/>
    <s v="UPI"/>
    <s v="Repeat Customer"/>
  </r>
  <r>
    <n v="10528"/>
    <s v="CUST281"/>
    <d v="2024-08-16T00:00:00"/>
    <s v="Home"/>
    <x v="1"/>
    <n v="5"/>
    <n v="213.13"/>
    <n v="1065.6500000000001"/>
    <s v="Net Banking"/>
    <s v="Repeat Customer"/>
  </r>
  <r>
    <n v="10529"/>
    <s v="CUST399"/>
    <d v="2024-10-28T00:00:00"/>
    <s v="Beauty"/>
    <x v="0"/>
    <n v="8"/>
    <n v="426.35"/>
    <n v="3410.8"/>
    <s v="Credit Card"/>
    <s v="Repeat Customer"/>
  </r>
  <r>
    <n v="10530"/>
    <s v="CUST341"/>
    <d v="2024-07-18T00:00:00"/>
    <s v="Beauty"/>
    <x v="1"/>
    <n v="9"/>
    <n v="64.31"/>
    <n v="578.79"/>
    <s v="Wallet"/>
    <s v="Repeat Customer"/>
  </r>
  <r>
    <n v="10531"/>
    <s v="CUST127"/>
    <d v="2024-06-03T00:00:00"/>
    <s v="Home"/>
    <x v="3"/>
    <n v="3"/>
    <n v="496.21"/>
    <n v="1488.63"/>
    <s v="Wallet"/>
    <s v="Repeat Customer"/>
  </r>
  <r>
    <n v="10532"/>
    <s v="CUST173"/>
    <d v="2024-11-19T00:00:00"/>
    <s v="Beauty"/>
    <x v="1"/>
    <n v="3"/>
    <n v="390.58"/>
    <n v="1171.74"/>
    <s v="UPI"/>
    <s v="Repeat Customer"/>
  </r>
  <r>
    <n v="10533"/>
    <s v="CUST260"/>
    <d v="2025-10-11T00:00:00"/>
    <s v="Home"/>
    <x v="2"/>
    <n v="1"/>
    <n v="7.33"/>
    <n v="7.33"/>
    <s v="UPI"/>
    <s v="Repeat Customer"/>
  </r>
  <r>
    <n v="10534"/>
    <s v="CUST395"/>
    <d v="2024-06-11T00:00:00"/>
    <s v="Electronics"/>
    <x v="2"/>
    <n v="8"/>
    <n v="393.68"/>
    <n v="3149.44"/>
    <s v="Wallet"/>
    <s v="Repeat Customer"/>
  </r>
  <r>
    <n v="10535"/>
    <s v="CUST319"/>
    <d v="2025-02-17T00:00:00"/>
    <s v="Beauty"/>
    <x v="0"/>
    <n v="7"/>
    <n v="482.84"/>
    <n v="3379.88"/>
    <s v="Credit Card"/>
    <s v="Repeat Customer"/>
  </r>
  <r>
    <n v="10536"/>
    <s v="CUST373"/>
    <d v="2024-07-23T00:00:00"/>
    <s v="Home"/>
    <x v="2"/>
    <n v="6"/>
    <n v="475.28"/>
    <n v="2851.68"/>
    <s v="Credit Card"/>
    <s v="Repeat Customer"/>
  </r>
  <r>
    <n v="10537"/>
    <s v="CUST102"/>
    <d v="2025-10-03T00:00:00"/>
    <s v="Home"/>
    <x v="1"/>
    <n v="4"/>
    <n v="117"/>
    <n v="468"/>
    <s v="UPI"/>
    <s v="Repeat Customer"/>
  </r>
  <r>
    <n v="10538"/>
    <s v="CUST152"/>
    <d v="2025-01-27T00:00:00"/>
    <s v="Fashion"/>
    <x v="0"/>
    <n v="9"/>
    <n v="296.39"/>
    <n v="2667.51"/>
    <s v="Credit Card"/>
    <s v="Repeat Customer"/>
  </r>
  <r>
    <n v="10539"/>
    <s v="CUST252"/>
    <d v="2024-10-24T00:00:00"/>
    <s v="Sports"/>
    <x v="1"/>
    <n v="8"/>
    <n v="365.28"/>
    <n v="2922.24"/>
    <s v="Wallet"/>
    <s v="Repeat Customer"/>
  </r>
  <r>
    <n v="10540"/>
    <s v="CUST168"/>
    <d v="2024-12-16T00:00:00"/>
    <s v="Fashion"/>
    <x v="2"/>
    <n v="8"/>
    <n v="182.83"/>
    <n v="1462.64"/>
    <s v="Wallet"/>
    <s v="Repeat Customer"/>
  </r>
  <r>
    <n v="10541"/>
    <s v="CUST109"/>
    <d v="2024-08-21T00:00:00"/>
    <s v="Fashion"/>
    <x v="2"/>
    <n v="4"/>
    <n v="364.95"/>
    <n v="1459.8"/>
    <s v="Credit Card"/>
    <s v="Repeat Customer"/>
  </r>
  <r>
    <n v="10542"/>
    <s v="CUST358"/>
    <d v="2024-06-22T00:00:00"/>
    <s v="Electronics"/>
    <x v="3"/>
    <n v="2"/>
    <n v="186.46"/>
    <n v="372.92"/>
    <s v="Net Banking"/>
    <s v="Repeat Customer"/>
  </r>
  <r>
    <n v="10543"/>
    <s v="CUST373"/>
    <d v="2025-09-30T00:00:00"/>
    <s v="Electronics"/>
    <x v="0"/>
    <n v="1"/>
    <n v="298.99"/>
    <n v="298.99"/>
    <s v="Credit Card"/>
    <s v="Repeat Customer"/>
  </r>
  <r>
    <n v="10544"/>
    <s v="CUST124"/>
    <d v="2025-12-07T00:00:00"/>
    <s v="Beauty"/>
    <x v="0"/>
    <n v="2"/>
    <n v="211.3"/>
    <n v="422.6"/>
    <s v="Net Banking"/>
    <s v="Repeat Customer"/>
  </r>
  <r>
    <n v="10545"/>
    <s v="CUST342"/>
    <d v="2025-12-19T00:00:00"/>
    <s v="Electronics"/>
    <x v="1"/>
    <n v="3"/>
    <n v="106.72"/>
    <n v="320.16000000000003"/>
    <s v="Wallet"/>
    <s v="Repeat Customer"/>
  </r>
  <r>
    <n v="10546"/>
    <s v="CUST151"/>
    <d v="2025-11-09T00:00:00"/>
    <s v="Sports"/>
    <x v="2"/>
    <n v="9"/>
    <n v="138.63999999999999"/>
    <n v="1247.76"/>
    <s v="Wallet"/>
    <s v="Repeat Customer"/>
  </r>
  <r>
    <n v="10547"/>
    <s v="CUST153"/>
    <d v="2025-06-07T00:00:00"/>
    <s v="Electronics"/>
    <x v="0"/>
    <n v="10"/>
    <n v="63.28"/>
    <n v="632.79999999999995"/>
    <s v="Wallet"/>
    <s v="Repeat Customer"/>
  </r>
  <r>
    <n v="10548"/>
    <s v="CUST201"/>
    <d v="2025-09-15T00:00:00"/>
    <s v="Sports"/>
    <x v="2"/>
    <n v="4"/>
    <n v="390.09"/>
    <n v="1560.36"/>
    <s v="Net Banking"/>
    <s v="Repeat Customer"/>
  </r>
  <r>
    <n v="10549"/>
    <s v="CUST309"/>
    <d v="2024-10-29T00:00:00"/>
    <s v="Beauty"/>
    <x v="2"/>
    <n v="3"/>
    <n v="24.51"/>
    <n v="73.53"/>
    <s v="Wallet"/>
    <s v="Repeat Customer"/>
  </r>
  <r>
    <n v="10550"/>
    <s v="CUST269"/>
    <d v="2024-08-28T00:00:00"/>
    <s v="Electronics"/>
    <x v="0"/>
    <n v="1"/>
    <n v="11.31"/>
    <n v="11.31"/>
    <s v="Wallet"/>
    <s v="Repeat Customer"/>
  </r>
  <r>
    <n v="10551"/>
    <s v="CUST176"/>
    <d v="2024-04-02T00:00:00"/>
    <s v="Electronics"/>
    <x v="1"/>
    <n v="9"/>
    <n v="42.15"/>
    <n v="379.35"/>
    <s v="UPI"/>
    <s v="Repeat Customer"/>
  </r>
  <r>
    <n v="10552"/>
    <s v="CUST333"/>
    <d v="2024-10-30T00:00:00"/>
    <s v="Electronics"/>
    <x v="2"/>
    <n v="5"/>
    <n v="234.82"/>
    <n v="1174.0999999999999"/>
    <s v="Credit Card"/>
    <s v="Repeat Customer"/>
  </r>
  <r>
    <n v="10553"/>
    <s v="CUST248"/>
    <d v="2025-01-03T00:00:00"/>
    <s v="Electronics"/>
    <x v="0"/>
    <n v="6"/>
    <n v="215.87"/>
    <n v="1295.22"/>
    <s v="Credit Card"/>
    <s v="Repeat Customer"/>
  </r>
  <r>
    <n v="10554"/>
    <s v="CUST104"/>
    <d v="2024-05-21T00:00:00"/>
    <s v="Beauty"/>
    <x v="1"/>
    <n v="3"/>
    <n v="167.69"/>
    <n v="503.07"/>
    <s v="Credit Card"/>
    <s v="Repeat Customer"/>
  </r>
  <r>
    <n v="10555"/>
    <s v="CUST290"/>
    <d v="2024-12-16T00:00:00"/>
    <s v="Beauty"/>
    <x v="3"/>
    <n v="3"/>
    <n v="61.35"/>
    <n v="184.05"/>
    <s v="Net Banking"/>
    <s v="Repeat Customer"/>
  </r>
  <r>
    <n v="10556"/>
    <s v="CUST297"/>
    <d v="2025-12-07T00:00:00"/>
    <s v="Fashion"/>
    <x v="0"/>
    <n v="8"/>
    <n v="400.95"/>
    <n v="3207.6"/>
    <s v="UPI"/>
    <s v="Repeat Customer"/>
  </r>
  <r>
    <n v="10557"/>
    <s v="CUST130"/>
    <d v="2024-06-12T00:00:00"/>
    <s v="Sports"/>
    <x v="3"/>
    <n v="2"/>
    <n v="210.93"/>
    <n v="421.86"/>
    <s v="Wallet"/>
    <s v="Repeat Customer"/>
  </r>
  <r>
    <n v="10558"/>
    <s v="CUST192"/>
    <d v="2025-09-17T00:00:00"/>
    <s v="Sports"/>
    <x v="0"/>
    <n v="7"/>
    <n v="390.69"/>
    <n v="2734.83"/>
    <s v="UPI"/>
    <s v="Repeat Customer"/>
  </r>
  <r>
    <n v="10559"/>
    <s v="CUST347"/>
    <d v="2025-05-14T00:00:00"/>
    <s v="Beauty"/>
    <x v="0"/>
    <n v="2"/>
    <n v="444.36"/>
    <n v="888.72"/>
    <s v="Credit Card"/>
    <s v="Repeat Customer"/>
  </r>
  <r>
    <n v="10560"/>
    <s v="CUST233"/>
    <d v="2025-11-01T00:00:00"/>
    <s v="Sports"/>
    <x v="2"/>
    <n v="6"/>
    <n v="11.12"/>
    <n v="66.72"/>
    <s v="Net Banking"/>
    <s v="Repeat Customer"/>
  </r>
  <r>
    <n v="10561"/>
    <s v="CUST365"/>
    <d v="2025-06-19T00:00:00"/>
    <s v="Fashion"/>
    <x v="3"/>
    <n v="10"/>
    <n v="52.14"/>
    <n v="521.4"/>
    <s v="Net Banking"/>
    <s v="Repeat Customer"/>
  </r>
  <r>
    <n v="10562"/>
    <s v="CUST297"/>
    <d v="2024-06-01T00:00:00"/>
    <s v="Sports"/>
    <x v="0"/>
    <n v="9"/>
    <n v="446.57"/>
    <n v="4019.13"/>
    <s v="Credit Card"/>
    <s v="Repeat Customer"/>
  </r>
  <r>
    <n v="10563"/>
    <s v="CUST180"/>
    <d v="2025-06-01T00:00:00"/>
    <s v="Fashion"/>
    <x v="0"/>
    <n v="8"/>
    <n v="426.68"/>
    <n v="3413.44"/>
    <s v="Wallet"/>
    <s v="Repeat Customer"/>
  </r>
  <r>
    <n v="10564"/>
    <s v="CUST264"/>
    <d v="2024-09-03T00:00:00"/>
    <s v="Electronics"/>
    <x v="2"/>
    <n v="6"/>
    <n v="485.22"/>
    <n v="2911.32"/>
    <s v="Wallet"/>
    <s v="Repeat Customer"/>
  </r>
  <r>
    <n v="10565"/>
    <s v="CUST306"/>
    <d v="2024-08-28T00:00:00"/>
    <s v="Sports"/>
    <x v="3"/>
    <n v="2"/>
    <n v="232.25"/>
    <n v="464.5"/>
    <s v="Credit Card"/>
    <s v="Repeat Customer"/>
  </r>
  <r>
    <n v="10566"/>
    <s v="CUST355"/>
    <d v="2025-04-02T00:00:00"/>
    <s v="Beauty"/>
    <x v="0"/>
    <n v="6"/>
    <n v="63.76"/>
    <n v="382.56"/>
    <s v="Credit Card"/>
    <s v="Repeat Customer"/>
  </r>
  <r>
    <n v="10567"/>
    <s v="CUST306"/>
    <d v="2025-02-26T00:00:00"/>
    <s v="Electronics"/>
    <x v="0"/>
    <n v="1"/>
    <n v="280.77999999999997"/>
    <n v="280.77999999999997"/>
    <s v="Net Banking"/>
    <s v="Repeat Customer"/>
  </r>
  <r>
    <n v="10568"/>
    <s v="CUST360"/>
    <d v="2025-07-29T00:00:00"/>
    <s v="Beauty"/>
    <x v="1"/>
    <n v="4"/>
    <n v="329.03"/>
    <n v="1316.12"/>
    <s v="Net Banking"/>
    <s v="Repeat Customer"/>
  </r>
  <r>
    <n v="10569"/>
    <s v="CUST127"/>
    <d v="2024-08-16T00:00:00"/>
    <s v="Sports"/>
    <x v="3"/>
    <n v="8"/>
    <n v="169.33"/>
    <n v="1354.64"/>
    <s v="Net Banking"/>
    <s v="Repeat Customer"/>
  </r>
  <r>
    <n v="10570"/>
    <s v="CUST331"/>
    <d v="2024-04-26T00:00:00"/>
    <s v="Fashion"/>
    <x v="0"/>
    <n v="2"/>
    <n v="380.86"/>
    <n v="761.72"/>
    <s v="Net Banking"/>
    <s v="Repeat Customer"/>
  </r>
  <r>
    <n v="10571"/>
    <s v="CUST281"/>
    <d v="2025-10-10T00:00:00"/>
    <s v="Home"/>
    <x v="0"/>
    <n v="5"/>
    <n v="276.11"/>
    <n v="1380.55"/>
    <s v="Credit Card"/>
    <s v="Repeat Customer"/>
  </r>
  <r>
    <n v="10572"/>
    <s v="CUST184"/>
    <d v="2025-05-19T00:00:00"/>
    <s v="Beauty"/>
    <x v="0"/>
    <n v="3"/>
    <n v="411.81"/>
    <n v="1235.43"/>
    <s v="Net Banking"/>
    <s v="Repeat Customer"/>
  </r>
  <r>
    <n v="10573"/>
    <s v="CUST200"/>
    <d v="2024-07-11T00:00:00"/>
    <s v="Beauty"/>
    <x v="2"/>
    <n v="2"/>
    <n v="465.46"/>
    <n v="930.92"/>
    <s v="Wallet"/>
    <s v="Repeat Customer"/>
  </r>
  <r>
    <n v="10574"/>
    <s v="CUST197"/>
    <d v="2024-12-12T00:00:00"/>
    <s v="Electronics"/>
    <x v="0"/>
    <n v="2"/>
    <n v="379.79"/>
    <n v="759.58"/>
    <s v="Wallet"/>
    <s v="Repeat Customer"/>
  </r>
  <r>
    <n v="10575"/>
    <s v="CUST334"/>
    <d v="2025-11-05T00:00:00"/>
    <s v="Fashion"/>
    <x v="3"/>
    <n v="10"/>
    <n v="478.31"/>
    <n v="4783.1000000000004"/>
    <s v="Credit Card"/>
    <s v="Repeat Customer"/>
  </r>
  <r>
    <n v="10576"/>
    <s v="CUST371"/>
    <d v="2024-02-19T00:00:00"/>
    <s v="Sports"/>
    <x v="3"/>
    <n v="9"/>
    <n v="467.98"/>
    <n v="4211.82"/>
    <s v="UPI"/>
    <s v="Repeat Customer"/>
  </r>
  <r>
    <n v="10577"/>
    <s v="CUST396"/>
    <d v="2024-06-26T00:00:00"/>
    <s v="Sports"/>
    <x v="1"/>
    <n v="3"/>
    <n v="56.26"/>
    <n v="168.78"/>
    <s v="Wallet"/>
    <s v="Repeat Customer"/>
  </r>
  <r>
    <n v="10578"/>
    <s v="CUST314"/>
    <d v="2025-09-15T00:00:00"/>
    <s v="Home"/>
    <x v="1"/>
    <n v="4"/>
    <n v="140.43"/>
    <n v="561.72"/>
    <s v="Wallet"/>
    <s v="Repeat Customer"/>
  </r>
  <r>
    <n v="10579"/>
    <s v="CUST168"/>
    <d v="2024-05-21T00:00:00"/>
    <s v="Sports"/>
    <x v="1"/>
    <n v="7"/>
    <n v="303.25"/>
    <n v="2122.75"/>
    <s v="Net Banking"/>
    <s v="Repeat Customer"/>
  </r>
  <r>
    <n v="10580"/>
    <s v="CUST383"/>
    <d v="2025-10-09T00:00:00"/>
    <s v="Sports"/>
    <x v="1"/>
    <n v="4"/>
    <n v="104.44"/>
    <n v="417.76"/>
    <s v="Net Banking"/>
    <s v="Repeat Customer"/>
  </r>
  <r>
    <n v="10581"/>
    <s v="CUST167"/>
    <d v="2025-12-28T00:00:00"/>
    <s v="Home"/>
    <x v="0"/>
    <n v="3"/>
    <n v="254.43"/>
    <n v="763.29"/>
    <s v="Net Banking"/>
    <s v="Repeat Customer"/>
  </r>
  <r>
    <n v="10582"/>
    <s v="CUST387"/>
    <d v="2025-05-06T00:00:00"/>
    <s v="Beauty"/>
    <x v="1"/>
    <n v="10"/>
    <n v="287.47000000000003"/>
    <n v="2874.7"/>
    <s v="Wallet"/>
    <s v="Repeat Customer"/>
  </r>
  <r>
    <n v="10583"/>
    <s v="CUST106"/>
    <d v="2025-06-19T00:00:00"/>
    <s v="Fashion"/>
    <x v="0"/>
    <n v="2"/>
    <n v="17.510000000000002"/>
    <n v="35.020000000000003"/>
    <s v="Credit Card"/>
    <s v="Repeat Customer"/>
  </r>
  <r>
    <n v="10584"/>
    <s v="CUST202"/>
    <d v="2024-09-30T00:00:00"/>
    <s v="Home"/>
    <x v="2"/>
    <n v="3"/>
    <n v="491.85"/>
    <n v="1475.55"/>
    <s v="Credit Card"/>
    <s v="Repeat Customer"/>
  </r>
  <r>
    <n v="10585"/>
    <s v="CUST251"/>
    <d v="2024-07-27T00:00:00"/>
    <s v="Beauty"/>
    <x v="0"/>
    <n v="9"/>
    <n v="20.99"/>
    <n v="188.91"/>
    <s v="UPI"/>
    <s v="Repeat Customer"/>
  </r>
  <r>
    <n v="10586"/>
    <s v="CUST387"/>
    <d v="2025-02-02T00:00:00"/>
    <s v="Home"/>
    <x v="0"/>
    <n v="4"/>
    <n v="257.91000000000003"/>
    <n v="1031.6400000000001"/>
    <s v="Wallet"/>
    <s v="Repeat Customer"/>
  </r>
  <r>
    <n v="10587"/>
    <s v="CUST298"/>
    <d v="2025-03-02T00:00:00"/>
    <s v="Electronics"/>
    <x v="0"/>
    <n v="6"/>
    <n v="483.09"/>
    <n v="2898.54"/>
    <s v="Net Banking"/>
    <s v="Repeat Customer"/>
  </r>
  <r>
    <n v="10588"/>
    <s v="CUST203"/>
    <d v="2025-09-27T00:00:00"/>
    <s v="Home"/>
    <x v="2"/>
    <n v="8"/>
    <n v="415.84"/>
    <n v="3326.72"/>
    <s v="UPI"/>
    <s v="Repeat Customer"/>
  </r>
  <r>
    <n v="10589"/>
    <s v="CUST250"/>
    <d v="2025-04-04T00:00:00"/>
    <s v="Electronics"/>
    <x v="2"/>
    <n v="3"/>
    <n v="491.81"/>
    <n v="1475.43"/>
    <s v="UPI"/>
    <s v="Repeat Customer"/>
  </r>
  <r>
    <n v="10590"/>
    <s v="CUST363"/>
    <d v="2024-05-02T00:00:00"/>
    <s v="Home"/>
    <x v="1"/>
    <n v="7"/>
    <n v="25.11"/>
    <n v="175.77"/>
    <s v="UPI"/>
    <s v="Repeat Customer"/>
  </r>
  <r>
    <n v="10591"/>
    <s v="CUST182"/>
    <d v="2025-08-21T00:00:00"/>
    <s v="Beauty"/>
    <x v="2"/>
    <n v="5"/>
    <n v="7.79"/>
    <n v="38.950000000000003"/>
    <s v="Credit Card"/>
    <s v="Repeat Customer"/>
  </r>
  <r>
    <n v="10592"/>
    <s v="CUST178"/>
    <d v="2024-11-26T00:00:00"/>
    <s v="Sports"/>
    <x v="1"/>
    <n v="10"/>
    <n v="30.17"/>
    <n v="301.7"/>
    <s v="Wallet"/>
    <s v="Repeat Customer"/>
  </r>
  <r>
    <n v="10593"/>
    <s v="CUST393"/>
    <d v="2025-07-17T00:00:00"/>
    <s v="Home"/>
    <x v="2"/>
    <n v="6"/>
    <n v="41.08"/>
    <n v="246.48"/>
    <s v="UPI"/>
    <s v="Repeat Customer"/>
  </r>
  <r>
    <n v="10594"/>
    <s v="CUST366"/>
    <d v="2024-03-10T00:00:00"/>
    <s v="Sports"/>
    <x v="3"/>
    <n v="9"/>
    <n v="83.89"/>
    <n v="755.01"/>
    <s v="Credit Card"/>
    <s v="Repeat Customer"/>
  </r>
  <r>
    <n v="10595"/>
    <s v="CUST278"/>
    <d v="2024-08-14T00:00:00"/>
    <s v="Home"/>
    <x v="1"/>
    <n v="4"/>
    <n v="333.35"/>
    <n v="1333.4"/>
    <s v="Net Banking"/>
    <s v="Repeat Customer"/>
  </r>
  <r>
    <n v="10596"/>
    <s v="CUST211"/>
    <d v="2025-09-25T00:00:00"/>
    <s v="Sports"/>
    <x v="0"/>
    <n v="9"/>
    <n v="240.05"/>
    <n v="2160.4499999999998"/>
    <s v="Credit Card"/>
    <s v="Repeat Customer"/>
  </r>
  <r>
    <n v="10597"/>
    <s v="CUST277"/>
    <d v="2025-04-01T00:00:00"/>
    <s v="Sports"/>
    <x v="2"/>
    <n v="4"/>
    <n v="452.73"/>
    <n v="1810.92"/>
    <s v="Credit Card"/>
    <s v="Repeat Customer"/>
  </r>
  <r>
    <n v="10598"/>
    <s v="CUST264"/>
    <d v="2025-01-25T00:00:00"/>
    <s v="Sports"/>
    <x v="1"/>
    <n v="2"/>
    <n v="196.01"/>
    <n v="392.02"/>
    <s v="Credit Card"/>
    <s v="Repeat Customer"/>
  </r>
  <r>
    <n v="10599"/>
    <s v="CUST364"/>
    <d v="2025-01-18T00:00:00"/>
    <s v="Beauty"/>
    <x v="3"/>
    <n v="9"/>
    <n v="402.39"/>
    <n v="3621.51"/>
    <s v="Credit Card"/>
    <s v="Repeat Customer"/>
  </r>
  <r>
    <n v="10600"/>
    <s v="CUST251"/>
    <d v="2025-10-29T00:00:00"/>
    <s v="Electronics"/>
    <x v="0"/>
    <n v="4"/>
    <n v="163.55000000000001"/>
    <n v="654.20000000000005"/>
    <s v="UPI"/>
    <s v="Repeat Customer"/>
  </r>
  <r>
    <n v="10601"/>
    <s v="CUST375"/>
    <d v="2025-06-30T00:00:00"/>
    <s v="Fashion"/>
    <x v="2"/>
    <n v="1"/>
    <n v="315.33"/>
    <n v="315.33"/>
    <s v="Wallet"/>
    <s v="Repeat Customer"/>
  </r>
  <r>
    <n v="10602"/>
    <s v="CUST153"/>
    <d v="2024-07-29T00:00:00"/>
    <s v="Beauty"/>
    <x v="0"/>
    <n v="9"/>
    <n v="415.23"/>
    <n v="3737.07"/>
    <s v="UPI"/>
    <s v="Repeat Customer"/>
  </r>
  <r>
    <n v="10603"/>
    <s v="CUST112"/>
    <d v="2025-04-15T00:00:00"/>
    <s v="Electronics"/>
    <x v="0"/>
    <n v="6"/>
    <n v="23.75"/>
    <n v="142.5"/>
    <s v="UPI"/>
    <s v="Repeat Customer"/>
  </r>
  <r>
    <n v="10604"/>
    <s v="CUST228"/>
    <d v="2025-07-25T00:00:00"/>
    <s v="Fashion"/>
    <x v="1"/>
    <n v="2"/>
    <n v="289.61"/>
    <n v="579.22"/>
    <s v="Wallet"/>
    <s v="Repeat Customer"/>
  </r>
  <r>
    <n v="10605"/>
    <s v="CUST298"/>
    <d v="2025-04-06T00:00:00"/>
    <s v="Electronics"/>
    <x v="3"/>
    <n v="7"/>
    <n v="219.35"/>
    <n v="1535.45"/>
    <s v="Credit Card"/>
    <s v="Repeat Customer"/>
  </r>
  <r>
    <n v="10606"/>
    <s v="CUST373"/>
    <d v="2024-01-07T00:00:00"/>
    <s v="Sports"/>
    <x v="0"/>
    <n v="10"/>
    <n v="36.299999999999997"/>
    <n v="363"/>
    <s v="Credit Card"/>
    <s v="Repeat Customer"/>
  </r>
  <r>
    <n v="10607"/>
    <s v="CUST283"/>
    <d v="2025-05-29T00:00:00"/>
    <s v="Home"/>
    <x v="0"/>
    <n v="2"/>
    <n v="148.47"/>
    <n v="296.94"/>
    <s v="Net Banking"/>
    <s v="Repeat Customer"/>
  </r>
  <r>
    <n v="10608"/>
    <s v="CUST324"/>
    <d v="2025-01-25T00:00:00"/>
    <s v="Electronics"/>
    <x v="3"/>
    <n v="7"/>
    <n v="411.95"/>
    <n v="2883.65"/>
    <s v="UPI"/>
    <s v="Repeat Customer"/>
  </r>
  <r>
    <n v="10609"/>
    <s v="CUST373"/>
    <d v="2024-08-13T00:00:00"/>
    <s v="Sports"/>
    <x v="1"/>
    <n v="3"/>
    <n v="374.64"/>
    <n v="1123.92"/>
    <s v="UPI"/>
    <s v="Repeat Customer"/>
  </r>
  <r>
    <n v="10610"/>
    <s v="CUST252"/>
    <d v="2025-11-24T00:00:00"/>
    <s v="Electronics"/>
    <x v="2"/>
    <n v="6"/>
    <n v="478.91"/>
    <n v="2873.46"/>
    <s v="Credit Card"/>
    <s v="Repeat Customer"/>
  </r>
  <r>
    <n v="10611"/>
    <s v="CUST121"/>
    <d v="2024-01-06T00:00:00"/>
    <s v="Sports"/>
    <x v="0"/>
    <n v="10"/>
    <n v="300.33999999999997"/>
    <n v="3003.4"/>
    <s v="Net Banking"/>
    <s v="Repeat Customer"/>
  </r>
  <r>
    <n v="10612"/>
    <s v="CUST207"/>
    <d v="2024-12-18T00:00:00"/>
    <s v="Sports"/>
    <x v="2"/>
    <n v="4"/>
    <n v="209.26"/>
    <n v="837.04"/>
    <s v="UPI"/>
    <s v="Repeat Customer"/>
  </r>
  <r>
    <n v="10613"/>
    <s v="CUST194"/>
    <d v="2024-08-14T00:00:00"/>
    <s v="Fashion"/>
    <x v="0"/>
    <n v="10"/>
    <n v="418.2"/>
    <n v="4182"/>
    <s v="UPI"/>
    <s v="Repeat Customer"/>
  </r>
  <r>
    <n v="10614"/>
    <s v="CUST390"/>
    <d v="2024-02-25T00:00:00"/>
    <s v="Sports"/>
    <x v="0"/>
    <n v="9"/>
    <n v="233.33"/>
    <n v="2099.9699999999998"/>
    <s v="Net Banking"/>
    <s v="Repeat Customer"/>
  </r>
  <r>
    <n v="10615"/>
    <s v="CUST134"/>
    <d v="2024-09-13T00:00:00"/>
    <s v="Sports"/>
    <x v="3"/>
    <n v="2"/>
    <n v="102.72"/>
    <n v="205.44"/>
    <s v="Net Banking"/>
    <s v="Repeat Customer"/>
  </r>
  <r>
    <n v="10616"/>
    <s v="CUST282"/>
    <d v="2024-05-11T00:00:00"/>
    <s v="Sports"/>
    <x v="0"/>
    <n v="4"/>
    <n v="54.52"/>
    <n v="218.08"/>
    <s v="UPI"/>
    <s v="Repeat Customer"/>
  </r>
  <r>
    <n v="10617"/>
    <s v="CUST262"/>
    <d v="2025-05-12T00:00:00"/>
    <s v="Home"/>
    <x v="2"/>
    <n v="8"/>
    <n v="167.53"/>
    <n v="1340.24"/>
    <s v="Net Banking"/>
    <s v="Repeat Customer"/>
  </r>
  <r>
    <n v="10618"/>
    <s v="CUST261"/>
    <d v="2025-03-14T00:00:00"/>
    <s v="Fashion"/>
    <x v="2"/>
    <n v="3"/>
    <n v="7.39"/>
    <n v="22.17"/>
    <s v="Wallet"/>
    <s v="Repeat Customer"/>
  </r>
  <r>
    <n v="10619"/>
    <s v="CUST241"/>
    <d v="2025-01-03T00:00:00"/>
    <s v="Home"/>
    <x v="3"/>
    <n v="3"/>
    <n v="341.39"/>
    <n v="1024.17"/>
    <s v="Wallet"/>
    <s v="Repeat Customer"/>
  </r>
  <r>
    <n v="10620"/>
    <s v="CUST328"/>
    <d v="2025-01-02T00:00:00"/>
    <s v="Electronics"/>
    <x v="2"/>
    <n v="5"/>
    <n v="246.05"/>
    <n v="1230.25"/>
    <s v="Credit Card"/>
    <s v="Repeat Customer"/>
  </r>
  <r>
    <n v="10621"/>
    <s v="CUST243"/>
    <d v="2024-05-23T00:00:00"/>
    <s v="Electronics"/>
    <x v="0"/>
    <n v="9"/>
    <n v="102.23"/>
    <n v="920.07"/>
    <s v="Credit Card"/>
    <s v="Repeat Customer"/>
  </r>
  <r>
    <n v="10622"/>
    <s v="CUST359"/>
    <d v="2025-10-08T00:00:00"/>
    <s v="Sports"/>
    <x v="3"/>
    <n v="1"/>
    <n v="407.26"/>
    <n v="407.26"/>
    <s v="UPI"/>
    <s v="Repeat Customer"/>
  </r>
  <r>
    <n v="10623"/>
    <s v="CUST118"/>
    <d v="2025-07-18T00:00:00"/>
    <s v="Sports"/>
    <x v="3"/>
    <n v="5"/>
    <n v="274.02"/>
    <n v="1370.1"/>
    <s v="UPI"/>
    <s v="Repeat Customer"/>
  </r>
  <r>
    <n v="10624"/>
    <s v="CUST287"/>
    <d v="2025-02-05T00:00:00"/>
    <s v="Sports"/>
    <x v="1"/>
    <n v="4"/>
    <n v="446.26"/>
    <n v="1785.04"/>
    <s v="UPI"/>
    <s v="Repeat Customer"/>
  </r>
  <r>
    <n v="10625"/>
    <s v="CUST337"/>
    <d v="2025-05-28T00:00:00"/>
    <s v="Home"/>
    <x v="0"/>
    <n v="9"/>
    <n v="49.82"/>
    <n v="448.38"/>
    <s v="UPI"/>
    <s v="Repeat Customer"/>
  </r>
  <r>
    <n v="10626"/>
    <s v="CUST184"/>
    <d v="2025-06-10T00:00:00"/>
    <s v="Fashion"/>
    <x v="2"/>
    <n v="3"/>
    <n v="225.88"/>
    <n v="677.64"/>
    <s v="Wallet"/>
    <s v="Repeat Customer"/>
  </r>
  <r>
    <n v="10627"/>
    <s v="CUST283"/>
    <d v="2024-02-11T00:00:00"/>
    <s v="Fashion"/>
    <x v="0"/>
    <n v="4"/>
    <n v="381.93"/>
    <n v="1527.72"/>
    <s v="Net Banking"/>
    <s v="Repeat Customer"/>
  </r>
  <r>
    <n v="10628"/>
    <s v="CUST289"/>
    <d v="2024-08-27T00:00:00"/>
    <s v="Sports"/>
    <x v="1"/>
    <n v="1"/>
    <n v="335.95"/>
    <n v="335.95"/>
    <s v="Wallet"/>
    <s v="Repeat Customer"/>
  </r>
  <r>
    <n v="10629"/>
    <s v="CUST340"/>
    <d v="2025-04-10T00:00:00"/>
    <s v="Home"/>
    <x v="0"/>
    <n v="1"/>
    <n v="24.75"/>
    <n v="24.75"/>
    <s v="Net Banking"/>
    <s v="Repeat Customer"/>
  </r>
  <r>
    <n v="10630"/>
    <s v="CUST234"/>
    <d v="2025-08-15T00:00:00"/>
    <s v="Beauty"/>
    <x v="3"/>
    <n v="9"/>
    <n v="287.23"/>
    <n v="2585.0700000000002"/>
    <s v="Net Banking"/>
    <s v="New Customer"/>
  </r>
  <r>
    <n v="10631"/>
    <s v="CUST139"/>
    <d v="2025-06-13T00:00:00"/>
    <s v="Fashion"/>
    <x v="3"/>
    <n v="5"/>
    <n v="191.28"/>
    <n v="956.4"/>
    <s v="Net Banking"/>
    <s v="Repeat Customer"/>
  </r>
  <r>
    <n v="10632"/>
    <s v="CUST276"/>
    <d v="2025-05-13T00:00:00"/>
    <s v="Electronics"/>
    <x v="2"/>
    <n v="8"/>
    <n v="444.15"/>
    <n v="3553.2"/>
    <s v="Wallet"/>
    <s v="Repeat Customer"/>
  </r>
  <r>
    <n v="10633"/>
    <s v="CUST184"/>
    <d v="2024-08-23T00:00:00"/>
    <s v="Home"/>
    <x v="2"/>
    <n v="2"/>
    <n v="259.7"/>
    <n v="519.4"/>
    <s v="UPI"/>
    <s v="Repeat Customer"/>
  </r>
  <r>
    <n v="10634"/>
    <s v="CUST195"/>
    <d v="2024-06-10T00:00:00"/>
    <s v="Electronics"/>
    <x v="2"/>
    <n v="6"/>
    <n v="303"/>
    <n v="1818"/>
    <s v="Wallet"/>
    <s v="Repeat Customer"/>
  </r>
  <r>
    <n v="10635"/>
    <s v="CUST269"/>
    <d v="2024-04-26T00:00:00"/>
    <s v="Beauty"/>
    <x v="2"/>
    <n v="8"/>
    <n v="339.24"/>
    <n v="2713.92"/>
    <s v="UPI"/>
    <s v="Repeat Customer"/>
  </r>
  <r>
    <n v="10636"/>
    <s v="CUST310"/>
    <d v="2024-01-23T00:00:00"/>
    <s v="Sports"/>
    <x v="2"/>
    <n v="4"/>
    <n v="26.36"/>
    <n v="105.44"/>
    <s v="UPI"/>
    <s v="Repeat Customer"/>
  </r>
  <r>
    <n v="10637"/>
    <s v="CUST362"/>
    <d v="2024-02-10T00:00:00"/>
    <s v="Fashion"/>
    <x v="1"/>
    <n v="10"/>
    <n v="77.7"/>
    <n v="777"/>
    <s v="UPI"/>
    <s v="Repeat Customer"/>
  </r>
  <r>
    <n v="10638"/>
    <s v="CUST364"/>
    <d v="2025-02-19T00:00:00"/>
    <s v="Electronics"/>
    <x v="1"/>
    <n v="10"/>
    <n v="484.78"/>
    <n v="4847.8"/>
    <s v="Credit Card"/>
    <s v="Repeat Customer"/>
  </r>
  <r>
    <n v="10639"/>
    <s v="CUST210"/>
    <d v="2025-04-04T00:00:00"/>
    <s v="Beauty"/>
    <x v="2"/>
    <n v="10"/>
    <n v="496.42"/>
    <n v="4964.2"/>
    <s v="UPI"/>
    <s v="Repeat Customer"/>
  </r>
  <r>
    <n v="10640"/>
    <s v="CUST310"/>
    <d v="2025-09-07T00:00:00"/>
    <s v="Fashion"/>
    <x v="1"/>
    <n v="3"/>
    <n v="398.33"/>
    <n v="1194.99"/>
    <s v="UPI"/>
    <s v="Repeat Customer"/>
  </r>
  <r>
    <n v="10641"/>
    <s v="CUST275"/>
    <d v="2025-04-09T00:00:00"/>
    <s v="Fashion"/>
    <x v="3"/>
    <n v="10"/>
    <n v="297.35000000000002"/>
    <n v="2973.5"/>
    <s v="Wallet"/>
    <s v="Repeat Customer"/>
  </r>
  <r>
    <n v="10642"/>
    <s v="CUST167"/>
    <d v="2024-04-21T00:00:00"/>
    <s v="Sports"/>
    <x v="3"/>
    <n v="1"/>
    <n v="105.16"/>
    <n v="105.16"/>
    <s v="UPI"/>
    <s v="Repeat Customer"/>
  </r>
  <r>
    <n v="10643"/>
    <s v="CUST149"/>
    <d v="2024-06-30T00:00:00"/>
    <s v="Sports"/>
    <x v="0"/>
    <n v="8"/>
    <n v="451.3"/>
    <n v="3610.4"/>
    <s v="Credit Card"/>
    <s v="Repeat Customer"/>
  </r>
  <r>
    <n v="10644"/>
    <s v="CUST147"/>
    <d v="2025-05-08T00:00:00"/>
    <s v="Sports"/>
    <x v="0"/>
    <n v="3"/>
    <n v="451.48"/>
    <n v="1354.44"/>
    <s v="Wallet"/>
    <s v="Repeat Customer"/>
  </r>
  <r>
    <n v="10645"/>
    <s v="CUST367"/>
    <d v="2025-03-06T00:00:00"/>
    <s v="Sports"/>
    <x v="3"/>
    <n v="6"/>
    <n v="438.04"/>
    <n v="2628.24"/>
    <s v="UPI"/>
    <s v="Repeat Customer"/>
  </r>
  <r>
    <n v="10646"/>
    <s v="CUST346"/>
    <d v="2025-01-25T00:00:00"/>
    <s v="Sports"/>
    <x v="0"/>
    <n v="6"/>
    <n v="296.58"/>
    <n v="1779.48"/>
    <s v="Wallet"/>
    <s v="Repeat Customer"/>
  </r>
  <r>
    <n v="10647"/>
    <s v="CUST168"/>
    <d v="2024-09-17T00:00:00"/>
    <s v="Electronics"/>
    <x v="1"/>
    <n v="8"/>
    <n v="384.1"/>
    <n v="3072.8"/>
    <s v="Wallet"/>
    <s v="Repeat Customer"/>
  </r>
  <r>
    <n v="10648"/>
    <s v="CUST231"/>
    <d v="2024-07-12T00:00:00"/>
    <s v="Electronics"/>
    <x v="0"/>
    <n v="1"/>
    <n v="356.03"/>
    <n v="356.03"/>
    <s v="Credit Card"/>
    <s v="Repeat Customer"/>
  </r>
  <r>
    <n v="10649"/>
    <s v="CUST292"/>
    <d v="2025-11-01T00:00:00"/>
    <s v="Home"/>
    <x v="3"/>
    <n v="4"/>
    <n v="345.44"/>
    <n v="1381.76"/>
    <s v="Net Banking"/>
    <s v="Repeat Customer"/>
  </r>
  <r>
    <n v="10650"/>
    <s v="CUST154"/>
    <d v="2024-06-07T00:00:00"/>
    <s v="Home"/>
    <x v="1"/>
    <n v="7"/>
    <n v="327.52999999999997"/>
    <n v="2292.71"/>
    <s v="Wallet"/>
    <s v="Repeat Customer"/>
  </r>
  <r>
    <n v="10651"/>
    <s v="CUST389"/>
    <d v="2025-01-09T00:00:00"/>
    <s v="Beauty"/>
    <x v="2"/>
    <n v="10"/>
    <n v="141.4"/>
    <n v="1414"/>
    <s v="Wallet"/>
    <s v="Repeat Customer"/>
  </r>
  <r>
    <n v="10652"/>
    <s v="CUST382"/>
    <d v="2025-07-24T00:00:00"/>
    <s v="Sports"/>
    <x v="3"/>
    <n v="8"/>
    <n v="93.47"/>
    <n v="747.76"/>
    <s v="Net Banking"/>
    <s v="Repeat Customer"/>
  </r>
  <r>
    <n v="10653"/>
    <s v="CUST257"/>
    <d v="2025-08-14T00:00:00"/>
    <s v="Beauty"/>
    <x v="2"/>
    <n v="6"/>
    <n v="388.23"/>
    <n v="2329.38"/>
    <s v="Credit Card"/>
    <s v="Repeat Customer"/>
  </r>
  <r>
    <n v="10654"/>
    <s v="CUST217"/>
    <d v="2025-04-02T00:00:00"/>
    <s v="Sports"/>
    <x v="3"/>
    <n v="3"/>
    <n v="54.64"/>
    <n v="163.92"/>
    <s v="Net Banking"/>
    <s v="Repeat Customer"/>
  </r>
  <r>
    <n v="10655"/>
    <s v="CUST381"/>
    <d v="2025-09-20T00:00:00"/>
    <s v="Electronics"/>
    <x v="0"/>
    <n v="1"/>
    <n v="84.57"/>
    <n v="84.57"/>
    <s v="UPI"/>
    <s v="Repeat Customer"/>
  </r>
  <r>
    <n v="10656"/>
    <s v="CUST341"/>
    <d v="2025-09-06T00:00:00"/>
    <s v="Home"/>
    <x v="2"/>
    <n v="7"/>
    <n v="48.63"/>
    <n v="340.41"/>
    <s v="Net Banking"/>
    <s v="Repeat Customer"/>
  </r>
  <r>
    <n v="10657"/>
    <s v="CUST140"/>
    <d v="2025-09-15T00:00:00"/>
    <s v="Beauty"/>
    <x v="1"/>
    <n v="1"/>
    <n v="363.62"/>
    <n v="363.62"/>
    <s v="Credit Card"/>
    <s v="Repeat Customer"/>
  </r>
  <r>
    <n v="10658"/>
    <s v="CUST189"/>
    <d v="2025-10-17T00:00:00"/>
    <s v="Fashion"/>
    <x v="1"/>
    <n v="8"/>
    <n v="222.29"/>
    <n v="1778.32"/>
    <s v="UPI"/>
    <s v="Repeat Customer"/>
  </r>
  <r>
    <n v="10659"/>
    <s v="CUST117"/>
    <d v="2025-09-05T00:00:00"/>
    <s v="Fashion"/>
    <x v="2"/>
    <n v="9"/>
    <n v="260.33"/>
    <n v="2342.9699999999998"/>
    <s v="Credit Card"/>
    <s v="Repeat Customer"/>
  </r>
  <r>
    <n v="10660"/>
    <s v="CUST284"/>
    <d v="2024-09-01T00:00:00"/>
    <s v="Electronics"/>
    <x v="1"/>
    <n v="1"/>
    <n v="487.94"/>
    <n v="487.94"/>
    <s v="Wallet"/>
    <s v="Repeat Customer"/>
  </r>
  <r>
    <n v="10661"/>
    <s v="CUST280"/>
    <d v="2025-11-16T00:00:00"/>
    <s v="Fashion"/>
    <x v="0"/>
    <n v="7"/>
    <n v="205.7"/>
    <n v="1439.9"/>
    <s v="Credit Card"/>
    <s v="Repeat Customer"/>
  </r>
  <r>
    <n v="10662"/>
    <s v="CUST146"/>
    <d v="2025-07-16T00:00:00"/>
    <s v="Sports"/>
    <x v="1"/>
    <n v="5"/>
    <n v="364.44"/>
    <n v="1822.2"/>
    <s v="Net Banking"/>
    <s v="Repeat Customer"/>
  </r>
  <r>
    <n v="10663"/>
    <s v="CUST241"/>
    <d v="2024-08-19T00:00:00"/>
    <s v="Beauty"/>
    <x v="3"/>
    <n v="10"/>
    <n v="481.71"/>
    <n v="4817.1000000000004"/>
    <s v="Credit Card"/>
    <s v="Repeat Customer"/>
  </r>
  <r>
    <n v="10664"/>
    <s v="CUST233"/>
    <d v="2024-06-28T00:00:00"/>
    <s v="Sports"/>
    <x v="0"/>
    <n v="7"/>
    <n v="255.59"/>
    <n v="1789.13"/>
    <s v="Net Banking"/>
    <s v="Repeat Customer"/>
  </r>
  <r>
    <n v="10665"/>
    <s v="CUST274"/>
    <d v="2024-04-29T00:00:00"/>
    <s v="Sports"/>
    <x v="1"/>
    <n v="9"/>
    <n v="478.57"/>
    <n v="4307.13"/>
    <s v="Wallet"/>
    <s v="Repeat Customer"/>
  </r>
  <r>
    <n v="10666"/>
    <s v="CUST293"/>
    <d v="2025-07-30T00:00:00"/>
    <s v="Home"/>
    <x v="3"/>
    <n v="8"/>
    <n v="386.13"/>
    <n v="3089.04"/>
    <s v="Wallet"/>
    <s v="Repeat Customer"/>
  </r>
  <r>
    <n v="10667"/>
    <s v="CUST114"/>
    <d v="2025-05-08T00:00:00"/>
    <s v="Beauty"/>
    <x v="2"/>
    <n v="2"/>
    <n v="132.62"/>
    <n v="265.24"/>
    <s v="UPI"/>
    <s v="Repeat Customer"/>
  </r>
  <r>
    <n v="10668"/>
    <s v="CUST261"/>
    <d v="2025-02-26T00:00:00"/>
    <s v="Electronics"/>
    <x v="1"/>
    <n v="6"/>
    <n v="260.67"/>
    <n v="1564.02"/>
    <s v="UPI"/>
    <s v="Repeat Customer"/>
  </r>
  <r>
    <n v="10669"/>
    <s v="CUST247"/>
    <d v="2024-04-05T00:00:00"/>
    <s v="Home"/>
    <x v="0"/>
    <n v="7"/>
    <n v="338.48"/>
    <n v="2369.36"/>
    <s v="UPI"/>
    <s v="Repeat Customer"/>
  </r>
  <r>
    <n v="10670"/>
    <s v="CUST343"/>
    <d v="2024-11-17T00:00:00"/>
    <s v="Sports"/>
    <x v="1"/>
    <n v="6"/>
    <n v="113.19"/>
    <n v="679.14"/>
    <s v="UPI"/>
    <s v="Repeat Customer"/>
  </r>
  <r>
    <n v="10671"/>
    <s v="CUST197"/>
    <d v="2025-05-25T00:00:00"/>
    <s v="Fashion"/>
    <x v="1"/>
    <n v="4"/>
    <n v="121.26"/>
    <n v="485.04"/>
    <s v="UPI"/>
    <s v="Repeat Customer"/>
  </r>
  <r>
    <n v="10672"/>
    <s v="CUST217"/>
    <d v="2024-07-26T00:00:00"/>
    <s v="Home"/>
    <x v="2"/>
    <n v="4"/>
    <n v="418.99"/>
    <n v="1675.96"/>
    <s v="Credit Card"/>
    <s v="Repeat Customer"/>
  </r>
  <r>
    <n v="10673"/>
    <s v="CUST161"/>
    <d v="2024-03-21T00:00:00"/>
    <s v="Sports"/>
    <x v="0"/>
    <n v="8"/>
    <n v="308.83999999999997"/>
    <n v="2470.7199999999998"/>
    <s v="Wallet"/>
    <s v="Repeat Customer"/>
  </r>
  <r>
    <n v="10674"/>
    <s v="CUST290"/>
    <d v="2025-09-27T00:00:00"/>
    <s v="Sports"/>
    <x v="1"/>
    <n v="6"/>
    <n v="248.71"/>
    <n v="1492.26"/>
    <s v="Wallet"/>
    <s v="Repeat Customer"/>
  </r>
  <r>
    <n v="10675"/>
    <s v="CUST193"/>
    <d v="2025-06-07T00:00:00"/>
    <s v="Sports"/>
    <x v="2"/>
    <n v="5"/>
    <n v="201.95"/>
    <n v="1009.75"/>
    <s v="Credit Card"/>
    <s v="Repeat Customer"/>
  </r>
  <r>
    <n v="10676"/>
    <s v="CUST369"/>
    <d v="2025-03-09T00:00:00"/>
    <s v="Electronics"/>
    <x v="1"/>
    <n v="8"/>
    <n v="470.13"/>
    <n v="3761.04"/>
    <s v="Wallet"/>
    <s v="Repeat Customer"/>
  </r>
  <r>
    <n v="10677"/>
    <s v="CUST189"/>
    <d v="2025-04-13T00:00:00"/>
    <s v="Beauty"/>
    <x v="1"/>
    <n v="2"/>
    <n v="350.63"/>
    <n v="701.26"/>
    <s v="Credit Card"/>
    <s v="Repeat Customer"/>
  </r>
  <r>
    <n v="10678"/>
    <s v="CUST106"/>
    <d v="2025-11-21T00:00:00"/>
    <s v="Electronics"/>
    <x v="1"/>
    <n v="4"/>
    <n v="192.82"/>
    <n v="771.28"/>
    <s v="Net Banking"/>
    <s v="Repeat Customer"/>
  </r>
  <r>
    <n v="10679"/>
    <s v="CUST232"/>
    <d v="2024-07-10T00:00:00"/>
    <s v="Home"/>
    <x v="3"/>
    <n v="9"/>
    <n v="135.11000000000001"/>
    <n v="1215.99"/>
    <s v="Net Banking"/>
    <s v="Repeat Customer"/>
  </r>
  <r>
    <n v="10680"/>
    <s v="CUST287"/>
    <d v="2024-07-07T00:00:00"/>
    <s v="Beauty"/>
    <x v="1"/>
    <n v="8"/>
    <n v="214.85"/>
    <n v="1718.8"/>
    <s v="Net Banking"/>
    <s v="Repeat Customer"/>
  </r>
  <r>
    <n v="10681"/>
    <s v="CUST305"/>
    <d v="2024-10-13T00:00:00"/>
    <s v="Fashion"/>
    <x v="2"/>
    <n v="8"/>
    <n v="94.05"/>
    <n v="752.4"/>
    <s v="Credit Card"/>
    <s v="Repeat Customer"/>
  </r>
  <r>
    <n v="10682"/>
    <s v="CUST238"/>
    <d v="2024-08-29T00:00:00"/>
    <s v="Beauty"/>
    <x v="2"/>
    <n v="9"/>
    <n v="218.95"/>
    <n v="1970.55"/>
    <s v="UPI"/>
    <s v="Repeat Customer"/>
  </r>
  <r>
    <n v="10683"/>
    <s v="CUST176"/>
    <d v="2025-04-29T00:00:00"/>
    <s v="Beauty"/>
    <x v="2"/>
    <n v="1"/>
    <n v="92.42"/>
    <n v="92.42"/>
    <s v="Net Banking"/>
    <s v="Repeat Customer"/>
  </r>
  <r>
    <n v="10684"/>
    <s v="CUST349"/>
    <d v="2024-11-03T00:00:00"/>
    <s v="Sports"/>
    <x v="0"/>
    <n v="5"/>
    <n v="283.26"/>
    <n v="1416.3"/>
    <s v="Wallet"/>
    <s v="Repeat Customer"/>
  </r>
  <r>
    <n v="10685"/>
    <s v="CUST150"/>
    <d v="2025-12-08T00:00:00"/>
    <s v="Home"/>
    <x v="3"/>
    <n v="3"/>
    <n v="34.72"/>
    <n v="104.16"/>
    <s v="Credit Card"/>
    <s v="Repeat Customer"/>
  </r>
  <r>
    <n v="10686"/>
    <s v="CUST330"/>
    <d v="2024-12-08T00:00:00"/>
    <s v="Sports"/>
    <x v="1"/>
    <n v="5"/>
    <n v="183.68"/>
    <n v="918.4"/>
    <s v="Net Banking"/>
    <s v="Repeat Customer"/>
  </r>
  <r>
    <n v="10687"/>
    <s v="CUST110"/>
    <d v="2025-02-25T00:00:00"/>
    <s v="Sports"/>
    <x v="2"/>
    <n v="2"/>
    <n v="178.79"/>
    <n v="357.58"/>
    <s v="UPI"/>
    <s v="Repeat Customer"/>
  </r>
  <r>
    <n v="10688"/>
    <s v="CUST245"/>
    <d v="2024-12-29T00:00:00"/>
    <s v="Beauty"/>
    <x v="3"/>
    <n v="6"/>
    <n v="338.23"/>
    <n v="2029.38"/>
    <s v="Credit Card"/>
    <s v="Repeat Customer"/>
  </r>
  <r>
    <n v="10689"/>
    <s v="CUST295"/>
    <d v="2025-09-20T00:00:00"/>
    <s v="Fashion"/>
    <x v="2"/>
    <n v="5"/>
    <n v="234.56"/>
    <n v="1172.8"/>
    <s v="Net Banking"/>
    <s v="Repeat Customer"/>
  </r>
  <r>
    <n v="10690"/>
    <s v="CUST315"/>
    <d v="2025-10-08T00:00:00"/>
    <s v="Electronics"/>
    <x v="0"/>
    <n v="10"/>
    <n v="287.95999999999998"/>
    <n v="2879.6"/>
    <s v="UPI"/>
    <s v="Repeat Customer"/>
  </r>
  <r>
    <n v="10691"/>
    <s v="CUST275"/>
    <d v="2024-08-21T00:00:00"/>
    <s v="Home"/>
    <x v="1"/>
    <n v="6"/>
    <n v="161.85"/>
    <n v="971.1"/>
    <s v="Wallet"/>
    <s v="Repeat Customer"/>
  </r>
  <r>
    <n v="10692"/>
    <s v="CUST238"/>
    <d v="2025-03-31T00:00:00"/>
    <s v="Sports"/>
    <x v="3"/>
    <n v="6"/>
    <n v="375.21"/>
    <n v="2251.2600000000002"/>
    <s v="Wallet"/>
    <s v="Repeat Customer"/>
  </r>
  <r>
    <n v="10693"/>
    <s v="CUST185"/>
    <d v="2024-07-07T00:00:00"/>
    <s v="Fashion"/>
    <x v="1"/>
    <n v="1"/>
    <n v="66.89"/>
    <n v="66.89"/>
    <s v="Credit Card"/>
    <s v="Repeat Customer"/>
  </r>
  <r>
    <n v="10694"/>
    <s v="CUST207"/>
    <d v="2024-06-19T00:00:00"/>
    <s v="Electronics"/>
    <x v="3"/>
    <n v="7"/>
    <n v="55.99"/>
    <n v="391.93"/>
    <s v="Credit Card"/>
    <s v="Repeat Customer"/>
  </r>
  <r>
    <n v="10695"/>
    <s v="CUST113"/>
    <d v="2025-02-10T00:00:00"/>
    <s v="Electronics"/>
    <x v="0"/>
    <n v="9"/>
    <n v="383.67"/>
    <n v="3453.03"/>
    <s v="Net Banking"/>
    <s v="Repeat Customer"/>
  </r>
  <r>
    <n v="10696"/>
    <s v="CUST179"/>
    <d v="2024-03-27T00:00:00"/>
    <s v="Fashion"/>
    <x v="1"/>
    <n v="7"/>
    <n v="158.13999999999999"/>
    <n v="1106.98"/>
    <s v="Wallet"/>
    <s v="Repeat Customer"/>
  </r>
  <r>
    <n v="10697"/>
    <s v="CUST164"/>
    <d v="2024-05-14T00:00:00"/>
    <s v="Electronics"/>
    <x v="0"/>
    <n v="9"/>
    <n v="420.07"/>
    <n v="3780.63"/>
    <s v="Net Banking"/>
    <s v="Repeat Customer"/>
  </r>
  <r>
    <n v="10698"/>
    <s v="CUST266"/>
    <d v="2025-05-02T00:00:00"/>
    <s v="Sports"/>
    <x v="1"/>
    <n v="8"/>
    <n v="487.62"/>
    <n v="3900.96"/>
    <s v="Wallet"/>
    <s v="Repeat Customer"/>
  </r>
  <r>
    <n v="10699"/>
    <s v="CUST169"/>
    <d v="2025-12-15T00:00:00"/>
    <s v="Sports"/>
    <x v="3"/>
    <n v="9"/>
    <n v="92.63"/>
    <n v="833.67"/>
    <s v="Wallet"/>
    <s v="Repeat Customer"/>
  </r>
  <r>
    <n v="10700"/>
    <s v="CUST368"/>
    <d v="2025-10-17T00:00:00"/>
    <s v="Home"/>
    <x v="3"/>
    <n v="9"/>
    <n v="158.28"/>
    <n v="1424.52"/>
    <s v="UPI"/>
    <s v="Repeat Customer"/>
  </r>
  <r>
    <n v="10701"/>
    <s v="CUST145"/>
    <d v="2025-03-28T00:00:00"/>
    <s v="Home"/>
    <x v="2"/>
    <n v="5"/>
    <n v="186.06"/>
    <n v="930.3"/>
    <s v="Net Banking"/>
    <s v="Repeat Customer"/>
  </r>
  <r>
    <n v="10702"/>
    <s v="CUST105"/>
    <d v="2024-01-01T00:00:00"/>
    <s v="Fashion"/>
    <x v="1"/>
    <n v="9"/>
    <n v="408.61"/>
    <n v="3677.49"/>
    <s v="Net Banking"/>
    <s v="Repeat Customer"/>
  </r>
  <r>
    <n v="10703"/>
    <s v="CUST340"/>
    <d v="2025-07-01T00:00:00"/>
    <s v="Beauty"/>
    <x v="3"/>
    <n v="1"/>
    <n v="345.45"/>
    <n v="345.45"/>
    <s v="Net Banking"/>
    <s v="Repeat Customer"/>
  </r>
  <r>
    <n v="10704"/>
    <s v="CUST104"/>
    <d v="2025-03-16T00:00:00"/>
    <s v="Electronics"/>
    <x v="1"/>
    <n v="5"/>
    <n v="300.52"/>
    <n v="1502.6"/>
    <s v="UPI"/>
    <s v="Repeat Customer"/>
  </r>
  <r>
    <n v="10705"/>
    <s v="CUST310"/>
    <d v="2025-07-28T00:00:00"/>
    <s v="Fashion"/>
    <x v="3"/>
    <n v="7"/>
    <n v="200.4"/>
    <n v="1402.8"/>
    <s v="Wallet"/>
    <s v="Repeat Customer"/>
  </r>
  <r>
    <n v="10706"/>
    <s v="CUST212"/>
    <d v="2024-09-26T00:00:00"/>
    <s v="Fashion"/>
    <x v="1"/>
    <n v="2"/>
    <n v="214.01"/>
    <n v="428.02"/>
    <s v="Net Banking"/>
    <s v="Repeat Customer"/>
  </r>
  <r>
    <n v="10707"/>
    <s v="CUST372"/>
    <d v="2024-10-02T00:00:00"/>
    <s v="Electronics"/>
    <x v="2"/>
    <n v="7"/>
    <n v="98.06"/>
    <n v="686.42"/>
    <s v="UPI"/>
    <s v="Repeat Customer"/>
  </r>
  <r>
    <n v="10708"/>
    <s v="CUST248"/>
    <d v="2024-04-23T00:00:00"/>
    <s v="Home"/>
    <x v="3"/>
    <n v="8"/>
    <n v="310.77999999999997"/>
    <n v="2486.2399999999998"/>
    <s v="UPI"/>
    <s v="Repeat Customer"/>
  </r>
  <r>
    <n v="10709"/>
    <s v="CUST264"/>
    <d v="2024-01-20T00:00:00"/>
    <s v="Sports"/>
    <x v="0"/>
    <n v="3"/>
    <n v="29.57"/>
    <n v="88.71"/>
    <s v="UPI"/>
    <s v="Repeat Customer"/>
  </r>
  <r>
    <n v="10710"/>
    <s v="CUST152"/>
    <d v="2024-10-15T00:00:00"/>
    <s v="Beauty"/>
    <x v="0"/>
    <n v="5"/>
    <n v="66.89"/>
    <n v="334.45"/>
    <s v="UPI"/>
    <s v="Repeat Customer"/>
  </r>
  <r>
    <n v="10711"/>
    <s v="CUST146"/>
    <d v="2024-06-03T00:00:00"/>
    <s v="Home"/>
    <x v="3"/>
    <n v="1"/>
    <n v="249.32"/>
    <n v="249.32"/>
    <s v="Net Banking"/>
    <s v="Repeat Customer"/>
  </r>
  <r>
    <n v="10712"/>
    <s v="CUST355"/>
    <d v="2025-01-15T00:00:00"/>
    <s v="Electronics"/>
    <x v="1"/>
    <n v="8"/>
    <n v="349.98"/>
    <n v="2799.84"/>
    <s v="Credit Card"/>
    <s v="Repeat Customer"/>
  </r>
  <r>
    <n v="10713"/>
    <s v="CUST174"/>
    <d v="2024-02-27T00:00:00"/>
    <s v="Electronics"/>
    <x v="3"/>
    <n v="5"/>
    <n v="388.95"/>
    <n v="1944.75"/>
    <s v="UPI"/>
    <s v="Repeat Customer"/>
  </r>
  <r>
    <n v="10714"/>
    <s v="CUST198"/>
    <d v="2024-09-13T00:00:00"/>
    <s v="Electronics"/>
    <x v="2"/>
    <n v="7"/>
    <n v="414.98"/>
    <n v="2904.86"/>
    <s v="Wallet"/>
    <s v="Repeat Customer"/>
  </r>
  <r>
    <n v="10715"/>
    <s v="CUST326"/>
    <d v="2024-09-10T00:00:00"/>
    <s v="Electronics"/>
    <x v="2"/>
    <n v="1"/>
    <n v="103.59"/>
    <n v="103.59"/>
    <s v="Wallet"/>
    <s v="Repeat Customer"/>
  </r>
  <r>
    <n v="10716"/>
    <s v="CUST299"/>
    <d v="2025-11-28T00:00:00"/>
    <s v="Fashion"/>
    <x v="0"/>
    <n v="5"/>
    <n v="468.43"/>
    <n v="2342.15"/>
    <s v="Credit Card"/>
    <s v="Repeat Customer"/>
  </r>
  <r>
    <n v="10717"/>
    <s v="CUST229"/>
    <d v="2025-05-07T00:00:00"/>
    <s v="Electronics"/>
    <x v="2"/>
    <n v="5"/>
    <n v="103.37"/>
    <n v="516.85"/>
    <s v="Credit Card"/>
    <s v="Repeat Customer"/>
  </r>
  <r>
    <n v="10718"/>
    <s v="CUST220"/>
    <d v="2025-10-10T00:00:00"/>
    <s v="Fashion"/>
    <x v="1"/>
    <n v="7"/>
    <n v="165.63"/>
    <n v="1159.4100000000001"/>
    <s v="Credit Card"/>
    <s v="Repeat Customer"/>
  </r>
  <r>
    <n v="10719"/>
    <s v="CUST302"/>
    <d v="2024-09-05T00:00:00"/>
    <s v="Sports"/>
    <x v="3"/>
    <n v="1"/>
    <n v="484.57"/>
    <n v="484.57"/>
    <s v="UPI"/>
    <s v="Repeat Customer"/>
  </r>
  <r>
    <n v="10720"/>
    <s v="CUST290"/>
    <d v="2024-04-01T00:00:00"/>
    <s v="Electronics"/>
    <x v="1"/>
    <n v="4"/>
    <n v="83.06"/>
    <n v="332.24"/>
    <s v="Credit Card"/>
    <s v="Repeat Customer"/>
  </r>
  <r>
    <n v="10721"/>
    <s v="CUST130"/>
    <d v="2024-12-30T00:00:00"/>
    <s v="Electronics"/>
    <x v="2"/>
    <n v="3"/>
    <n v="352.16"/>
    <n v="1056.48"/>
    <s v="Wallet"/>
    <s v="Repeat Customer"/>
  </r>
  <r>
    <n v="10722"/>
    <s v="CUST219"/>
    <d v="2024-11-20T00:00:00"/>
    <s v="Home"/>
    <x v="3"/>
    <n v="9"/>
    <n v="395.34"/>
    <n v="3558.06"/>
    <s v="UPI"/>
    <s v="Repeat Customer"/>
  </r>
  <r>
    <n v="10723"/>
    <s v="CUST110"/>
    <d v="2025-12-06T00:00:00"/>
    <s v="Fashion"/>
    <x v="1"/>
    <n v="7"/>
    <n v="182.29"/>
    <n v="1276.03"/>
    <s v="Credit Card"/>
    <s v="Repeat Customer"/>
  </r>
  <r>
    <n v="10724"/>
    <s v="CUST348"/>
    <d v="2025-12-24T00:00:00"/>
    <s v="Sports"/>
    <x v="3"/>
    <n v="8"/>
    <n v="281.72000000000003"/>
    <n v="2253.7600000000002"/>
    <s v="UPI"/>
    <s v="Repeat Customer"/>
  </r>
  <r>
    <n v="10725"/>
    <s v="CUST390"/>
    <d v="2024-07-10T00:00:00"/>
    <s v="Beauty"/>
    <x v="1"/>
    <n v="9"/>
    <n v="177.09"/>
    <n v="1593.81"/>
    <s v="UPI"/>
    <s v="Repeat Customer"/>
  </r>
  <r>
    <n v="10726"/>
    <s v="CUST135"/>
    <d v="2025-06-27T00:00:00"/>
    <s v="Home"/>
    <x v="1"/>
    <n v="3"/>
    <n v="227.45"/>
    <n v="682.35"/>
    <s v="Wallet"/>
    <s v="Repeat Customer"/>
  </r>
  <r>
    <n v="10727"/>
    <s v="CUST100"/>
    <d v="2025-10-15T00:00:00"/>
    <s v="Fashion"/>
    <x v="0"/>
    <n v="9"/>
    <n v="192.63"/>
    <n v="1733.67"/>
    <s v="Net Banking"/>
    <s v="Repeat Customer"/>
  </r>
  <r>
    <n v="10728"/>
    <s v="CUST222"/>
    <d v="2024-11-24T00:00:00"/>
    <s v="Sports"/>
    <x v="3"/>
    <n v="2"/>
    <n v="330.85"/>
    <n v="661.7"/>
    <s v="UPI"/>
    <s v="Repeat Customer"/>
  </r>
  <r>
    <n v="10729"/>
    <s v="CUST368"/>
    <d v="2025-11-30T00:00:00"/>
    <s v="Fashion"/>
    <x v="1"/>
    <n v="8"/>
    <n v="384.04"/>
    <n v="3072.32"/>
    <s v="Net Banking"/>
    <s v="Repeat Customer"/>
  </r>
  <r>
    <n v="10730"/>
    <s v="CUST309"/>
    <d v="2025-10-18T00:00:00"/>
    <s v="Sports"/>
    <x v="0"/>
    <n v="6"/>
    <n v="59.68"/>
    <n v="358.08"/>
    <s v="Credit Card"/>
    <s v="Repeat Customer"/>
  </r>
  <r>
    <n v="10731"/>
    <s v="CUST166"/>
    <d v="2024-07-01T00:00:00"/>
    <s v="Beauty"/>
    <x v="2"/>
    <n v="1"/>
    <n v="105.03"/>
    <n v="105.03"/>
    <s v="Credit Card"/>
    <s v="New Customer"/>
  </r>
  <r>
    <n v="10732"/>
    <s v="CUST116"/>
    <d v="2025-08-07T00:00:00"/>
    <s v="Sports"/>
    <x v="1"/>
    <n v="7"/>
    <n v="330.67"/>
    <n v="2314.69"/>
    <s v="Credit Card"/>
    <s v="Repeat Customer"/>
  </r>
  <r>
    <n v="10733"/>
    <s v="CUST287"/>
    <d v="2024-08-14T00:00:00"/>
    <s v="Electronics"/>
    <x v="2"/>
    <n v="10"/>
    <n v="360.33"/>
    <n v="3603.3"/>
    <s v="Wallet"/>
    <s v="Repeat Customer"/>
  </r>
  <r>
    <n v="10734"/>
    <s v="CUST140"/>
    <d v="2025-04-24T00:00:00"/>
    <s v="Beauty"/>
    <x v="1"/>
    <n v="1"/>
    <n v="183.66"/>
    <n v="183.66"/>
    <s v="Credit Card"/>
    <s v="Repeat Customer"/>
  </r>
  <r>
    <n v="10735"/>
    <s v="CUST236"/>
    <d v="2025-06-25T00:00:00"/>
    <s v="Home"/>
    <x v="0"/>
    <n v="1"/>
    <n v="368.48"/>
    <n v="368.48"/>
    <s v="UPI"/>
    <s v="Repeat Customer"/>
  </r>
  <r>
    <n v="10736"/>
    <s v="CUST365"/>
    <d v="2024-04-09T00:00:00"/>
    <s v="Sports"/>
    <x v="3"/>
    <n v="2"/>
    <n v="363.96"/>
    <n v="727.92"/>
    <s v="UPI"/>
    <s v="Repeat Customer"/>
  </r>
  <r>
    <n v="10737"/>
    <s v="CUST198"/>
    <d v="2025-06-22T00:00:00"/>
    <s v="Fashion"/>
    <x v="3"/>
    <n v="4"/>
    <n v="287.16000000000003"/>
    <n v="1148.6400000000001"/>
    <s v="Credit Card"/>
    <s v="Repeat Customer"/>
  </r>
  <r>
    <n v="10738"/>
    <s v="CUST395"/>
    <d v="2025-01-01T00:00:00"/>
    <s v="Beauty"/>
    <x v="0"/>
    <n v="8"/>
    <n v="352.76"/>
    <n v="2822.08"/>
    <s v="UPI"/>
    <s v="Repeat Customer"/>
  </r>
  <r>
    <n v="10739"/>
    <s v="CUST192"/>
    <d v="2025-07-17T00:00:00"/>
    <s v="Fashion"/>
    <x v="3"/>
    <n v="7"/>
    <n v="254.82"/>
    <n v="1783.74"/>
    <s v="Net Banking"/>
    <s v="Repeat Customer"/>
  </r>
  <r>
    <n v="10740"/>
    <s v="CUST261"/>
    <d v="2025-07-17T00:00:00"/>
    <s v="Beauty"/>
    <x v="3"/>
    <n v="6"/>
    <n v="423.2"/>
    <n v="2539.1999999999998"/>
    <s v="Net Banking"/>
    <s v="Repeat Customer"/>
  </r>
  <r>
    <n v="10741"/>
    <s v="CUST223"/>
    <d v="2025-07-30T00:00:00"/>
    <s v="Sports"/>
    <x v="1"/>
    <n v="9"/>
    <n v="110.89"/>
    <n v="998.01"/>
    <s v="Net Banking"/>
    <s v="Repeat Customer"/>
  </r>
  <r>
    <n v="10742"/>
    <s v="CUST331"/>
    <d v="2025-04-03T00:00:00"/>
    <s v="Electronics"/>
    <x v="1"/>
    <n v="7"/>
    <n v="5.0999999999999996"/>
    <n v="35.700000000000003"/>
    <s v="Credit Card"/>
    <s v="Repeat Customer"/>
  </r>
  <r>
    <n v="10743"/>
    <s v="CUST365"/>
    <d v="2024-05-18T00:00:00"/>
    <s v="Fashion"/>
    <x v="2"/>
    <n v="5"/>
    <n v="8.25"/>
    <n v="41.25"/>
    <s v="Net Banking"/>
    <s v="Repeat Customer"/>
  </r>
  <r>
    <n v="10744"/>
    <s v="CUST111"/>
    <d v="2025-12-07T00:00:00"/>
    <s v="Sports"/>
    <x v="2"/>
    <n v="5"/>
    <n v="459.96"/>
    <n v="2299.8000000000002"/>
    <s v="Credit Card"/>
    <s v="Repeat Customer"/>
  </r>
  <r>
    <n v="10745"/>
    <s v="CUST119"/>
    <d v="2025-04-16T00:00:00"/>
    <s v="Home"/>
    <x v="1"/>
    <n v="6"/>
    <n v="82.27"/>
    <n v="493.62"/>
    <s v="UPI"/>
    <s v="Repeat Customer"/>
  </r>
  <r>
    <n v="10746"/>
    <s v="CUST219"/>
    <d v="2024-09-19T00:00:00"/>
    <s v="Beauty"/>
    <x v="2"/>
    <n v="5"/>
    <n v="50.49"/>
    <n v="252.45"/>
    <s v="Credit Card"/>
    <s v="Repeat Customer"/>
  </r>
  <r>
    <n v="10747"/>
    <s v="CUST266"/>
    <d v="2025-05-09T00:00:00"/>
    <s v="Sports"/>
    <x v="0"/>
    <n v="3"/>
    <n v="246.7"/>
    <n v="740.1"/>
    <s v="Net Banking"/>
    <s v="Repeat Customer"/>
  </r>
  <r>
    <n v="10748"/>
    <s v="CUST119"/>
    <d v="2025-08-13T00:00:00"/>
    <s v="Electronics"/>
    <x v="1"/>
    <n v="7"/>
    <n v="43.85"/>
    <n v="306.95"/>
    <s v="Net Banking"/>
    <s v="Repeat Customer"/>
  </r>
  <r>
    <n v="10749"/>
    <s v="CUST322"/>
    <d v="2025-03-02T00:00:00"/>
    <s v="Fashion"/>
    <x v="0"/>
    <n v="2"/>
    <n v="435.54"/>
    <n v="871.08"/>
    <s v="Wallet"/>
    <s v="Repeat Customer"/>
  </r>
  <r>
    <n v="10750"/>
    <s v="CUST127"/>
    <d v="2024-11-08T00:00:00"/>
    <s v="Sports"/>
    <x v="2"/>
    <n v="9"/>
    <n v="25.39"/>
    <n v="228.51"/>
    <s v="Net Banking"/>
    <s v="Repeat Customer"/>
  </r>
  <r>
    <n v="10751"/>
    <s v="CUST357"/>
    <d v="2025-12-15T00:00:00"/>
    <s v="Beauty"/>
    <x v="3"/>
    <n v="4"/>
    <n v="80.83"/>
    <n v="323.32"/>
    <s v="Credit Card"/>
    <s v="Repeat Customer"/>
  </r>
  <r>
    <n v="10752"/>
    <s v="CUST213"/>
    <d v="2025-03-18T00:00:00"/>
    <s v="Fashion"/>
    <x v="2"/>
    <n v="5"/>
    <n v="394.25"/>
    <n v="1971.25"/>
    <s v="Net Banking"/>
    <s v="Repeat Customer"/>
  </r>
  <r>
    <n v="10753"/>
    <s v="CUST142"/>
    <d v="2025-05-02T00:00:00"/>
    <s v="Sports"/>
    <x v="3"/>
    <n v="10"/>
    <n v="373.93"/>
    <n v="3739.3"/>
    <s v="Net Banking"/>
    <s v="Repeat Customer"/>
  </r>
  <r>
    <n v="10754"/>
    <s v="CUST143"/>
    <d v="2025-02-12T00:00:00"/>
    <s v="Fashion"/>
    <x v="2"/>
    <n v="9"/>
    <n v="220.07"/>
    <n v="1980.63"/>
    <s v="Wallet"/>
    <s v="Repeat Customer"/>
  </r>
  <r>
    <n v="10755"/>
    <s v="CUST386"/>
    <d v="2024-07-21T00:00:00"/>
    <s v="Sports"/>
    <x v="2"/>
    <n v="8"/>
    <n v="200.68"/>
    <n v="1605.44"/>
    <s v="UPI"/>
    <s v="Repeat Customer"/>
  </r>
  <r>
    <n v="10756"/>
    <s v="CUST224"/>
    <d v="2024-03-14T00:00:00"/>
    <s v="Home"/>
    <x v="0"/>
    <n v="5"/>
    <n v="389.5"/>
    <n v="1947.5"/>
    <s v="Credit Card"/>
    <s v="Repeat Customer"/>
  </r>
  <r>
    <n v="10757"/>
    <s v="CUST311"/>
    <d v="2025-03-09T00:00:00"/>
    <s v="Home"/>
    <x v="1"/>
    <n v="6"/>
    <n v="177.41"/>
    <n v="1064.46"/>
    <s v="Credit Card"/>
    <s v="Repeat Customer"/>
  </r>
  <r>
    <n v="10758"/>
    <s v="CUST256"/>
    <d v="2024-06-22T00:00:00"/>
    <s v="Beauty"/>
    <x v="2"/>
    <n v="6"/>
    <n v="310.02999999999997"/>
    <n v="1860.18"/>
    <s v="Wallet"/>
    <s v="Repeat Customer"/>
  </r>
  <r>
    <n v="10759"/>
    <s v="CUST122"/>
    <d v="2024-08-27T00:00:00"/>
    <s v="Fashion"/>
    <x v="0"/>
    <n v="4"/>
    <n v="344.25"/>
    <n v="1377"/>
    <s v="Credit Card"/>
    <s v="Repeat Customer"/>
  </r>
  <r>
    <n v="10760"/>
    <s v="CUST127"/>
    <d v="2024-09-05T00:00:00"/>
    <s v="Home"/>
    <x v="0"/>
    <n v="10"/>
    <n v="463.73"/>
    <n v="4637.3"/>
    <s v="Net Banking"/>
    <s v="Repeat Customer"/>
  </r>
  <r>
    <n v="10761"/>
    <s v="CUST156"/>
    <d v="2024-11-08T00:00:00"/>
    <s v="Home"/>
    <x v="2"/>
    <n v="8"/>
    <n v="238.24"/>
    <n v="1905.92"/>
    <s v="UPI"/>
    <s v="Repeat Customer"/>
  </r>
  <r>
    <n v="10762"/>
    <s v="CUST204"/>
    <d v="2025-07-13T00:00:00"/>
    <s v="Sports"/>
    <x v="3"/>
    <n v="9"/>
    <n v="376.43"/>
    <n v="3387.87"/>
    <s v="UPI"/>
    <s v="Repeat Customer"/>
  </r>
  <r>
    <n v="10763"/>
    <s v="CUST109"/>
    <d v="2025-01-20T00:00:00"/>
    <s v="Sports"/>
    <x v="0"/>
    <n v="10"/>
    <n v="453.49"/>
    <n v="4534.8999999999996"/>
    <s v="Net Banking"/>
    <s v="Repeat Customer"/>
  </r>
  <r>
    <n v="10764"/>
    <s v="CUST187"/>
    <d v="2024-03-02T00:00:00"/>
    <s v="Sports"/>
    <x v="1"/>
    <n v="5"/>
    <n v="104.34"/>
    <n v="521.70000000000005"/>
    <s v="Credit Card"/>
    <s v="Repeat Customer"/>
  </r>
  <r>
    <n v="10765"/>
    <s v="CUST338"/>
    <d v="2025-11-01T00:00:00"/>
    <s v="Home"/>
    <x v="1"/>
    <n v="1"/>
    <n v="37.97"/>
    <n v="37.97"/>
    <s v="Credit Card"/>
    <s v="Repeat Customer"/>
  </r>
  <r>
    <n v="10766"/>
    <s v="CUST109"/>
    <d v="2024-10-26T00:00:00"/>
    <s v="Beauty"/>
    <x v="0"/>
    <n v="7"/>
    <n v="119.43"/>
    <n v="836.01"/>
    <s v="Net Banking"/>
    <s v="Repeat Customer"/>
  </r>
  <r>
    <n v="10767"/>
    <s v="CUST348"/>
    <d v="2025-09-03T00:00:00"/>
    <s v="Fashion"/>
    <x v="3"/>
    <n v="9"/>
    <n v="48.57"/>
    <n v="437.13"/>
    <s v="Credit Card"/>
    <s v="Repeat Customer"/>
  </r>
  <r>
    <n v="10768"/>
    <s v="CUST120"/>
    <d v="2024-09-10T00:00:00"/>
    <s v="Beauty"/>
    <x v="3"/>
    <n v="9"/>
    <n v="155.94"/>
    <n v="1403.46"/>
    <s v="UPI"/>
    <s v="Repeat Customer"/>
  </r>
  <r>
    <n v="10769"/>
    <s v="CUST109"/>
    <d v="2024-12-21T00:00:00"/>
    <s v="Home"/>
    <x v="2"/>
    <n v="6"/>
    <n v="180.91"/>
    <n v="1085.46"/>
    <s v="Net Banking"/>
    <s v="Repeat Customer"/>
  </r>
  <r>
    <n v="10770"/>
    <s v="CUST131"/>
    <d v="2025-10-02T00:00:00"/>
    <s v="Electronics"/>
    <x v="1"/>
    <n v="5"/>
    <n v="439.95"/>
    <n v="2199.75"/>
    <s v="UPI"/>
    <s v="Repeat Customer"/>
  </r>
  <r>
    <n v="10771"/>
    <s v="CUST177"/>
    <d v="2024-12-15T00:00:00"/>
    <s v="Electronics"/>
    <x v="3"/>
    <n v="7"/>
    <n v="330.18"/>
    <n v="2311.2600000000002"/>
    <s v="UPI"/>
    <s v="Repeat Customer"/>
  </r>
  <r>
    <n v="10772"/>
    <s v="CUST313"/>
    <d v="2024-09-03T00:00:00"/>
    <s v="Home"/>
    <x v="1"/>
    <n v="10"/>
    <n v="80.61"/>
    <n v="806.1"/>
    <s v="Wallet"/>
    <s v="Repeat Customer"/>
  </r>
  <r>
    <n v="10773"/>
    <s v="CUST377"/>
    <d v="2024-05-14T00:00:00"/>
    <s v="Sports"/>
    <x v="2"/>
    <n v="4"/>
    <n v="327.97"/>
    <n v="1311.88"/>
    <s v="UPI"/>
    <s v="Repeat Customer"/>
  </r>
  <r>
    <n v="10774"/>
    <s v="CUST258"/>
    <d v="2025-12-06T00:00:00"/>
    <s v="Beauty"/>
    <x v="2"/>
    <n v="9"/>
    <n v="455.23"/>
    <n v="4097.07"/>
    <s v="UPI"/>
    <s v="Repeat Customer"/>
  </r>
  <r>
    <n v="10775"/>
    <s v="CUST262"/>
    <d v="2024-03-10T00:00:00"/>
    <s v="Electronics"/>
    <x v="2"/>
    <n v="9"/>
    <n v="268.82"/>
    <n v="2419.38"/>
    <s v="Net Banking"/>
    <s v="Repeat Customer"/>
  </r>
  <r>
    <n v="10776"/>
    <s v="CUST174"/>
    <d v="2024-01-31T00:00:00"/>
    <s v="Beauty"/>
    <x v="3"/>
    <n v="6"/>
    <n v="440.67"/>
    <n v="2644.02"/>
    <s v="Net Banking"/>
    <s v="Repeat Customer"/>
  </r>
  <r>
    <n v="10777"/>
    <s v="CUST326"/>
    <d v="2025-10-14T00:00:00"/>
    <s v="Fashion"/>
    <x v="0"/>
    <n v="5"/>
    <n v="80.22"/>
    <n v="401.1"/>
    <s v="UPI"/>
    <s v="Repeat Customer"/>
  </r>
  <r>
    <n v="10778"/>
    <s v="CUST194"/>
    <d v="2024-01-27T00:00:00"/>
    <s v="Sports"/>
    <x v="2"/>
    <n v="10"/>
    <n v="310.39"/>
    <n v="3103.9"/>
    <s v="UPI"/>
    <s v="Repeat Customer"/>
  </r>
  <r>
    <n v="10779"/>
    <s v="CUST218"/>
    <d v="2025-12-04T00:00:00"/>
    <s v="Beauty"/>
    <x v="2"/>
    <n v="1"/>
    <n v="182.83"/>
    <n v="182.83"/>
    <s v="Wallet"/>
    <s v="Repeat Customer"/>
  </r>
  <r>
    <n v="10780"/>
    <s v="CUST291"/>
    <d v="2024-07-07T00:00:00"/>
    <s v="Fashion"/>
    <x v="2"/>
    <n v="7"/>
    <n v="248.27"/>
    <n v="1737.89"/>
    <s v="UPI"/>
    <s v="Repeat Customer"/>
  </r>
  <r>
    <n v="10781"/>
    <s v="CUST215"/>
    <d v="2024-02-03T00:00:00"/>
    <s v="Electronics"/>
    <x v="1"/>
    <n v="7"/>
    <n v="383.45"/>
    <n v="2684.15"/>
    <s v="Wallet"/>
    <s v="Repeat Customer"/>
  </r>
  <r>
    <n v="10782"/>
    <s v="CUST213"/>
    <d v="2025-11-18T00:00:00"/>
    <s v="Electronics"/>
    <x v="2"/>
    <n v="4"/>
    <n v="380.1"/>
    <n v="1520.4"/>
    <s v="Wallet"/>
    <s v="Repeat Customer"/>
  </r>
  <r>
    <n v="10783"/>
    <s v="CUST350"/>
    <d v="2025-12-05T00:00:00"/>
    <s v="Fashion"/>
    <x v="3"/>
    <n v="6"/>
    <n v="434.05"/>
    <n v="2604.3000000000002"/>
    <s v="Wallet"/>
    <s v="Repeat Customer"/>
  </r>
  <r>
    <n v="10784"/>
    <s v="CUST121"/>
    <d v="2025-09-14T00:00:00"/>
    <s v="Beauty"/>
    <x v="0"/>
    <n v="7"/>
    <n v="361.5"/>
    <n v="2530.5"/>
    <s v="Credit Card"/>
    <s v="Repeat Customer"/>
  </r>
  <r>
    <n v="10785"/>
    <s v="CUST331"/>
    <d v="2025-04-12T00:00:00"/>
    <s v="Fashion"/>
    <x v="3"/>
    <n v="1"/>
    <n v="439.5"/>
    <n v="439.5"/>
    <s v="Credit Card"/>
    <s v="Repeat Customer"/>
  </r>
  <r>
    <n v="10786"/>
    <s v="CUST385"/>
    <d v="2025-01-31T00:00:00"/>
    <s v="Electronics"/>
    <x v="2"/>
    <n v="9"/>
    <n v="383.75"/>
    <n v="3453.75"/>
    <s v="Net Banking"/>
    <s v="Repeat Customer"/>
  </r>
  <r>
    <n v="10787"/>
    <s v="CUST325"/>
    <d v="2025-02-11T00:00:00"/>
    <s v="Home"/>
    <x v="3"/>
    <n v="5"/>
    <n v="387.97"/>
    <n v="1939.85"/>
    <s v="UPI"/>
    <s v="Repeat Customer"/>
  </r>
  <r>
    <n v="10788"/>
    <s v="CUST316"/>
    <d v="2024-10-28T00:00:00"/>
    <s v="Sports"/>
    <x v="2"/>
    <n v="10"/>
    <n v="459.92"/>
    <n v="4599.2"/>
    <s v="Wallet"/>
    <s v="Repeat Customer"/>
  </r>
  <r>
    <n v="10789"/>
    <s v="CUST331"/>
    <d v="2024-04-02T00:00:00"/>
    <s v="Sports"/>
    <x v="2"/>
    <n v="9"/>
    <n v="61.02"/>
    <n v="549.17999999999995"/>
    <s v="Wallet"/>
    <s v="Repeat Customer"/>
  </r>
  <r>
    <n v="10790"/>
    <s v="CUST311"/>
    <d v="2024-11-27T00:00:00"/>
    <s v="Beauty"/>
    <x v="2"/>
    <n v="8"/>
    <n v="17.329999999999998"/>
    <n v="138.63999999999999"/>
    <s v="Wallet"/>
    <s v="Repeat Customer"/>
  </r>
  <r>
    <n v="10791"/>
    <s v="CUST146"/>
    <d v="2024-09-13T00:00:00"/>
    <s v="Fashion"/>
    <x v="0"/>
    <n v="6"/>
    <n v="347.4"/>
    <n v="2084.4"/>
    <s v="Credit Card"/>
    <s v="Repeat Customer"/>
  </r>
  <r>
    <n v="10792"/>
    <s v="CUST158"/>
    <d v="2025-12-24T00:00:00"/>
    <s v="Electronics"/>
    <x v="3"/>
    <n v="8"/>
    <n v="318.87"/>
    <n v="2550.96"/>
    <s v="UPI"/>
    <s v="Repeat Customer"/>
  </r>
  <r>
    <n v="10793"/>
    <s v="CUST293"/>
    <d v="2025-07-17T00:00:00"/>
    <s v="Fashion"/>
    <x v="1"/>
    <n v="7"/>
    <n v="26.73"/>
    <n v="187.11"/>
    <s v="UPI"/>
    <s v="Repeat Customer"/>
  </r>
  <r>
    <n v="10794"/>
    <s v="CUST183"/>
    <d v="2024-05-28T00:00:00"/>
    <s v="Electronics"/>
    <x v="3"/>
    <n v="3"/>
    <n v="385.73"/>
    <n v="1157.19"/>
    <s v="Net Banking"/>
    <s v="Repeat Customer"/>
  </r>
  <r>
    <n v="10795"/>
    <s v="CUST258"/>
    <d v="2025-04-01T00:00:00"/>
    <s v="Electronics"/>
    <x v="2"/>
    <n v="5"/>
    <n v="315.08999999999997"/>
    <n v="1575.45"/>
    <s v="UPI"/>
    <s v="Repeat Customer"/>
  </r>
  <r>
    <n v="10796"/>
    <s v="CUST101"/>
    <d v="2025-09-29T00:00:00"/>
    <s v="Beauty"/>
    <x v="3"/>
    <n v="5"/>
    <n v="11.04"/>
    <n v="55.2"/>
    <s v="Credit Card"/>
    <s v="Repeat Customer"/>
  </r>
  <r>
    <n v="10797"/>
    <s v="CUST352"/>
    <d v="2024-08-31T00:00:00"/>
    <s v="Beauty"/>
    <x v="3"/>
    <n v="4"/>
    <n v="296.49"/>
    <n v="1185.96"/>
    <s v="Wallet"/>
    <s v="New Customer"/>
  </r>
  <r>
    <n v="10798"/>
    <s v="CUST326"/>
    <d v="2024-03-22T00:00:00"/>
    <s v="Fashion"/>
    <x v="1"/>
    <n v="10"/>
    <n v="302.05"/>
    <n v="3020.5"/>
    <s v="UPI"/>
    <s v="Repeat Customer"/>
  </r>
  <r>
    <n v="10799"/>
    <s v="CUST125"/>
    <d v="2024-07-08T00:00:00"/>
    <s v="Home"/>
    <x v="0"/>
    <n v="3"/>
    <n v="32.26"/>
    <n v="96.78"/>
    <s v="UPI"/>
    <s v="Repeat Customer"/>
  </r>
  <r>
    <n v="10800"/>
    <s v="CUST116"/>
    <d v="2025-11-14T00:00:00"/>
    <s v="Home"/>
    <x v="1"/>
    <n v="10"/>
    <n v="419.82"/>
    <n v="4198.2"/>
    <s v="Credit Card"/>
    <s v="Repeat Customer"/>
  </r>
  <r>
    <n v="10801"/>
    <s v="CUST125"/>
    <d v="2024-04-21T00:00:00"/>
    <s v="Fashion"/>
    <x v="1"/>
    <n v="7"/>
    <n v="496.9"/>
    <n v="3478.3"/>
    <s v="UPI"/>
    <s v="Repeat Customer"/>
  </r>
  <r>
    <n v="10802"/>
    <s v="CUST333"/>
    <d v="2025-08-15T00:00:00"/>
    <s v="Electronics"/>
    <x v="1"/>
    <n v="6"/>
    <n v="466.08"/>
    <n v="2796.48"/>
    <s v="Net Banking"/>
    <s v="Repeat Customer"/>
  </r>
  <r>
    <n v="10803"/>
    <s v="CUST288"/>
    <d v="2025-01-23T00:00:00"/>
    <s v="Sports"/>
    <x v="0"/>
    <n v="2"/>
    <n v="380.43"/>
    <n v="760.86"/>
    <s v="Net Banking"/>
    <s v="Repeat Customer"/>
  </r>
  <r>
    <n v="10804"/>
    <s v="CUST341"/>
    <d v="2024-05-17T00:00:00"/>
    <s v="Home"/>
    <x v="1"/>
    <n v="2"/>
    <n v="348.84"/>
    <n v="697.68"/>
    <s v="Wallet"/>
    <s v="Repeat Customer"/>
  </r>
  <r>
    <n v="10805"/>
    <s v="CUST368"/>
    <d v="2024-08-02T00:00:00"/>
    <s v="Electronics"/>
    <x v="0"/>
    <n v="4"/>
    <n v="307.97000000000003"/>
    <n v="1231.8800000000001"/>
    <s v="Wallet"/>
    <s v="Repeat Customer"/>
  </r>
  <r>
    <n v="10806"/>
    <s v="CUST247"/>
    <d v="2025-03-13T00:00:00"/>
    <s v="Home"/>
    <x v="1"/>
    <n v="10"/>
    <n v="424.66"/>
    <n v="4246.6000000000004"/>
    <s v="UPI"/>
    <s v="Repeat Customer"/>
  </r>
  <r>
    <n v="10807"/>
    <s v="CUST388"/>
    <d v="2025-05-23T00:00:00"/>
    <s v="Beauty"/>
    <x v="3"/>
    <n v="9"/>
    <n v="365.95"/>
    <n v="3293.55"/>
    <s v="UPI"/>
    <s v="Repeat Customer"/>
  </r>
  <r>
    <n v="10808"/>
    <s v="CUST219"/>
    <d v="2025-12-26T00:00:00"/>
    <s v="Electronics"/>
    <x v="0"/>
    <n v="5"/>
    <n v="489.73"/>
    <n v="2448.65"/>
    <s v="Credit Card"/>
    <s v="Repeat Customer"/>
  </r>
  <r>
    <n v="10809"/>
    <s v="CUST338"/>
    <d v="2025-10-02T00:00:00"/>
    <s v="Fashion"/>
    <x v="3"/>
    <n v="2"/>
    <n v="370.05"/>
    <n v="740.1"/>
    <s v="Wallet"/>
    <s v="Repeat Customer"/>
  </r>
  <r>
    <n v="10810"/>
    <s v="CUST123"/>
    <d v="2024-12-07T00:00:00"/>
    <s v="Fashion"/>
    <x v="0"/>
    <n v="6"/>
    <n v="282.41000000000003"/>
    <n v="1694.46"/>
    <s v="UPI"/>
    <s v="Repeat Customer"/>
  </r>
  <r>
    <n v="10811"/>
    <s v="CUST244"/>
    <d v="2024-09-17T00:00:00"/>
    <s v="Sports"/>
    <x v="1"/>
    <n v="2"/>
    <n v="157.35"/>
    <n v="314.7"/>
    <s v="Credit Card"/>
    <s v="Repeat Customer"/>
  </r>
  <r>
    <n v="10812"/>
    <s v="CUST158"/>
    <d v="2025-12-03T00:00:00"/>
    <s v="Sports"/>
    <x v="0"/>
    <n v="6"/>
    <n v="173.97"/>
    <n v="1043.82"/>
    <s v="UPI"/>
    <s v="Repeat Customer"/>
  </r>
  <r>
    <n v="10813"/>
    <s v="CUST199"/>
    <d v="2024-12-04T00:00:00"/>
    <s v="Beauty"/>
    <x v="3"/>
    <n v="6"/>
    <n v="461.53"/>
    <n v="2769.18"/>
    <s v="Credit Card"/>
    <s v="Repeat Customer"/>
  </r>
  <r>
    <n v="10814"/>
    <s v="CUST169"/>
    <d v="2025-05-08T00:00:00"/>
    <s v="Sports"/>
    <x v="1"/>
    <n v="3"/>
    <n v="315.45999999999998"/>
    <n v="946.38"/>
    <s v="Wallet"/>
    <s v="Repeat Customer"/>
  </r>
  <r>
    <n v="10815"/>
    <s v="CUST311"/>
    <d v="2024-02-27T00:00:00"/>
    <s v="Home"/>
    <x v="0"/>
    <n v="9"/>
    <n v="153.18"/>
    <n v="1378.62"/>
    <s v="UPI"/>
    <s v="Repeat Customer"/>
  </r>
  <r>
    <n v="10816"/>
    <s v="CUST395"/>
    <d v="2025-12-02T00:00:00"/>
    <s v="Home"/>
    <x v="0"/>
    <n v="6"/>
    <n v="400.77"/>
    <n v="2404.62"/>
    <s v="UPI"/>
    <s v="Repeat Customer"/>
  </r>
  <r>
    <n v="10817"/>
    <s v="CUST243"/>
    <d v="2024-02-01T00:00:00"/>
    <s v="Sports"/>
    <x v="2"/>
    <n v="6"/>
    <n v="491.89"/>
    <n v="2951.34"/>
    <s v="Wallet"/>
    <s v="Repeat Customer"/>
  </r>
  <r>
    <n v="10818"/>
    <s v="CUST195"/>
    <d v="2025-09-01T00:00:00"/>
    <s v="Home"/>
    <x v="1"/>
    <n v="2"/>
    <n v="432.97"/>
    <n v="865.94"/>
    <s v="Credit Card"/>
    <s v="Repeat Customer"/>
  </r>
  <r>
    <n v="10819"/>
    <s v="CUST239"/>
    <d v="2025-02-27T00:00:00"/>
    <s v="Fashion"/>
    <x v="1"/>
    <n v="2"/>
    <n v="251.04"/>
    <n v="502.08"/>
    <s v="Wallet"/>
    <s v="Repeat Customer"/>
  </r>
  <r>
    <n v="10820"/>
    <s v="CUST254"/>
    <d v="2024-08-09T00:00:00"/>
    <s v="Electronics"/>
    <x v="1"/>
    <n v="9"/>
    <n v="154.65"/>
    <n v="1391.85"/>
    <s v="Credit Card"/>
    <s v="Repeat Customer"/>
  </r>
  <r>
    <n v="10821"/>
    <s v="CUST203"/>
    <d v="2024-04-04T00:00:00"/>
    <s v="Beauty"/>
    <x v="2"/>
    <n v="8"/>
    <n v="255.47"/>
    <n v="2043.76"/>
    <s v="UPI"/>
    <s v="Repeat Customer"/>
  </r>
  <r>
    <n v="10822"/>
    <s v="CUST274"/>
    <d v="2025-05-10T00:00:00"/>
    <s v="Home"/>
    <x v="2"/>
    <n v="9"/>
    <n v="158.63"/>
    <n v="1427.67"/>
    <s v="Credit Card"/>
    <s v="Repeat Customer"/>
  </r>
  <r>
    <n v="10823"/>
    <s v="CUST364"/>
    <d v="2025-11-23T00:00:00"/>
    <s v="Electronics"/>
    <x v="3"/>
    <n v="3"/>
    <n v="106.57"/>
    <n v="319.70999999999998"/>
    <s v="Wallet"/>
    <s v="Repeat Customer"/>
  </r>
  <r>
    <n v="10824"/>
    <s v="CUST367"/>
    <d v="2024-04-28T00:00:00"/>
    <s v="Electronics"/>
    <x v="0"/>
    <n v="1"/>
    <n v="158.94"/>
    <n v="158.94"/>
    <s v="Net Banking"/>
    <s v="Repeat Customer"/>
  </r>
  <r>
    <n v="10825"/>
    <s v="CUST339"/>
    <d v="2024-02-17T00:00:00"/>
    <s v="Home"/>
    <x v="0"/>
    <n v="2"/>
    <n v="262.69"/>
    <n v="525.38"/>
    <s v="Net Banking"/>
    <s v="Repeat Customer"/>
  </r>
  <r>
    <n v="10826"/>
    <s v="CUST207"/>
    <d v="2024-11-24T00:00:00"/>
    <s v="Home"/>
    <x v="1"/>
    <n v="4"/>
    <n v="100.31"/>
    <n v="401.24"/>
    <s v="Wallet"/>
    <s v="Repeat Customer"/>
  </r>
  <r>
    <n v="10827"/>
    <s v="CUST160"/>
    <d v="2024-10-06T00:00:00"/>
    <s v="Electronics"/>
    <x v="0"/>
    <n v="3"/>
    <n v="82.96"/>
    <n v="248.88"/>
    <s v="Credit Card"/>
    <s v="Repeat Customer"/>
  </r>
  <r>
    <n v="10828"/>
    <s v="CUST205"/>
    <d v="2025-07-09T00:00:00"/>
    <s v="Home"/>
    <x v="2"/>
    <n v="6"/>
    <n v="276.94"/>
    <n v="1661.64"/>
    <s v="Net Banking"/>
    <s v="Repeat Customer"/>
  </r>
  <r>
    <n v="10829"/>
    <s v="CUST393"/>
    <d v="2024-09-07T00:00:00"/>
    <s v="Sports"/>
    <x v="1"/>
    <n v="3"/>
    <n v="40.270000000000003"/>
    <n v="120.81"/>
    <s v="Wallet"/>
    <s v="Repeat Customer"/>
  </r>
  <r>
    <n v="10830"/>
    <s v="CUST125"/>
    <d v="2024-05-13T00:00:00"/>
    <s v="Electronics"/>
    <x v="0"/>
    <n v="1"/>
    <n v="238.01"/>
    <n v="238.01"/>
    <s v="Wallet"/>
    <s v="Repeat Customer"/>
  </r>
  <r>
    <n v="10831"/>
    <s v="CUST127"/>
    <d v="2024-03-29T00:00:00"/>
    <s v="Sports"/>
    <x v="3"/>
    <n v="7"/>
    <n v="199"/>
    <n v="1393"/>
    <s v="Net Banking"/>
    <s v="Repeat Customer"/>
  </r>
  <r>
    <n v="10832"/>
    <s v="CUST259"/>
    <d v="2024-12-06T00:00:00"/>
    <s v="Sports"/>
    <x v="0"/>
    <n v="4"/>
    <n v="357.88"/>
    <n v="1431.52"/>
    <s v="Wallet"/>
    <s v="Repeat Customer"/>
  </r>
  <r>
    <n v="10833"/>
    <s v="CUST390"/>
    <d v="2024-05-14T00:00:00"/>
    <s v="Beauty"/>
    <x v="0"/>
    <n v="2"/>
    <n v="407.36"/>
    <n v="814.72"/>
    <s v="Wallet"/>
    <s v="Repeat Customer"/>
  </r>
  <r>
    <n v="10834"/>
    <s v="CUST258"/>
    <d v="2025-12-01T00:00:00"/>
    <s v="Fashion"/>
    <x v="2"/>
    <n v="8"/>
    <n v="237.92"/>
    <n v="1903.36"/>
    <s v="Net Banking"/>
    <s v="Repeat Customer"/>
  </r>
  <r>
    <n v="10835"/>
    <s v="CUST286"/>
    <d v="2025-02-05T00:00:00"/>
    <s v="Home"/>
    <x v="1"/>
    <n v="3"/>
    <n v="351.31"/>
    <n v="1053.93"/>
    <s v="Wallet"/>
    <s v="Repeat Customer"/>
  </r>
  <r>
    <n v="10836"/>
    <s v="CUST349"/>
    <d v="2024-01-31T00:00:00"/>
    <s v="Home"/>
    <x v="3"/>
    <n v="2"/>
    <n v="240.29"/>
    <n v="480.58"/>
    <s v="Wallet"/>
    <s v="Repeat Customer"/>
  </r>
  <r>
    <n v="10837"/>
    <s v="CUST187"/>
    <d v="2024-10-16T00:00:00"/>
    <s v="Fashion"/>
    <x v="0"/>
    <n v="6"/>
    <n v="304.2"/>
    <n v="1825.2"/>
    <s v="Wallet"/>
    <s v="Repeat Customer"/>
  </r>
  <r>
    <n v="10838"/>
    <s v="CUST154"/>
    <d v="2024-11-29T00:00:00"/>
    <s v="Home"/>
    <x v="3"/>
    <n v="9"/>
    <n v="326.48"/>
    <n v="2938.32"/>
    <s v="Wallet"/>
    <s v="Repeat Customer"/>
  </r>
  <r>
    <n v="10839"/>
    <s v="CUST311"/>
    <d v="2024-09-01T00:00:00"/>
    <s v="Fashion"/>
    <x v="3"/>
    <n v="10"/>
    <n v="125.63"/>
    <n v="1256.3"/>
    <s v="Wallet"/>
    <s v="Repeat Customer"/>
  </r>
  <r>
    <n v="10840"/>
    <s v="CUST133"/>
    <d v="2024-12-14T00:00:00"/>
    <s v="Sports"/>
    <x v="3"/>
    <n v="4"/>
    <n v="407.89"/>
    <n v="1631.56"/>
    <s v="Wallet"/>
    <s v="Repeat Customer"/>
  </r>
  <r>
    <n v="10841"/>
    <s v="CUST390"/>
    <d v="2024-12-16T00:00:00"/>
    <s v="Fashion"/>
    <x v="0"/>
    <n v="9"/>
    <n v="348.6"/>
    <n v="3137.4"/>
    <s v="Wallet"/>
    <s v="Repeat Customer"/>
  </r>
  <r>
    <n v="10842"/>
    <s v="CUST158"/>
    <d v="2025-08-29T00:00:00"/>
    <s v="Sports"/>
    <x v="0"/>
    <n v="10"/>
    <n v="234.14"/>
    <n v="2341.4"/>
    <s v="Wallet"/>
    <s v="Repeat Customer"/>
  </r>
  <r>
    <n v="10843"/>
    <s v="CUST190"/>
    <d v="2024-11-11T00:00:00"/>
    <s v="Electronics"/>
    <x v="3"/>
    <n v="7"/>
    <n v="39.46"/>
    <n v="276.22000000000003"/>
    <s v="Net Banking"/>
    <s v="Repeat Customer"/>
  </r>
  <r>
    <n v="10844"/>
    <s v="CUST353"/>
    <d v="2025-10-22T00:00:00"/>
    <s v="Fashion"/>
    <x v="0"/>
    <n v="1"/>
    <n v="49.81"/>
    <n v="49.81"/>
    <s v="UPI"/>
    <s v="New Customer"/>
  </r>
  <r>
    <n v="10845"/>
    <s v="CUST176"/>
    <d v="2025-04-08T00:00:00"/>
    <s v="Sports"/>
    <x v="3"/>
    <n v="9"/>
    <n v="149.29"/>
    <n v="1343.61"/>
    <s v="UPI"/>
    <s v="Repeat Customer"/>
  </r>
  <r>
    <n v="10846"/>
    <s v="CUST205"/>
    <d v="2025-11-28T00:00:00"/>
    <s v="Home"/>
    <x v="3"/>
    <n v="6"/>
    <n v="153.37"/>
    <n v="920.22"/>
    <s v="Net Banking"/>
    <s v="Repeat Customer"/>
  </r>
  <r>
    <n v="10847"/>
    <s v="CUST145"/>
    <d v="2025-08-19T00:00:00"/>
    <s v="Sports"/>
    <x v="3"/>
    <n v="1"/>
    <n v="307.69"/>
    <n v="307.69"/>
    <s v="UPI"/>
    <s v="Repeat Customer"/>
  </r>
  <r>
    <n v="10848"/>
    <s v="CUST250"/>
    <d v="2024-03-04T00:00:00"/>
    <s v="Electronics"/>
    <x v="0"/>
    <n v="6"/>
    <n v="451.03"/>
    <n v="2706.18"/>
    <s v="Net Banking"/>
    <s v="Repeat Customer"/>
  </r>
  <r>
    <n v="10849"/>
    <s v="CUST156"/>
    <d v="2024-10-15T00:00:00"/>
    <s v="Sports"/>
    <x v="3"/>
    <n v="1"/>
    <n v="121.44"/>
    <n v="121.44"/>
    <s v="Net Banking"/>
    <s v="Repeat Customer"/>
  </r>
  <r>
    <n v="10850"/>
    <s v="CUST295"/>
    <d v="2025-02-19T00:00:00"/>
    <s v="Fashion"/>
    <x v="2"/>
    <n v="7"/>
    <n v="220.42"/>
    <n v="1542.94"/>
    <s v="Wallet"/>
    <s v="Repeat Customer"/>
  </r>
  <r>
    <n v="10851"/>
    <s v="CUST171"/>
    <d v="2024-07-11T00:00:00"/>
    <s v="Home"/>
    <x v="3"/>
    <n v="9"/>
    <n v="195.37"/>
    <n v="1758.33"/>
    <s v="UPI"/>
    <s v="Repeat Customer"/>
  </r>
  <r>
    <n v="10852"/>
    <s v="CUST247"/>
    <d v="2025-11-17T00:00:00"/>
    <s v="Electronics"/>
    <x v="0"/>
    <n v="3"/>
    <n v="71.47"/>
    <n v="214.41"/>
    <s v="UPI"/>
    <s v="Repeat Customer"/>
  </r>
  <r>
    <n v="10853"/>
    <s v="CUST349"/>
    <d v="2025-11-04T00:00:00"/>
    <s v="Fashion"/>
    <x v="0"/>
    <n v="7"/>
    <n v="487.61"/>
    <n v="3413.27"/>
    <s v="UPI"/>
    <s v="Repeat Customer"/>
  </r>
  <r>
    <n v="10854"/>
    <s v="CUST312"/>
    <d v="2025-04-11T00:00:00"/>
    <s v="Sports"/>
    <x v="2"/>
    <n v="10"/>
    <n v="465.5"/>
    <n v="4655"/>
    <s v="Wallet"/>
    <s v="Repeat Customer"/>
  </r>
  <r>
    <n v="10855"/>
    <s v="CUST360"/>
    <d v="2025-03-10T00:00:00"/>
    <s v="Beauty"/>
    <x v="1"/>
    <n v="9"/>
    <n v="410.94"/>
    <n v="3698.46"/>
    <s v="UPI"/>
    <s v="Repeat Customer"/>
  </r>
  <r>
    <n v="10856"/>
    <s v="CUST195"/>
    <d v="2025-03-10T00:00:00"/>
    <s v="Beauty"/>
    <x v="2"/>
    <n v="10"/>
    <n v="8.68"/>
    <n v="86.8"/>
    <s v="Net Banking"/>
    <s v="Repeat Customer"/>
  </r>
  <r>
    <n v="10857"/>
    <s v="CUST310"/>
    <d v="2025-07-13T00:00:00"/>
    <s v="Electronics"/>
    <x v="3"/>
    <n v="10"/>
    <n v="186.65"/>
    <n v="1866.5"/>
    <s v="Net Banking"/>
    <s v="Repeat Customer"/>
  </r>
  <r>
    <n v="10858"/>
    <s v="CUST157"/>
    <d v="2025-08-17T00:00:00"/>
    <s v="Electronics"/>
    <x v="2"/>
    <n v="8"/>
    <n v="481.06"/>
    <n v="3848.48"/>
    <s v="Net Banking"/>
    <s v="Repeat Customer"/>
  </r>
  <r>
    <n v="10859"/>
    <s v="CUST338"/>
    <d v="2025-06-13T00:00:00"/>
    <s v="Sports"/>
    <x v="0"/>
    <n v="2"/>
    <n v="264.06"/>
    <n v="528.12"/>
    <s v="UPI"/>
    <s v="Repeat Customer"/>
  </r>
  <r>
    <n v="10860"/>
    <s v="CUST341"/>
    <d v="2025-10-07T00:00:00"/>
    <s v="Sports"/>
    <x v="1"/>
    <n v="2"/>
    <n v="343.62"/>
    <n v="687.24"/>
    <s v="Credit Card"/>
    <s v="Repeat Customer"/>
  </r>
  <r>
    <n v="10861"/>
    <s v="CUST275"/>
    <d v="2025-07-01T00:00:00"/>
    <s v="Sports"/>
    <x v="3"/>
    <n v="1"/>
    <n v="237.09"/>
    <n v="237.09"/>
    <s v="Net Banking"/>
    <s v="Repeat Customer"/>
  </r>
  <r>
    <n v="10862"/>
    <s v="CUST315"/>
    <d v="2024-12-27T00:00:00"/>
    <s v="Electronics"/>
    <x v="1"/>
    <n v="5"/>
    <n v="148.16"/>
    <n v="740.8"/>
    <s v="Net Banking"/>
    <s v="Repeat Customer"/>
  </r>
  <r>
    <n v="10863"/>
    <s v="CUST131"/>
    <d v="2025-10-06T00:00:00"/>
    <s v="Sports"/>
    <x v="0"/>
    <n v="8"/>
    <n v="291.18"/>
    <n v="2329.44"/>
    <s v="Net Banking"/>
    <s v="Repeat Customer"/>
  </r>
  <r>
    <n v="10864"/>
    <s v="CUST113"/>
    <d v="2024-10-20T00:00:00"/>
    <s v="Sports"/>
    <x v="0"/>
    <n v="8"/>
    <n v="45.84"/>
    <n v="366.72"/>
    <s v="Net Banking"/>
    <s v="Repeat Customer"/>
  </r>
  <r>
    <n v="10865"/>
    <s v="CUST229"/>
    <d v="2024-05-15T00:00:00"/>
    <s v="Home"/>
    <x v="0"/>
    <n v="10"/>
    <n v="144.08000000000001"/>
    <n v="1440.8"/>
    <s v="Credit Card"/>
    <s v="Repeat Customer"/>
  </r>
  <r>
    <n v="10866"/>
    <s v="CUST189"/>
    <d v="2025-08-28T00:00:00"/>
    <s v="Home"/>
    <x v="2"/>
    <n v="3"/>
    <n v="331.28"/>
    <n v="993.84"/>
    <s v="Net Banking"/>
    <s v="Repeat Customer"/>
  </r>
  <r>
    <n v="10867"/>
    <s v="CUST220"/>
    <d v="2025-05-11T00:00:00"/>
    <s v="Electronics"/>
    <x v="1"/>
    <n v="3"/>
    <n v="400.69"/>
    <n v="1202.07"/>
    <s v="Credit Card"/>
    <s v="Repeat Customer"/>
  </r>
  <r>
    <n v="10868"/>
    <s v="CUST174"/>
    <d v="2025-09-01T00:00:00"/>
    <s v="Beauty"/>
    <x v="3"/>
    <n v="3"/>
    <n v="419.62"/>
    <n v="1258.8599999999999"/>
    <s v="UPI"/>
    <s v="Repeat Customer"/>
  </r>
  <r>
    <n v="10869"/>
    <s v="CUST325"/>
    <d v="2025-10-14T00:00:00"/>
    <s v="Home"/>
    <x v="0"/>
    <n v="3"/>
    <n v="109.37"/>
    <n v="328.11"/>
    <s v="Net Banking"/>
    <s v="Repeat Customer"/>
  </r>
  <r>
    <n v="10870"/>
    <s v="CUST159"/>
    <d v="2024-02-23T00:00:00"/>
    <s v="Beauty"/>
    <x v="1"/>
    <n v="3"/>
    <n v="234.69"/>
    <n v="704.07"/>
    <s v="Wallet"/>
    <s v="Repeat Customer"/>
  </r>
  <r>
    <n v="10871"/>
    <s v="CUST372"/>
    <d v="2024-08-27T00:00:00"/>
    <s v="Beauty"/>
    <x v="3"/>
    <n v="7"/>
    <n v="343.34"/>
    <n v="2403.38"/>
    <s v="Net Banking"/>
    <s v="Repeat Customer"/>
  </r>
  <r>
    <n v="10872"/>
    <s v="CUST174"/>
    <d v="2025-06-27T00:00:00"/>
    <s v="Beauty"/>
    <x v="3"/>
    <n v="7"/>
    <n v="10.87"/>
    <n v="76.09"/>
    <s v="Net Banking"/>
    <s v="Repeat Customer"/>
  </r>
  <r>
    <n v="10873"/>
    <s v="CUST371"/>
    <d v="2025-11-30T00:00:00"/>
    <s v="Sports"/>
    <x v="1"/>
    <n v="1"/>
    <n v="53.2"/>
    <n v="53.2"/>
    <s v="Wallet"/>
    <s v="Repeat Customer"/>
  </r>
  <r>
    <n v="10874"/>
    <s v="CUST239"/>
    <d v="2024-12-09T00:00:00"/>
    <s v="Electronics"/>
    <x v="1"/>
    <n v="5"/>
    <n v="137.21"/>
    <n v="686.05"/>
    <s v="Wallet"/>
    <s v="Repeat Customer"/>
  </r>
  <r>
    <n v="10875"/>
    <s v="CUST336"/>
    <d v="2025-11-22T00:00:00"/>
    <s v="Sports"/>
    <x v="2"/>
    <n v="4"/>
    <n v="368.49"/>
    <n v="1473.96"/>
    <s v="Net Banking"/>
    <s v="Repeat Customer"/>
  </r>
  <r>
    <n v="10876"/>
    <s v="CUST192"/>
    <d v="2024-11-16T00:00:00"/>
    <s v="Electronics"/>
    <x v="0"/>
    <n v="9"/>
    <n v="10.24"/>
    <n v="92.16"/>
    <s v="Credit Card"/>
    <s v="Repeat Customer"/>
  </r>
  <r>
    <n v="10877"/>
    <s v="CUST310"/>
    <d v="2024-04-10T00:00:00"/>
    <s v="Beauty"/>
    <x v="1"/>
    <n v="9"/>
    <n v="56.43"/>
    <n v="507.87"/>
    <s v="UPI"/>
    <s v="Repeat Customer"/>
  </r>
  <r>
    <n v="10878"/>
    <s v="CUST245"/>
    <d v="2024-09-14T00:00:00"/>
    <s v="Sports"/>
    <x v="0"/>
    <n v="4"/>
    <n v="21.85"/>
    <n v="87.4"/>
    <s v="Credit Card"/>
    <s v="Repeat Customer"/>
  </r>
  <r>
    <n v="10879"/>
    <s v="CUST211"/>
    <d v="2025-09-05T00:00:00"/>
    <s v="Electronics"/>
    <x v="0"/>
    <n v="2"/>
    <n v="355.5"/>
    <n v="711"/>
    <s v="UPI"/>
    <s v="Repeat Customer"/>
  </r>
  <r>
    <n v="10880"/>
    <s v="CUST292"/>
    <d v="2025-11-03T00:00:00"/>
    <s v="Fashion"/>
    <x v="0"/>
    <n v="10"/>
    <n v="402.58"/>
    <n v="4025.8"/>
    <s v="UPI"/>
    <s v="Repeat Customer"/>
  </r>
  <r>
    <n v="10881"/>
    <s v="CUST229"/>
    <d v="2024-10-28T00:00:00"/>
    <s v="Electronics"/>
    <x v="3"/>
    <n v="8"/>
    <n v="331.94"/>
    <n v="2655.52"/>
    <s v="Net Banking"/>
    <s v="Repeat Customer"/>
  </r>
  <r>
    <n v="10882"/>
    <s v="CUST318"/>
    <d v="2025-12-09T00:00:00"/>
    <s v="Electronics"/>
    <x v="1"/>
    <n v="6"/>
    <n v="132.38"/>
    <n v="794.28"/>
    <s v="Credit Card"/>
    <s v="Repeat Customer"/>
  </r>
  <r>
    <n v="10883"/>
    <s v="CUST295"/>
    <d v="2025-02-01T00:00:00"/>
    <s v="Home"/>
    <x v="1"/>
    <n v="6"/>
    <n v="498"/>
    <n v="2988"/>
    <s v="UPI"/>
    <s v="Repeat Customer"/>
  </r>
  <r>
    <n v="10884"/>
    <s v="CUST325"/>
    <d v="2024-03-12T00:00:00"/>
    <s v="Fashion"/>
    <x v="3"/>
    <n v="8"/>
    <n v="489.81"/>
    <n v="3918.48"/>
    <s v="UPI"/>
    <s v="Repeat Customer"/>
  </r>
  <r>
    <n v="10885"/>
    <s v="CUST351"/>
    <d v="2024-04-21T00:00:00"/>
    <s v="Beauty"/>
    <x v="2"/>
    <n v="3"/>
    <n v="272.61"/>
    <n v="817.83"/>
    <s v="Credit Card"/>
    <s v="Repeat Customer"/>
  </r>
  <r>
    <n v="10886"/>
    <s v="CUST326"/>
    <d v="2024-09-22T00:00:00"/>
    <s v="Electronics"/>
    <x v="1"/>
    <n v="2"/>
    <n v="22.26"/>
    <n v="44.52"/>
    <s v="Wallet"/>
    <s v="Repeat Customer"/>
  </r>
  <r>
    <n v="10887"/>
    <s v="CUST109"/>
    <d v="2025-05-24T00:00:00"/>
    <s v="Electronics"/>
    <x v="0"/>
    <n v="3"/>
    <n v="328.17"/>
    <n v="984.51"/>
    <s v="Wallet"/>
    <s v="Repeat Customer"/>
  </r>
  <r>
    <n v="10888"/>
    <s v="CUST236"/>
    <d v="2024-06-04T00:00:00"/>
    <s v="Sports"/>
    <x v="0"/>
    <n v="6"/>
    <n v="452.79"/>
    <n v="2716.74"/>
    <s v="Wallet"/>
    <s v="Repeat Customer"/>
  </r>
  <r>
    <n v="10889"/>
    <s v="CUST344"/>
    <d v="2025-03-22T00:00:00"/>
    <s v="Electronics"/>
    <x v="2"/>
    <n v="7"/>
    <n v="422.8"/>
    <n v="2959.6"/>
    <s v="Credit Card"/>
    <s v="Repeat Customer"/>
  </r>
  <r>
    <n v="10890"/>
    <s v="CUST296"/>
    <d v="2025-12-06T00:00:00"/>
    <s v="Sports"/>
    <x v="1"/>
    <n v="8"/>
    <n v="65"/>
    <n v="520"/>
    <s v="Net Banking"/>
    <s v="Repeat Customer"/>
  </r>
  <r>
    <n v="10891"/>
    <s v="CUST255"/>
    <d v="2025-02-14T00:00:00"/>
    <s v="Electronics"/>
    <x v="1"/>
    <n v="1"/>
    <n v="317.97000000000003"/>
    <n v="317.97000000000003"/>
    <s v="Net Banking"/>
    <s v="Repeat Customer"/>
  </r>
  <r>
    <n v="10892"/>
    <s v="CUST141"/>
    <d v="2025-04-15T00:00:00"/>
    <s v="Fashion"/>
    <x v="0"/>
    <n v="5"/>
    <n v="325.66000000000003"/>
    <n v="1628.3"/>
    <s v="Wallet"/>
    <s v="Repeat Customer"/>
  </r>
  <r>
    <n v="10893"/>
    <s v="CUST197"/>
    <d v="2024-11-02T00:00:00"/>
    <s v="Home"/>
    <x v="3"/>
    <n v="7"/>
    <n v="448.75"/>
    <n v="3141.25"/>
    <s v="Credit Card"/>
    <s v="Repeat Customer"/>
  </r>
  <r>
    <n v="10894"/>
    <s v="CUST324"/>
    <d v="2024-07-13T00:00:00"/>
    <s v="Electronics"/>
    <x v="2"/>
    <n v="3"/>
    <n v="22.67"/>
    <n v="68.010000000000005"/>
    <s v="Wallet"/>
    <s v="Repeat Customer"/>
  </r>
  <r>
    <n v="10895"/>
    <s v="CUST299"/>
    <d v="2024-03-05T00:00:00"/>
    <s v="Beauty"/>
    <x v="3"/>
    <n v="9"/>
    <n v="323.49"/>
    <n v="2911.41"/>
    <s v="Credit Card"/>
    <s v="Repeat Customer"/>
  </r>
  <r>
    <n v="10896"/>
    <s v="CUST118"/>
    <d v="2024-12-13T00:00:00"/>
    <s v="Electronics"/>
    <x v="3"/>
    <n v="1"/>
    <n v="172.17"/>
    <n v="172.17"/>
    <s v="Credit Card"/>
    <s v="Repeat Customer"/>
  </r>
  <r>
    <n v="10897"/>
    <s v="CUST208"/>
    <d v="2025-10-31T00:00:00"/>
    <s v="Sports"/>
    <x v="2"/>
    <n v="9"/>
    <n v="231.89"/>
    <n v="2087.0100000000002"/>
    <s v="UPI"/>
    <s v="Repeat Customer"/>
  </r>
  <r>
    <n v="10898"/>
    <s v="CUST136"/>
    <d v="2024-02-07T00:00:00"/>
    <s v="Electronics"/>
    <x v="3"/>
    <n v="3"/>
    <n v="247"/>
    <n v="741"/>
    <s v="Credit Card"/>
    <s v="Repeat Customer"/>
  </r>
  <r>
    <n v="10899"/>
    <s v="CUST224"/>
    <d v="2025-12-19T00:00:00"/>
    <s v="Electronics"/>
    <x v="1"/>
    <n v="3"/>
    <n v="12.11"/>
    <n v="36.33"/>
    <s v="Credit Card"/>
    <s v="Repeat Customer"/>
  </r>
  <r>
    <n v="10900"/>
    <s v="CUST333"/>
    <d v="2025-09-17T00:00:00"/>
    <s v="Electronics"/>
    <x v="0"/>
    <n v="3"/>
    <n v="418.5"/>
    <n v="1255.5"/>
    <s v="Credit Card"/>
    <s v="Repeat Customer"/>
  </r>
  <r>
    <n v="10901"/>
    <s v="CUST354"/>
    <d v="2025-09-01T00:00:00"/>
    <s v="Fashion"/>
    <x v="3"/>
    <n v="10"/>
    <n v="114.18"/>
    <n v="1141.8"/>
    <s v="Net Banking"/>
    <s v="Repeat Customer"/>
  </r>
  <r>
    <n v="10902"/>
    <s v="CUST305"/>
    <d v="2024-11-28T00:00:00"/>
    <s v="Sports"/>
    <x v="2"/>
    <n v="2"/>
    <n v="488.05"/>
    <n v="976.1"/>
    <s v="Net Banking"/>
    <s v="Repeat Customer"/>
  </r>
  <r>
    <n v="10903"/>
    <s v="CUST209"/>
    <d v="2024-02-16T00:00:00"/>
    <s v="Electronics"/>
    <x v="0"/>
    <n v="10"/>
    <n v="90.86"/>
    <n v="908.6"/>
    <s v="Net Banking"/>
    <s v="Repeat Customer"/>
  </r>
  <r>
    <n v="10904"/>
    <s v="CUST172"/>
    <d v="2025-03-01T00:00:00"/>
    <s v="Sports"/>
    <x v="2"/>
    <n v="3"/>
    <n v="349.67"/>
    <n v="1049.01"/>
    <s v="Wallet"/>
    <s v="Repeat Customer"/>
  </r>
  <r>
    <n v="10905"/>
    <s v="CUST224"/>
    <d v="2025-08-18T00:00:00"/>
    <s v="Sports"/>
    <x v="3"/>
    <n v="1"/>
    <n v="71.02"/>
    <n v="71.02"/>
    <s v="UPI"/>
    <s v="Repeat Customer"/>
  </r>
  <r>
    <n v="10906"/>
    <s v="CUST108"/>
    <d v="2025-05-13T00:00:00"/>
    <s v="Fashion"/>
    <x v="0"/>
    <n v="2"/>
    <n v="8.14"/>
    <n v="16.28"/>
    <s v="Net Banking"/>
    <s v="Repeat Customer"/>
  </r>
  <r>
    <n v="10907"/>
    <s v="CUST313"/>
    <d v="2025-12-11T00:00:00"/>
    <s v="Fashion"/>
    <x v="2"/>
    <n v="8"/>
    <n v="347.72"/>
    <n v="2781.76"/>
    <s v="Net Banking"/>
    <s v="Repeat Customer"/>
  </r>
  <r>
    <n v="10908"/>
    <s v="CUST367"/>
    <d v="2025-04-06T00:00:00"/>
    <s v="Fashion"/>
    <x v="0"/>
    <n v="7"/>
    <n v="123.43"/>
    <n v="864.01"/>
    <s v="UPI"/>
    <s v="Repeat Customer"/>
  </r>
  <r>
    <n v="10909"/>
    <s v="CUST355"/>
    <d v="2025-09-18T00:00:00"/>
    <s v="Home"/>
    <x v="1"/>
    <n v="2"/>
    <n v="315.45999999999998"/>
    <n v="630.91999999999996"/>
    <s v="Wallet"/>
    <s v="Repeat Customer"/>
  </r>
  <r>
    <n v="10910"/>
    <s v="CUST102"/>
    <d v="2025-07-25T00:00:00"/>
    <s v="Sports"/>
    <x v="0"/>
    <n v="4"/>
    <n v="99.99"/>
    <n v="399.96"/>
    <s v="Net Banking"/>
    <s v="Repeat Customer"/>
  </r>
  <r>
    <n v="10911"/>
    <s v="CUST376"/>
    <d v="2025-06-03T00:00:00"/>
    <s v="Fashion"/>
    <x v="1"/>
    <n v="4"/>
    <n v="234.79"/>
    <n v="939.16"/>
    <s v="Credit Card"/>
    <s v="Repeat Customer"/>
  </r>
  <r>
    <n v="10912"/>
    <s v="CUST199"/>
    <d v="2024-04-25T00:00:00"/>
    <s v="Beauty"/>
    <x v="3"/>
    <n v="3"/>
    <n v="344.2"/>
    <n v="1032.5999999999999"/>
    <s v="UPI"/>
    <s v="Repeat Customer"/>
  </r>
  <r>
    <n v="10913"/>
    <s v="CUST181"/>
    <d v="2025-11-17T00:00:00"/>
    <s v="Home"/>
    <x v="1"/>
    <n v="1"/>
    <n v="31.74"/>
    <n v="31.74"/>
    <s v="UPI"/>
    <s v="Repeat Customer"/>
  </r>
  <r>
    <n v="10914"/>
    <s v="CUST322"/>
    <d v="2024-09-14T00:00:00"/>
    <s v="Beauty"/>
    <x v="0"/>
    <n v="6"/>
    <n v="310.33"/>
    <n v="1861.98"/>
    <s v="Credit Card"/>
    <s v="Repeat Customer"/>
  </r>
  <r>
    <n v="10915"/>
    <s v="CUST126"/>
    <d v="2025-07-04T00:00:00"/>
    <s v="Electronics"/>
    <x v="3"/>
    <n v="3"/>
    <n v="83.23"/>
    <n v="249.69"/>
    <s v="Credit Card"/>
    <s v="Repeat Customer"/>
  </r>
  <r>
    <n v="10916"/>
    <s v="CUST136"/>
    <d v="2024-08-28T00:00:00"/>
    <s v="Home"/>
    <x v="3"/>
    <n v="8"/>
    <n v="298.39"/>
    <n v="2387.12"/>
    <s v="UPI"/>
    <s v="Repeat Customer"/>
  </r>
  <r>
    <n v="10917"/>
    <s v="CUST266"/>
    <d v="2024-08-23T00:00:00"/>
    <s v="Electronics"/>
    <x v="2"/>
    <n v="2"/>
    <n v="166.44"/>
    <n v="332.88"/>
    <s v="Wallet"/>
    <s v="Repeat Customer"/>
  </r>
  <r>
    <n v="10918"/>
    <s v="CUST202"/>
    <d v="2025-01-19T00:00:00"/>
    <s v="Sports"/>
    <x v="3"/>
    <n v="4"/>
    <n v="41.4"/>
    <n v="165.6"/>
    <s v="Credit Card"/>
    <s v="Repeat Customer"/>
  </r>
  <r>
    <n v="10919"/>
    <s v="CUST323"/>
    <d v="2024-05-28T00:00:00"/>
    <s v="Beauty"/>
    <x v="2"/>
    <n v="4"/>
    <n v="464.3"/>
    <n v="1857.2"/>
    <s v="Wallet"/>
    <s v="Repeat Customer"/>
  </r>
  <r>
    <n v="10920"/>
    <s v="CUST291"/>
    <d v="2024-05-19T00:00:00"/>
    <s v="Home"/>
    <x v="1"/>
    <n v="8"/>
    <n v="361.31"/>
    <n v="2890.48"/>
    <s v="UPI"/>
    <s v="Repeat Customer"/>
  </r>
  <r>
    <n v="10921"/>
    <s v="CUST271"/>
    <d v="2024-05-10T00:00:00"/>
    <s v="Electronics"/>
    <x v="1"/>
    <n v="1"/>
    <n v="347.64"/>
    <n v="347.64"/>
    <s v="UPI"/>
    <s v="Repeat Customer"/>
  </r>
  <r>
    <n v="10922"/>
    <s v="CUST156"/>
    <d v="2025-04-21T00:00:00"/>
    <s v="Home"/>
    <x v="2"/>
    <n v="8"/>
    <n v="212.02"/>
    <n v="1696.16"/>
    <s v="Net Banking"/>
    <s v="Repeat Customer"/>
  </r>
  <r>
    <n v="10923"/>
    <s v="CUST180"/>
    <d v="2025-10-15T00:00:00"/>
    <s v="Sports"/>
    <x v="2"/>
    <n v="10"/>
    <n v="453.26"/>
    <n v="4532.6000000000004"/>
    <s v="Credit Card"/>
    <s v="Repeat Customer"/>
  </r>
  <r>
    <n v="10924"/>
    <s v="CUST310"/>
    <d v="2025-06-18T00:00:00"/>
    <s v="Fashion"/>
    <x v="3"/>
    <n v="8"/>
    <n v="431.79"/>
    <n v="3454.32"/>
    <s v="Wallet"/>
    <s v="Repeat Customer"/>
  </r>
  <r>
    <n v="10925"/>
    <s v="CUST242"/>
    <d v="2024-01-15T00:00:00"/>
    <s v="Fashion"/>
    <x v="2"/>
    <n v="7"/>
    <n v="369.41"/>
    <n v="2585.87"/>
    <s v="Net Banking"/>
    <s v="Repeat Customer"/>
  </r>
  <r>
    <n v="10926"/>
    <s v="CUST322"/>
    <d v="2025-08-16T00:00:00"/>
    <s v="Sports"/>
    <x v="2"/>
    <n v="4"/>
    <n v="446.45"/>
    <n v="1785.8"/>
    <s v="Credit Card"/>
    <s v="Repeat Customer"/>
  </r>
  <r>
    <n v="10927"/>
    <s v="CUST313"/>
    <d v="2024-02-15T00:00:00"/>
    <s v="Sports"/>
    <x v="0"/>
    <n v="1"/>
    <n v="495.68"/>
    <n v="495.68"/>
    <s v="Wallet"/>
    <s v="Repeat Customer"/>
  </r>
  <r>
    <n v="10928"/>
    <s v="CUST371"/>
    <d v="2025-02-07T00:00:00"/>
    <s v="Electronics"/>
    <x v="3"/>
    <n v="8"/>
    <n v="405.81"/>
    <n v="3246.48"/>
    <s v="Wallet"/>
    <s v="Repeat Customer"/>
  </r>
  <r>
    <n v="10929"/>
    <s v="CUST223"/>
    <d v="2024-03-26T00:00:00"/>
    <s v="Beauty"/>
    <x v="2"/>
    <n v="9"/>
    <n v="377.77"/>
    <n v="3399.93"/>
    <s v="UPI"/>
    <s v="Repeat Customer"/>
  </r>
  <r>
    <n v="10930"/>
    <s v="CUST283"/>
    <d v="2024-10-29T00:00:00"/>
    <s v="Electronics"/>
    <x v="0"/>
    <n v="4"/>
    <n v="325.58"/>
    <n v="1302.32"/>
    <s v="Wallet"/>
    <s v="Repeat Customer"/>
  </r>
  <r>
    <n v="10931"/>
    <s v="CUST256"/>
    <d v="2024-06-14T00:00:00"/>
    <s v="Sports"/>
    <x v="0"/>
    <n v="8"/>
    <n v="429.67"/>
    <n v="3437.36"/>
    <s v="Wallet"/>
    <s v="Repeat Customer"/>
  </r>
  <r>
    <n v="10932"/>
    <s v="CUST337"/>
    <d v="2024-05-21T00:00:00"/>
    <s v="Home"/>
    <x v="3"/>
    <n v="7"/>
    <n v="96.55"/>
    <n v="675.85"/>
    <s v="Credit Card"/>
    <s v="Repeat Customer"/>
  </r>
  <r>
    <n v="10933"/>
    <s v="CUST136"/>
    <d v="2025-01-29T00:00:00"/>
    <s v="Home"/>
    <x v="3"/>
    <n v="6"/>
    <n v="267.81"/>
    <n v="1606.86"/>
    <s v="Net Banking"/>
    <s v="Repeat Customer"/>
  </r>
  <r>
    <n v="10934"/>
    <s v="CUST377"/>
    <d v="2025-08-12T00:00:00"/>
    <s v="Electronics"/>
    <x v="1"/>
    <n v="4"/>
    <n v="394.91"/>
    <n v="1579.64"/>
    <s v="Credit Card"/>
    <s v="Repeat Customer"/>
  </r>
  <r>
    <n v="10935"/>
    <s v="CUST363"/>
    <d v="2025-11-21T00:00:00"/>
    <s v="Electronics"/>
    <x v="3"/>
    <n v="6"/>
    <n v="444.55"/>
    <n v="2667.3"/>
    <s v="Net Banking"/>
    <s v="Repeat Customer"/>
  </r>
  <r>
    <n v="10936"/>
    <s v="CUST338"/>
    <d v="2025-09-25T00:00:00"/>
    <s v="Fashion"/>
    <x v="0"/>
    <n v="1"/>
    <n v="185.96"/>
    <n v="185.96"/>
    <s v="UPI"/>
    <s v="Repeat Customer"/>
  </r>
  <r>
    <n v="10937"/>
    <s v="CUST170"/>
    <d v="2024-12-08T00:00:00"/>
    <s v="Beauty"/>
    <x v="2"/>
    <n v="4"/>
    <n v="272.12"/>
    <n v="1088.48"/>
    <s v="UPI"/>
    <s v="Repeat Customer"/>
  </r>
  <r>
    <n v="10938"/>
    <s v="CUST264"/>
    <d v="2024-12-27T00:00:00"/>
    <s v="Beauty"/>
    <x v="1"/>
    <n v="5"/>
    <n v="254.27"/>
    <n v="1271.3499999999999"/>
    <s v="Credit Card"/>
    <s v="Repeat Customer"/>
  </r>
  <r>
    <n v="10939"/>
    <s v="CUST132"/>
    <d v="2025-01-16T00:00:00"/>
    <s v="Sports"/>
    <x v="0"/>
    <n v="6"/>
    <n v="228.94"/>
    <n v="1373.64"/>
    <s v="Wallet"/>
    <s v="Repeat Customer"/>
  </r>
  <r>
    <n v="10940"/>
    <s v="CUST372"/>
    <d v="2025-11-25T00:00:00"/>
    <s v="Beauty"/>
    <x v="1"/>
    <n v="9"/>
    <n v="450.23"/>
    <n v="4052.07"/>
    <s v="Credit Card"/>
    <s v="Repeat Customer"/>
  </r>
  <r>
    <n v="10941"/>
    <s v="CUST196"/>
    <d v="2025-04-13T00:00:00"/>
    <s v="Fashion"/>
    <x v="1"/>
    <n v="2"/>
    <n v="44.68"/>
    <n v="89.36"/>
    <s v="Credit Card"/>
    <s v="Repeat Customer"/>
  </r>
  <r>
    <n v="10942"/>
    <s v="CUST155"/>
    <d v="2024-06-17T00:00:00"/>
    <s v="Fashion"/>
    <x v="3"/>
    <n v="5"/>
    <n v="60.45"/>
    <n v="302.25"/>
    <s v="UPI"/>
    <s v="Repeat Customer"/>
  </r>
  <r>
    <n v="10943"/>
    <s v="CUST204"/>
    <d v="2025-06-17T00:00:00"/>
    <s v="Sports"/>
    <x v="2"/>
    <n v="1"/>
    <n v="150.12"/>
    <n v="150.12"/>
    <s v="Wallet"/>
    <s v="Repeat Customer"/>
  </r>
  <r>
    <n v="10944"/>
    <s v="CUST277"/>
    <d v="2025-03-06T00:00:00"/>
    <s v="Electronics"/>
    <x v="1"/>
    <n v="8"/>
    <n v="370.17"/>
    <n v="2961.36"/>
    <s v="UPI"/>
    <s v="Repeat Customer"/>
  </r>
  <r>
    <n v="10945"/>
    <s v="CUST132"/>
    <d v="2024-01-23T00:00:00"/>
    <s v="Sports"/>
    <x v="1"/>
    <n v="4"/>
    <n v="418.3"/>
    <n v="1673.2"/>
    <s v="Wallet"/>
    <s v="Repeat Customer"/>
  </r>
  <r>
    <n v="10946"/>
    <s v="CUST396"/>
    <d v="2024-12-17T00:00:00"/>
    <s v="Sports"/>
    <x v="3"/>
    <n v="6"/>
    <n v="245.64"/>
    <n v="1473.84"/>
    <s v="Wallet"/>
    <s v="Repeat Customer"/>
  </r>
  <r>
    <n v="10947"/>
    <s v="CUST255"/>
    <d v="2025-08-03T00:00:00"/>
    <s v="Home"/>
    <x v="2"/>
    <n v="3"/>
    <n v="449.65"/>
    <n v="1348.95"/>
    <s v="Net Banking"/>
    <s v="Repeat Customer"/>
  </r>
  <r>
    <n v="10948"/>
    <s v="CUST216"/>
    <d v="2025-05-10T00:00:00"/>
    <s v="Electronics"/>
    <x v="2"/>
    <n v="6"/>
    <n v="485.51"/>
    <n v="2913.06"/>
    <s v="Net Banking"/>
    <s v="Repeat Customer"/>
  </r>
  <r>
    <n v="10949"/>
    <s v="CUST245"/>
    <d v="2025-04-11T00:00:00"/>
    <s v="Fashion"/>
    <x v="1"/>
    <n v="3"/>
    <n v="311.22000000000003"/>
    <n v="933.66"/>
    <s v="UPI"/>
    <s v="Repeat Customer"/>
  </r>
  <r>
    <n v="10950"/>
    <s v="CUST189"/>
    <d v="2025-12-26T00:00:00"/>
    <s v="Electronics"/>
    <x v="0"/>
    <n v="3"/>
    <n v="84.82"/>
    <n v="254.46"/>
    <s v="Net Banking"/>
    <s v="Repeat Customer"/>
  </r>
  <r>
    <n v="10951"/>
    <s v="CUST394"/>
    <d v="2024-05-09T00:00:00"/>
    <s v="Fashion"/>
    <x v="2"/>
    <n v="8"/>
    <n v="133.9"/>
    <n v="1071.2"/>
    <s v="Credit Card"/>
    <s v="Repeat Customer"/>
  </r>
  <r>
    <n v="10952"/>
    <s v="CUST262"/>
    <d v="2024-12-18T00:00:00"/>
    <s v="Sports"/>
    <x v="2"/>
    <n v="3"/>
    <n v="189.59"/>
    <n v="568.77"/>
    <s v="Net Banking"/>
    <s v="Repeat Customer"/>
  </r>
  <r>
    <n v="10953"/>
    <s v="CUST162"/>
    <d v="2024-01-26T00:00:00"/>
    <s v="Fashion"/>
    <x v="3"/>
    <n v="7"/>
    <n v="465.88"/>
    <n v="3261.16"/>
    <s v="Net Banking"/>
    <s v="Repeat Customer"/>
  </r>
  <r>
    <n v="10954"/>
    <s v="CUST179"/>
    <d v="2024-01-05T00:00:00"/>
    <s v="Home"/>
    <x v="1"/>
    <n v="9"/>
    <n v="487.92"/>
    <n v="4391.28"/>
    <s v="Wallet"/>
    <s v="Repeat Customer"/>
  </r>
  <r>
    <n v="10955"/>
    <s v="CUST248"/>
    <d v="2025-08-10T00:00:00"/>
    <s v="Beauty"/>
    <x v="1"/>
    <n v="3"/>
    <n v="400.79"/>
    <n v="1202.3699999999999"/>
    <s v="Credit Card"/>
    <s v="Repeat Customer"/>
  </r>
  <r>
    <n v="10956"/>
    <s v="CUST345"/>
    <d v="2024-02-11T00:00:00"/>
    <s v="Electronics"/>
    <x v="1"/>
    <n v="3"/>
    <n v="340.61"/>
    <n v="1021.83"/>
    <s v="Credit Card"/>
    <s v="Repeat Customer"/>
  </r>
  <r>
    <n v="10957"/>
    <s v="CUST305"/>
    <d v="2025-09-24T00:00:00"/>
    <s v="Electronics"/>
    <x v="1"/>
    <n v="4"/>
    <n v="225.76"/>
    <n v="903.04"/>
    <s v="Credit Card"/>
    <s v="Repeat Customer"/>
  </r>
  <r>
    <n v="10958"/>
    <s v="CUST199"/>
    <d v="2025-08-20T00:00:00"/>
    <s v="Home"/>
    <x v="2"/>
    <n v="9"/>
    <n v="114.96"/>
    <n v="1034.6400000000001"/>
    <s v="Credit Card"/>
    <s v="Repeat Customer"/>
  </r>
  <r>
    <n v="10959"/>
    <s v="CUST142"/>
    <d v="2025-07-05T00:00:00"/>
    <s v="Electronics"/>
    <x v="3"/>
    <n v="8"/>
    <n v="340.15"/>
    <n v="2721.2"/>
    <s v="UPI"/>
    <s v="Repeat Customer"/>
  </r>
  <r>
    <n v="10960"/>
    <s v="CUST351"/>
    <d v="2024-11-21T00:00:00"/>
    <s v="Electronics"/>
    <x v="1"/>
    <n v="10"/>
    <n v="304.51"/>
    <n v="3045.1"/>
    <s v="Wallet"/>
    <s v="Repeat Customer"/>
  </r>
  <r>
    <n v="10961"/>
    <s v="CUST175"/>
    <d v="2025-03-13T00:00:00"/>
    <s v="Electronics"/>
    <x v="1"/>
    <n v="6"/>
    <n v="196.13"/>
    <n v="1176.78"/>
    <s v="Net Banking"/>
    <s v="Repeat Customer"/>
  </r>
  <r>
    <n v="10962"/>
    <s v="CUST279"/>
    <d v="2024-11-11T00:00:00"/>
    <s v="Electronics"/>
    <x v="2"/>
    <n v="8"/>
    <n v="437.78"/>
    <n v="3502.24"/>
    <s v="Wallet"/>
    <s v="Repeat Customer"/>
  </r>
  <r>
    <n v="10963"/>
    <s v="CUST312"/>
    <d v="2025-03-29T00:00:00"/>
    <s v="Beauty"/>
    <x v="3"/>
    <n v="5"/>
    <n v="86.08"/>
    <n v="430.4"/>
    <s v="UPI"/>
    <s v="Repeat Customer"/>
  </r>
  <r>
    <n v="10964"/>
    <s v="CUST144"/>
    <d v="2024-05-27T00:00:00"/>
    <s v="Sports"/>
    <x v="1"/>
    <n v="4"/>
    <n v="155.1"/>
    <n v="620.4"/>
    <s v="Credit Card"/>
    <s v="Repeat Customer"/>
  </r>
  <r>
    <n v="10965"/>
    <s v="CUST292"/>
    <d v="2024-03-31T00:00:00"/>
    <s v="Home"/>
    <x v="3"/>
    <n v="1"/>
    <n v="207.68"/>
    <n v="207.68"/>
    <s v="UPI"/>
    <s v="Repeat Customer"/>
  </r>
  <r>
    <n v="10966"/>
    <s v="CUST384"/>
    <d v="2025-04-18T00:00:00"/>
    <s v="Fashion"/>
    <x v="2"/>
    <n v="10"/>
    <n v="378.85"/>
    <n v="3788.5"/>
    <s v="UPI"/>
    <s v="Repeat Customer"/>
  </r>
  <r>
    <n v="10967"/>
    <s v="CUST295"/>
    <d v="2024-10-23T00:00:00"/>
    <s v="Home"/>
    <x v="1"/>
    <n v="9"/>
    <n v="247.84"/>
    <n v="2230.56"/>
    <s v="Wallet"/>
    <s v="Repeat Customer"/>
  </r>
  <r>
    <n v="10968"/>
    <s v="CUST386"/>
    <d v="2025-04-19T00:00:00"/>
    <s v="Electronics"/>
    <x v="2"/>
    <n v="4"/>
    <n v="18.29"/>
    <n v="73.16"/>
    <s v="Net Banking"/>
    <s v="Repeat Customer"/>
  </r>
  <r>
    <n v="10969"/>
    <s v="CUST253"/>
    <d v="2025-10-17T00:00:00"/>
    <s v="Home"/>
    <x v="3"/>
    <n v="8"/>
    <n v="66.47"/>
    <n v="531.76"/>
    <s v="UPI"/>
    <s v="Repeat Customer"/>
  </r>
  <r>
    <n v="10970"/>
    <s v="CUST351"/>
    <d v="2025-12-05T00:00:00"/>
    <s v="Home"/>
    <x v="3"/>
    <n v="4"/>
    <n v="19.079999999999998"/>
    <n v="76.319999999999993"/>
    <s v="Credit Card"/>
    <s v="Repeat Customer"/>
  </r>
  <r>
    <n v="10971"/>
    <s v="CUST285"/>
    <d v="2025-08-18T00:00:00"/>
    <s v="Home"/>
    <x v="3"/>
    <n v="8"/>
    <n v="284.95999999999998"/>
    <n v="2279.6799999999998"/>
    <s v="Credit Card"/>
    <s v="Repeat Customer"/>
  </r>
  <r>
    <n v="10972"/>
    <s v="CUST291"/>
    <d v="2025-06-08T00:00:00"/>
    <s v="Home"/>
    <x v="2"/>
    <n v="10"/>
    <n v="13.68"/>
    <n v="136.80000000000001"/>
    <s v="Credit Card"/>
    <s v="Repeat Customer"/>
  </r>
  <r>
    <n v="10973"/>
    <s v="CUST174"/>
    <d v="2024-11-23T00:00:00"/>
    <s v="Fashion"/>
    <x v="1"/>
    <n v="8"/>
    <n v="439.77"/>
    <n v="3518.16"/>
    <s v="UPI"/>
    <s v="Repeat Customer"/>
  </r>
  <r>
    <n v="10974"/>
    <s v="CUST127"/>
    <d v="2024-10-06T00:00:00"/>
    <s v="Home"/>
    <x v="0"/>
    <n v="6"/>
    <n v="212.66"/>
    <n v="1275.96"/>
    <s v="Net Banking"/>
    <s v="Repeat Customer"/>
  </r>
  <r>
    <n v="10975"/>
    <s v="CUST249"/>
    <d v="2025-06-26T00:00:00"/>
    <s v="Fashion"/>
    <x v="0"/>
    <n v="2"/>
    <n v="259.36"/>
    <n v="518.72"/>
    <s v="UPI"/>
    <s v="Repeat Customer"/>
  </r>
  <r>
    <n v="10976"/>
    <s v="CUST378"/>
    <d v="2024-11-26T00:00:00"/>
    <s v="Home"/>
    <x v="1"/>
    <n v="6"/>
    <n v="414.28"/>
    <n v="2485.6799999999998"/>
    <s v="Net Banking"/>
    <s v="Repeat Customer"/>
  </r>
  <r>
    <n v="10977"/>
    <s v="CUST149"/>
    <d v="2025-07-01T00:00:00"/>
    <s v="Fashion"/>
    <x v="0"/>
    <n v="10"/>
    <n v="179.06"/>
    <n v="1790.6"/>
    <s v="UPI"/>
    <s v="Repeat Customer"/>
  </r>
  <r>
    <n v="10978"/>
    <s v="CUST365"/>
    <d v="2024-10-15T00:00:00"/>
    <s v="Beauty"/>
    <x v="1"/>
    <n v="6"/>
    <n v="390.51"/>
    <n v="2343.06"/>
    <s v="UPI"/>
    <s v="Repeat Customer"/>
  </r>
  <r>
    <n v="10979"/>
    <s v="CUST152"/>
    <d v="2024-08-11T00:00:00"/>
    <s v="Fashion"/>
    <x v="0"/>
    <n v="3"/>
    <n v="254.17"/>
    <n v="762.51"/>
    <s v="Wallet"/>
    <s v="Repeat Customer"/>
  </r>
  <r>
    <n v="10980"/>
    <s v="CUST335"/>
    <d v="2024-03-19T00:00:00"/>
    <s v="Electronics"/>
    <x v="3"/>
    <n v="2"/>
    <n v="410.33"/>
    <n v="820.66"/>
    <s v="Net Banking"/>
    <s v="Repeat Customer"/>
  </r>
  <r>
    <n v="10981"/>
    <s v="CUST259"/>
    <d v="2025-12-08T00:00:00"/>
    <s v="Beauty"/>
    <x v="1"/>
    <n v="6"/>
    <n v="73.81"/>
    <n v="442.86"/>
    <s v="UPI"/>
    <s v="Repeat Customer"/>
  </r>
  <r>
    <n v="10982"/>
    <s v="CUST255"/>
    <d v="2024-01-30T00:00:00"/>
    <s v="Fashion"/>
    <x v="2"/>
    <n v="2"/>
    <n v="115.07"/>
    <n v="230.14"/>
    <s v="Net Banking"/>
    <s v="Repeat Customer"/>
  </r>
  <r>
    <n v="10983"/>
    <s v="CUST164"/>
    <d v="2024-08-02T00:00:00"/>
    <s v="Beauty"/>
    <x v="0"/>
    <n v="3"/>
    <n v="490.65"/>
    <n v="1471.95"/>
    <s v="Credit Card"/>
    <s v="Repeat Customer"/>
  </r>
  <r>
    <n v="10984"/>
    <s v="CUST109"/>
    <d v="2025-05-10T00:00:00"/>
    <s v="Electronics"/>
    <x v="0"/>
    <n v="7"/>
    <n v="26.05"/>
    <n v="182.35"/>
    <s v="Credit Card"/>
    <s v="Repeat Customer"/>
  </r>
  <r>
    <n v="10985"/>
    <s v="CUST340"/>
    <d v="2024-05-01T00:00:00"/>
    <s v="Home"/>
    <x v="0"/>
    <n v="5"/>
    <n v="26.42"/>
    <n v="132.1"/>
    <s v="Credit Card"/>
    <s v="Repeat Customer"/>
  </r>
  <r>
    <n v="10986"/>
    <s v="CUST163"/>
    <d v="2025-09-08T00:00:00"/>
    <s v="Fashion"/>
    <x v="2"/>
    <n v="4"/>
    <n v="295.86"/>
    <n v="1183.44"/>
    <s v="Net Banking"/>
    <s v="Repeat Customer"/>
  </r>
  <r>
    <n v="10987"/>
    <s v="CUST114"/>
    <d v="2024-04-02T00:00:00"/>
    <s v="Home"/>
    <x v="1"/>
    <n v="3"/>
    <n v="423.7"/>
    <n v="1271.0999999999999"/>
    <s v="Net Banking"/>
    <s v="Repeat Customer"/>
  </r>
  <r>
    <n v="10988"/>
    <s v="CUST182"/>
    <d v="2025-05-27T00:00:00"/>
    <s v="Sports"/>
    <x v="0"/>
    <n v="10"/>
    <n v="124.7"/>
    <n v="1247"/>
    <s v="Credit Card"/>
    <s v="Repeat Customer"/>
  </r>
  <r>
    <n v="10989"/>
    <s v="CUST396"/>
    <d v="2024-01-15T00:00:00"/>
    <s v="Fashion"/>
    <x v="1"/>
    <n v="9"/>
    <n v="112.41"/>
    <n v="1011.69"/>
    <s v="UPI"/>
    <s v="Repeat Customer"/>
  </r>
  <r>
    <n v="10990"/>
    <s v="CUST375"/>
    <d v="2024-01-05T00:00:00"/>
    <s v="Sports"/>
    <x v="3"/>
    <n v="2"/>
    <n v="462.49"/>
    <n v="924.98"/>
    <s v="Net Banking"/>
    <s v="Repeat Customer"/>
  </r>
  <r>
    <n v="10991"/>
    <s v="CUST194"/>
    <d v="2025-03-26T00:00:00"/>
    <s v="Home"/>
    <x v="3"/>
    <n v="2"/>
    <n v="94.52"/>
    <n v="189.04"/>
    <s v="Wallet"/>
    <s v="Repeat Customer"/>
  </r>
  <r>
    <n v="10992"/>
    <s v="CUST209"/>
    <d v="2025-06-10T00:00:00"/>
    <s v="Home"/>
    <x v="0"/>
    <n v="4"/>
    <n v="206.75"/>
    <n v="827"/>
    <s v="Wallet"/>
    <s v="Repeat Customer"/>
  </r>
  <r>
    <n v="10993"/>
    <s v="CUST156"/>
    <d v="2025-06-16T00:00:00"/>
    <s v="Home"/>
    <x v="1"/>
    <n v="3"/>
    <n v="250.43"/>
    <n v="751.29"/>
    <s v="Credit Card"/>
    <s v="Repeat Customer"/>
  </r>
  <r>
    <n v="10994"/>
    <s v="CUST142"/>
    <d v="2024-12-01T00:00:00"/>
    <s v="Home"/>
    <x v="3"/>
    <n v="8"/>
    <n v="62.28"/>
    <n v="498.24"/>
    <s v="Net Banking"/>
    <s v="Repeat Customer"/>
  </r>
  <r>
    <n v="10995"/>
    <s v="CUST327"/>
    <d v="2024-08-19T00:00:00"/>
    <s v="Beauty"/>
    <x v="2"/>
    <n v="9"/>
    <n v="206.6"/>
    <n v="1859.4"/>
    <s v="Credit Card"/>
    <s v="Repeat Customer"/>
  </r>
  <r>
    <n v="10996"/>
    <s v="CUST343"/>
    <d v="2025-11-26T00:00:00"/>
    <s v="Beauty"/>
    <x v="0"/>
    <n v="6"/>
    <n v="93.75"/>
    <n v="562.5"/>
    <s v="Wallet"/>
    <s v="Repeat Customer"/>
  </r>
  <r>
    <n v="10997"/>
    <s v="CUST324"/>
    <d v="2025-06-19T00:00:00"/>
    <s v="Beauty"/>
    <x v="3"/>
    <n v="2"/>
    <n v="64.010000000000005"/>
    <n v="128.02000000000001"/>
    <s v="Credit Card"/>
    <s v="Repeat Customer"/>
  </r>
  <r>
    <n v="10998"/>
    <s v="CUST186"/>
    <d v="2024-03-07T00:00:00"/>
    <s v="Home"/>
    <x v="2"/>
    <n v="6"/>
    <n v="487.73"/>
    <n v="2926.38"/>
    <s v="Wallet"/>
    <s v="Repeat Customer"/>
  </r>
  <r>
    <n v="10999"/>
    <s v="CUST162"/>
    <d v="2024-08-26T00:00:00"/>
    <s v="Home"/>
    <x v="1"/>
    <n v="7"/>
    <n v="363.97"/>
    <n v="2547.79"/>
    <s v="Wallet"/>
    <s v="Repeat Customer"/>
  </r>
  <r>
    <n v="11000"/>
    <s v="CUST282"/>
    <d v="2025-05-02T00:00:00"/>
    <s v="Beauty"/>
    <x v="1"/>
    <n v="10"/>
    <n v="475.32"/>
    <n v="4753.2"/>
    <s v="UPI"/>
    <s v="Repeat Customer"/>
  </r>
  <r>
    <n v="11001"/>
    <s v="CUST332"/>
    <d v="2024-04-20T00:00:00"/>
    <s v="Beauty"/>
    <x v="2"/>
    <n v="2"/>
    <n v="129.09"/>
    <n v="258.18"/>
    <s v="UPI"/>
    <s v="Repeat Customer"/>
  </r>
  <r>
    <n v="11002"/>
    <s v="CUST115"/>
    <d v="2024-04-11T00:00:00"/>
    <s v="Beauty"/>
    <x v="0"/>
    <n v="1"/>
    <n v="416"/>
    <n v="416"/>
    <s v="UPI"/>
    <s v="Repeat Customer"/>
  </r>
  <r>
    <n v="11003"/>
    <s v="CUST295"/>
    <d v="2025-09-11T00:00:00"/>
    <s v="Sports"/>
    <x v="0"/>
    <n v="6"/>
    <n v="80.599999999999994"/>
    <n v="483.6"/>
    <s v="Credit Card"/>
    <s v="Repeat Customer"/>
  </r>
  <r>
    <n v="11004"/>
    <s v="CUST366"/>
    <d v="2025-05-19T00:00:00"/>
    <s v="Beauty"/>
    <x v="3"/>
    <n v="8"/>
    <n v="104.96"/>
    <n v="839.68"/>
    <s v="Net Banking"/>
    <s v="Repeat Customer"/>
  </r>
  <r>
    <n v="11005"/>
    <s v="CUST377"/>
    <d v="2024-12-17T00:00:00"/>
    <s v="Electronics"/>
    <x v="3"/>
    <n v="9"/>
    <n v="275.58"/>
    <n v="2480.2199999999998"/>
    <s v="Credit Card"/>
    <s v="Repeat Customer"/>
  </r>
  <r>
    <n v="11006"/>
    <s v="CUST296"/>
    <d v="2025-04-05T00:00:00"/>
    <s v="Beauty"/>
    <x v="3"/>
    <n v="6"/>
    <n v="427.17"/>
    <n v="2563.02"/>
    <s v="Credit Card"/>
    <s v="Repeat Customer"/>
  </r>
  <r>
    <n v="11007"/>
    <s v="CUST116"/>
    <d v="2024-06-30T00:00:00"/>
    <s v="Home"/>
    <x v="2"/>
    <n v="9"/>
    <n v="331.41"/>
    <n v="2982.69"/>
    <s v="Wallet"/>
    <s v="Repeat Customer"/>
  </r>
  <r>
    <n v="11008"/>
    <s v="CUST320"/>
    <d v="2024-05-17T00:00:00"/>
    <s v="Beauty"/>
    <x v="0"/>
    <n v="5"/>
    <n v="359.28"/>
    <n v="1796.4"/>
    <s v="Wallet"/>
    <s v="Repeat Customer"/>
  </r>
  <r>
    <n v="11009"/>
    <s v="CUST383"/>
    <d v="2025-12-02T00:00:00"/>
    <s v="Beauty"/>
    <x v="2"/>
    <n v="9"/>
    <n v="288.24"/>
    <n v="2594.16"/>
    <s v="Credit Card"/>
    <s v="Repeat Customer"/>
  </r>
  <r>
    <n v="11010"/>
    <s v="CUST300"/>
    <d v="2024-09-26T00:00:00"/>
    <s v="Beauty"/>
    <x v="1"/>
    <n v="8"/>
    <n v="297.57"/>
    <n v="2380.56"/>
    <s v="Net Banking"/>
    <s v="Repeat Customer"/>
  </r>
  <r>
    <n v="11011"/>
    <s v="CUST264"/>
    <d v="2024-03-03T00:00:00"/>
    <s v="Fashion"/>
    <x v="1"/>
    <n v="1"/>
    <n v="297.27999999999997"/>
    <n v="297.27999999999997"/>
    <s v="Net Banking"/>
    <s v="Repeat Customer"/>
  </r>
  <r>
    <n v="11012"/>
    <s v="CUST398"/>
    <d v="2024-01-28T00:00:00"/>
    <s v="Beauty"/>
    <x v="1"/>
    <n v="6"/>
    <n v="193.38"/>
    <n v="1160.28"/>
    <s v="Net Banking"/>
    <s v="Repeat Customer"/>
  </r>
  <r>
    <n v="11013"/>
    <s v="CUST310"/>
    <d v="2024-12-25T00:00:00"/>
    <s v="Fashion"/>
    <x v="2"/>
    <n v="1"/>
    <n v="332.31"/>
    <n v="332.31"/>
    <s v="Net Banking"/>
    <s v="Repeat Customer"/>
  </r>
  <r>
    <n v="11014"/>
    <s v="CUST143"/>
    <d v="2025-12-05T00:00:00"/>
    <s v="Electronics"/>
    <x v="1"/>
    <n v="2"/>
    <n v="435.13"/>
    <n v="870.26"/>
    <s v="UPI"/>
    <s v="Repeat Customer"/>
  </r>
  <r>
    <n v="11015"/>
    <s v="CUST110"/>
    <d v="2025-07-05T00:00:00"/>
    <s v="Beauty"/>
    <x v="3"/>
    <n v="6"/>
    <n v="23.5"/>
    <n v="141"/>
    <s v="Net Banking"/>
    <s v="Repeat Customer"/>
  </r>
  <r>
    <n v="11016"/>
    <s v="CUST110"/>
    <d v="2025-12-13T00:00:00"/>
    <s v="Home"/>
    <x v="3"/>
    <n v="8"/>
    <n v="296.05"/>
    <n v="2368.4"/>
    <s v="Wallet"/>
    <s v="Repeat Customer"/>
  </r>
  <r>
    <n v="11017"/>
    <s v="CUST265"/>
    <d v="2025-08-09T00:00:00"/>
    <s v="Electronics"/>
    <x v="2"/>
    <n v="2"/>
    <n v="405.12"/>
    <n v="810.24"/>
    <s v="Net Banking"/>
    <s v="New Customer"/>
  </r>
  <r>
    <n v="11018"/>
    <s v="CUST354"/>
    <d v="2025-05-29T00:00:00"/>
    <s v="Home"/>
    <x v="1"/>
    <n v="6"/>
    <n v="87.48"/>
    <n v="524.88"/>
    <s v="Wallet"/>
    <s v="Repeat Customer"/>
  </r>
  <r>
    <n v="11019"/>
    <s v="CUST203"/>
    <d v="2025-05-23T00:00:00"/>
    <s v="Sports"/>
    <x v="2"/>
    <n v="2"/>
    <n v="420.99"/>
    <n v="841.98"/>
    <s v="Net Banking"/>
    <s v="Repeat Customer"/>
  </r>
  <r>
    <n v="11020"/>
    <s v="CUST235"/>
    <d v="2024-02-18T00:00:00"/>
    <s v="Beauty"/>
    <x v="2"/>
    <n v="5"/>
    <n v="498.13"/>
    <n v="2490.65"/>
    <s v="Credit Card"/>
    <s v="Repeat Customer"/>
  </r>
  <r>
    <n v="11021"/>
    <s v="CUST396"/>
    <d v="2024-04-07T00:00:00"/>
    <s v="Electronics"/>
    <x v="3"/>
    <n v="10"/>
    <n v="171.73"/>
    <n v="1717.3"/>
    <s v="Wallet"/>
    <s v="Repeat Customer"/>
  </r>
  <r>
    <n v="11022"/>
    <s v="CUST207"/>
    <d v="2024-12-21T00:00:00"/>
    <s v="Home"/>
    <x v="1"/>
    <n v="2"/>
    <n v="327.51"/>
    <n v="655.02"/>
    <s v="Wallet"/>
    <s v="Repeat Customer"/>
  </r>
  <r>
    <n v="11023"/>
    <s v="CUST376"/>
    <d v="2024-11-16T00:00:00"/>
    <s v="Home"/>
    <x v="3"/>
    <n v="4"/>
    <n v="210.09"/>
    <n v="840.36"/>
    <s v="UPI"/>
    <s v="Repeat Customer"/>
  </r>
  <r>
    <n v="11024"/>
    <s v="CUST109"/>
    <d v="2025-10-04T00:00:00"/>
    <s v="Sports"/>
    <x v="3"/>
    <n v="9"/>
    <n v="432.04"/>
    <n v="3888.36"/>
    <s v="UPI"/>
    <s v="Repeat Customer"/>
  </r>
  <r>
    <n v="11025"/>
    <s v="CUST339"/>
    <d v="2024-10-01T00:00:00"/>
    <s v="Beauty"/>
    <x v="0"/>
    <n v="9"/>
    <n v="405.42"/>
    <n v="3648.78"/>
    <s v="UPI"/>
    <s v="Repeat Customer"/>
  </r>
  <r>
    <n v="11026"/>
    <s v="CUST286"/>
    <d v="2025-04-18T00:00:00"/>
    <s v="Home"/>
    <x v="3"/>
    <n v="3"/>
    <n v="123.99"/>
    <n v="371.97"/>
    <s v="Wallet"/>
    <s v="Repeat Customer"/>
  </r>
  <r>
    <n v="11027"/>
    <s v="CUST263"/>
    <d v="2024-03-06T00:00:00"/>
    <s v="Home"/>
    <x v="1"/>
    <n v="4"/>
    <n v="423.75"/>
    <n v="1695"/>
    <s v="UPI"/>
    <s v="Repeat Customer"/>
  </r>
  <r>
    <n v="11028"/>
    <s v="CUST231"/>
    <d v="2025-12-04T00:00:00"/>
    <s v="Fashion"/>
    <x v="0"/>
    <n v="10"/>
    <n v="121.88"/>
    <n v="1218.8"/>
    <s v="UPI"/>
    <s v="Repeat Customer"/>
  </r>
  <r>
    <n v="11029"/>
    <s v="CUST198"/>
    <d v="2024-01-29T00:00:00"/>
    <s v="Home"/>
    <x v="3"/>
    <n v="4"/>
    <n v="399.54"/>
    <n v="1598.16"/>
    <s v="Wallet"/>
    <s v="Repeat Customer"/>
  </r>
  <r>
    <n v="11030"/>
    <s v="CUST386"/>
    <d v="2025-03-22T00:00:00"/>
    <s v="Electronics"/>
    <x v="2"/>
    <n v="7"/>
    <n v="325.23"/>
    <n v="2276.61"/>
    <s v="UPI"/>
    <s v="Repeat Customer"/>
  </r>
  <r>
    <n v="11031"/>
    <s v="CUST239"/>
    <d v="2024-05-19T00:00:00"/>
    <s v="Home"/>
    <x v="2"/>
    <n v="1"/>
    <n v="132.91"/>
    <n v="132.91"/>
    <s v="Credit Card"/>
    <s v="Repeat Customer"/>
  </r>
  <r>
    <n v="11032"/>
    <s v="CUST348"/>
    <d v="2024-01-21T00:00:00"/>
    <s v="Electronics"/>
    <x v="1"/>
    <n v="1"/>
    <n v="430.49"/>
    <n v="430.49"/>
    <s v="Net Banking"/>
    <s v="Repeat Customer"/>
  </r>
  <r>
    <n v="11033"/>
    <s v="CUST132"/>
    <d v="2025-02-20T00:00:00"/>
    <s v="Electronics"/>
    <x v="3"/>
    <n v="6"/>
    <n v="337.48"/>
    <n v="2024.88"/>
    <s v="UPI"/>
    <s v="Repeat Customer"/>
  </r>
  <r>
    <n v="11034"/>
    <s v="CUST220"/>
    <d v="2024-04-24T00:00:00"/>
    <s v="Electronics"/>
    <x v="1"/>
    <n v="10"/>
    <n v="368.57"/>
    <n v="3685.7"/>
    <s v="Wallet"/>
    <s v="Repeat Customer"/>
  </r>
  <r>
    <n v="11035"/>
    <s v="CUST146"/>
    <d v="2024-08-31T00:00:00"/>
    <s v="Home"/>
    <x v="1"/>
    <n v="10"/>
    <n v="65.53"/>
    <n v="655.29999999999995"/>
    <s v="Wallet"/>
    <s v="Repeat Customer"/>
  </r>
  <r>
    <n v="11036"/>
    <s v="CUST220"/>
    <d v="2025-03-09T00:00:00"/>
    <s v="Fashion"/>
    <x v="2"/>
    <n v="4"/>
    <n v="76.42"/>
    <n v="305.68"/>
    <s v="Net Banking"/>
    <s v="Repeat Customer"/>
  </r>
  <r>
    <n v="11037"/>
    <s v="CUST325"/>
    <d v="2025-02-22T00:00:00"/>
    <s v="Electronics"/>
    <x v="3"/>
    <n v="5"/>
    <n v="432.14"/>
    <n v="2160.6999999999998"/>
    <s v="Net Banking"/>
    <s v="Repeat Customer"/>
  </r>
  <r>
    <n v="11038"/>
    <s v="CUST157"/>
    <d v="2024-11-20T00:00:00"/>
    <s v="Fashion"/>
    <x v="1"/>
    <n v="9"/>
    <n v="214.77"/>
    <n v="1932.93"/>
    <s v="UPI"/>
    <s v="Repeat Customer"/>
  </r>
  <r>
    <n v="11039"/>
    <s v="CUST285"/>
    <d v="2025-05-01T00:00:00"/>
    <s v="Electronics"/>
    <x v="0"/>
    <n v="6"/>
    <n v="411.58"/>
    <n v="2469.48"/>
    <s v="Credit Card"/>
    <s v="Repeat Customer"/>
  </r>
  <r>
    <n v="11040"/>
    <s v="CUST222"/>
    <d v="2024-09-16T00:00:00"/>
    <s v="Home"/>
    <x v="0"/>
    <n v="9"/>
    <n v="195.42"/>
    <n v="1758.78"/>
    <s v="UPI"/>
    <s v="Repeat Customer"/>
  </r>
  <r>
    <n v="11041"/>
    <s v="CUST326"/>
    <d v="2025-02-01T00:00:00"/>
    <s v="Beauty"/>
    <x v="1"/>
    <n v="1"/>
    <n v="455.35"/>
    <n v="455.35"/>
    <s v="Net Banking"/>
    <s v="Repeat Customer"/>
  </r>
  <r>
    <n v="11042"/>
    <s v="CUST146"/>
    <d v="2024-08-29T00:00:00"/>
    <s v="Fashion"/>
    <x v="3"/>
    <n v="5"/>
    <n v="109.14"/>
    <n v="545.70000000000005"/>
    <s v="Net Banking"/>
    <s v="Repeat Customer"/>
  </r>
  <r>
    <n v="11043"/>
    <s v="CUST308"/>
    <d v="2024-02-04T00:00:00"/>
    <s v="Beauty"/>
    <x v="3"/>
    <n v="5"/>
    <n v="433.89"/>
    <n v="2169.4499999999998"/>
    <s v="Wallet"/>
    <s v="Repeat Customer"/>
  </r>
  <r>
    <n v="11044"/>
    <s v="CUST270"/>
    <d v="2025-03-08T00:00:00"/>
    <s v="Home"/>
    <x v="0"/>
    <n v="2"/>
    <n v="413.08"/>
    <n v="826.16"/>
    <s v="Net Banking"/>
    <s v="Repeat Customer"/>
  </r>
  <r>
    <n v="11045"/>
    <s v="CUST315"/>
    <d v="2025-09-08T00:00:00"/>
    <s v="Beauty"/>
    <x v="0"/>
    <n v="9"/>
    <n v="370.2"/>
    <n v="3331.8"/>
    <s v="Credit Card"/>
    <s v="Repeat Customer"/>
  </r>
  <r>
    <n v="11046"/>
    <s v="CUST194"/>
    <d v="2025-10-07T00:00:00"/>
    <s v="Fashion"/>
    <x v="0"/>
    <n v="8"/>
    <n v="396.55"/>
    <n v="3172.4"/>
    <s v="Wallet"/>
    <s v="Repeat Customer"/>
  </r>
  <r>
    <n v="11047"/>
    <s v="CUST202"/>
    <d v="2025-10-05T00:00:00"/>
    <s v="Electronics"/>
    <x v="0"/>
    <n v="5"/>
    <n v="160.29"/>
    <n v="801.45"/>
    <s v="UPI"/>
    <s v="Repeat Customer"/>
  </r>
  <r>
    <n v="11048"/>
    <s v="CUST227"/>
    <d v="2025-06-12T00:00:00"/>
    <s v="Beauty"/>
    <x v="1"/>
    <n v="3"/>
    <n v="424.25"/>
    <n v="1272.75"/>
    <s v="Wallet"/>
    <s v="Repeat Customer"/>
  </r>
  <r>
    <n v="11049"/>
    <s v="CUST344"/>
    <d v="2024-05-16T00:00:00"/>
    <s v="Sports"/>
    <x v="1"/>
    <n v="5"/>
    <n v="90.87"/>
    <n v="454.35"/>
    <s v="Net Banking"/>
    <s v="Repeat Customer"/>
  </r>
  <r>
    <n v="11050"/>
    <s v="CUST201"/>
    <d v="2024-03-27T00:00:00"/>
    <s v="Beauty"/>
    <x v="3"/>
    <n v="7"/>
    <n v="186.96"/>
    <n v="1308.72"/>
    <s v="UPI"/>
    <s v="Repeat Customer"/>
  </r>
  <r>
    <n v="11051"/>
    <s v="CUST110"/>
    <d v="2024-01-24T00:00:00"/>
    <s v="Fashion"/>
    <x v="0"/>
    <n v="9"/>
    <n v="325.32"/>
    <n v="2927.88"/>
    <s v="Wallet"/>
    <s v="Repeat Customer"/>
  </r>
  <r>
    <n v="11052"/>
    <s v="CUST201"/>
    <d v="2024-09-25T00:00:00"/>
    <s v="Sports"/>
    <x v="3"/>
    <n v="3"/>
    <n v="29.64"/>
    <n v="88.92"/>
    <s v="Net Banking"/>
    <s v="Repeat Customer"/>
  </r>
  <r>
    <n v="11053"/>
    <s v="CUST176"/>
    <d v="2024-04-01T00:00:00"/>
    <s v="Sports"/>
    <x v="0"/>
    <n v="6"/>
    <n v="89.21"/>
    <n v="535.26"/>
    <s v="Credit Card"/>
    <s v="Repeat Customer"/>
  </r>
  <r>
    <n v="11054"/>
    <s v="CUST369"/>
    <d v="2025-03-21T00:00:00"/>
    <s v="Beauty"/>
    <x v="0"/>
    <n v="8"/>
    <n v="414.49"/>
    <n v="3315.92"/>
    <s v="UPI"/>
    <s v="Repeat Customer"/>
  </r>
  <r>
    <n v="11055"/>
    <s v="CUST204"/>
    <d v="2024-07-14T00:00:00"/>
    <s v="Beauty"/>
    <x v="3"/>
    <n v="5"/>
    <n v="147.54"/>
    <n v="737.7"/>
    <s v="UPI"/>
    <s v="Repeat Customer"/>
  </r>
  <r>
    <n v="11056"/>
    <s v="CUST320"/>
    <d v="2024-07-30T00:00:00"/>
    <s v="Home"/>
    <x v="2"/>
    <n v="10"/>
    <n v="111.71"/>
    <n v="1117.0999999999999"/>
    <s v="Wallet"/>
    <s v="Repeat Customer"/>
  </r>
  <r>
    <n v="11057"/>
    <s v="CUST192"/>
    <d v="2025-02-22T00:00:00"/>
    <s v="Home"/>
    <x v="2"/>
    <n v="3"/>
    <n v="19.239999999999998"/>
    <n v="57.72"/>
    <s v="Wallet"/>
    <s v="Repeat Customer"/>
  </r>
  <r>
    <n v="11058"/>
    <s v="CUST227"/>
    <d v="2025-01-13T00:00:00"/>
    <s v="Beauty"/>
    <x v="0"/>
    <n v="10"/>
    <n v="343.71"/>
    <n v="3437.1"/>
    <s v="Credit Card"/>
    <s v="Repeat Customer"/>
  </r>
  <r>
    <n v="11059"/>
    <s v="CUST340"/>
    <d v="2024-05-16T00:00:00"/>
    <s v="Beauty"/>
    <x v="2"/>
    <n v="6"/>
    <n v="487.33"/>
    <n v="2923.98"/>
    <s v="Wallet"/>
    <s v="Repeat Customer"/>
  </r>
  <r>
    <n v="11060"/>
    <s v="CUST316"/>
    <d v="2025-09-03T00:00:00"/>
    <s v="Sports"/>
    <x v="0"/>
    <n v="5"/>
    <n v="41.16"/>
    <n v="205.8"/>
    <s v="Credit Card"/>
    <s v="Repeat Customer"/>
  </r>
  <r>
    <n v="11061"/>
    <s v="CUST270"/>
    <d v="2024-08-28T00:00:00"/>
    <s v="Sports"/>
    <x v="0"/>
    <n v="8"/>
    <n v="454.57"/>
    <n v="3636.56"/>
    <s v="Credit Card"/>
    <s v="Repeat Customer"/>
  </r>
  <r>
    <n v="11062"/>
    <s v="CUST229"/>
    <d v="2025-05-31T00:00:00"/>
    <s v="Beauty"/>
    <x v="1"/>
    <n v="10"/>
    <n v="193.56"/>
    <n v="1935.6"/>
    <s v="UPI"/>
    <s v="Repeat Customer"/>
  </r>
  <r>
    <n v="11063"/>
    <s v="CUST386"/>
    <d v="2024-02-12T00:00:00"/>
    <s v="Fashion"/>
    <x v="3"/>
    <n v="10"/>
    <n v="93.79"/>
    <n v="937.9"/>
    <s v="Net Banking"/>
    <s v="Repeat Customer"/>
  </r>
  <r>
    <n v="11064"/>
    <s v="CUST339"/>
    <d v="2024-05-15T00:00:00"/>
    <s v="Sports"/>
    <x v="3"/>
    <n v="2"/>
    <n v="162.07"/>
    <n v="324.14"/>
    <s v="UPI"/>
    <s v="Repeat Customer"/>
  </r>
  <r>
    <n v="11065"/>
    <s v="CUST233"/>
    <d v="2024-04-29T00:00:00"/>
    <s v="Fashion"/>
    <x v="3"/>
    <n v="6"/>
    <n v="26.86"/>
    <n v="161.16"/>
    <s v="Net Banking"/>
    <s v="Repeat Customer"/>
  </r>
  <r>
    <n v="11066"/>
    <s v="CUST284"/>
    <d v="2025-03-16T00:00:00"/>
    <s v="Home"/>
    <x v="1"/>
    <n v="5"/>
    <n v="451.88"/>
    <n v="2259.4"/>
    <s v="Net Banking"/>
    <s v="Repeat Customer"/>
  </r>
  <r>
    <n v="11067"/>
    <s v="CUST323"/>
    <d v="2024-06-17T00:00:00"/>
    <s v="Beauty"/>
    <x v="2"/>
    <n v="6"/>
    <n v="369.75"/>
    <n v="2218.5"/>
    <s v="Wallet"/>
    <s v="Repeat Customer"/>
  </r>
  <r>
    <n v="11068"/>
    <s v="CUST127"/>
    <d v="2024-07-12T00:00:00"/>
    <s v="Fashion"/>
    <x v="0"/>
    <n v="3"/>
    <n v="32.01"/>
    <n v="96.03"/>
    <s v="Wallet"/>
    <s v="Repeat Customer"/>
  </r>
  <r>
    <n v="11069"/>
    <s v="CUST233"/>
    <d v="2024-06-16T00:00:00"/>
    <s v="Beauty"/>
    <x v="0"/>
    <n v="8"/>
    <n v="221.03"/>
    <n v="1768.24"/>
    <s v="Wallet"/>
    <s v="Repeat Customer"/>
  </r>
  <r>
    <n v="11070"/>
    <s v="CUST282"/>
    <d v="2025-12-27T00:00:00"/>
    <s v="Beauty"/>
    <x v="0"/>
    <n v="9"/>
    <n v="245.17"/>
    <n v="2206.5300000000002"/>
    <s v="UPI"/>
    <s v="Repeat Customer"/>
  </r>
  <r>
    <n v="11071"/>
    <s v="CUST163"/>
    <d v="2024-12-23T00:00:00"/>
    <s v="Home"/>
    <x v="2"/>
    <n v="2"/>
    <n v="105.85"/>
    <n v="211.7"/>
    <s v="UPI"/>
    <s v="Repeat Customer"/>
  </r>
  <r>
    <n v="11072"/>
    <s v="CUST360"/>
    <d v="2024-10-06T00:00:00"/>
    <s v="Sports"/>
    <x v="2"/>
    <n v="10"/>
    <n v="445.99"/>
    <n v="4459.8999999999996"/>
    <s v="Credit Card"/>
    <s v="Repeat Customer"/>
  </r>
  <r>
    <n v="11073"/>
    <s v="CUST369"/>
    <d v="2025-08-07T00:00:00"/>
    <s v="Electronics"/>
    <x v="2"/>
    <n v="3"/>
    <n v="211.13"/>
    <n v="633.39"/>
    <s v="Wallet"/>
    <s v="Repeat Customer"/>
  </r>
  <r>
    <n v="11074"/>
    <s v="CUST148"/>
    <d v="2024-12-02T00:00:00"/>
    <s v="Electronics"/>
    <x v="3"/>
    <n v="1"/>
    <n v="145.72"/>
    <n v="145.72"/>
    <s v="Net Banking"/>
    <s v="Repeat Customer"/>
  </r>
  <r>
    <n v="11075"/>
    <s v="CUST154"/>
    <d v="2024-11-27T00:00:00"/>
    <s v="Beauty"/>
    <x v="3"/>
    <n v="3"/>
    <n v="19.29"/>
    <n v="57.87"/>
    <s v="Wallet"/>
    <s v="Repeat Customer"/>
  </r>
  <r>
    <n v="11076"/>
    <s v="CUST237"/>
    <d v="2025-08-31T00:00:00"/>
    <s v="Electronics"/>
    <x v="3"/>
    <n v="1"/>
    <n v="168.07"/>
    <n v="168.07"/>
    <s v="Net Banking"/>
    <s v="Repeat Customer"/>
  </r>
  <r>
    <n v="11077"/>
    <s v="CUST391"/>
    <d v="2024-05-12T00:00:00"/>
    <s v="Home"/>
    <x v="1"/>
    <n v="4"/>
    <n v="432.32"/>
    <n v="1729.28"/>
    <s v="Credit Card"/>
    <s v="Repeat Customer"/>
  </r>
  <r>
    <n v="11078"/>
    <s v="CUST136"/>
    <d v="2025-07-14T00:00:00"/>
    <s v="Beauty"/>
    <x v="1"/>
    <n v="10"/>
    <n v="193.79"/>
    <n v="1937.9"/>
    <s v="UPI"/>
    <s v="Repeat Customer"/>
  </r>
  <r>
    <n v="11079"/>
    <s v="CUST222"/>
    <d v="2025-02-12T00:00:00"/>
    <s v="Fashion"/>
    <x v="2"/>
    <n v="2"/>
    <n v="15.15"/>
    <n v="30.3"/>
    <s v="Wallet"/>
    <s v="Repeat Customer"/>
  </r>
  <r>
    <n v="11080"/>
    <s v="CUST306"/>
    <d v="2024-10-18T00:00:00"/>
    <s v="Beauty"/>
    <x v="3"/>
    <n v="3"/>
    <n v="64.7"/>
    <n v="194.1"/>
    <s v="Net Banking"/>
    <s v="Repeat Customer"/>
  </r>
  <r>
    <n v="11081"/>
    <s v="CUST167"/>
    <d v="2025-01-02T00:00:00"/>
    <s v="Sports"/>
    <x v="2"/>
    <n v="2"/>
    <n v="416.87"/>
    <n v="833.74"/>
    <s v="Wallet"/>
    <s v="Repeat Customer"/>
  </r>
  <r>
    <n v="11082"/>
    <s v="CUST328"/>
    <d v="2025-02-01T00:00:00"/>
    <s v="Sports"/>
    <x v="3"/>
    <n v="8"/>
    <n v="137.9"/>
    <n v="1103.2"/>
    <s v="Credit Card"/>
    <s v="Repeat Customer"/>
  </r>
  <r>
    <n v="11083"/>
    <s v="CUST316"/>
    <d v="2025-01-12T00:00:00"/>
    <s v="Beauty"/>
    <x v="0"/>
    <n v="10"/>
    <n v="97.25"/>
    <n v="972.5"/>
    <s v="Credit Card"/>
    <s v="Repeat Customer"/>
  </r>
  <r>
    <n v="11084"/>
    <s v="CUST362"/>
    <d v="2024-12-15T00:00:00"/>
    <s v="Fashion"/>
    <x v="3"/>
    <n v="8"/>
    <n v="339.84"/>
    <n v="2718.72"/>
    <s v="Credit Card"/>
    <s v="Repeat Customer"/>
  </r>
  <r>
    <n v="11085"/>
    <s v="CUST248"/>
    <d v="2025-04-24T00:00:00"/>
    <s v="Beauty"/>
    <x v="1"/>
    <n v="7"/>
    <n v="44.2"/>
    <n v="309.39999999999998"/>
    <s v="UPI"/>
    <s v="Repeat Customer"/>
  </r>
  <r>
    <n v="11086"/>
    <s v="CUST165"/>
    <d v="2025-12-01T00:00:00"/>
    <s v="Sports"/>
    <x v="3"/>
    <n v="5"/>
    <n v="421.56"/>
    <n v="2107.8000000000002"/>
    <s v="Net Banking"/>
    <s v="Repeat Customer"/>
  </r>
  <r>
    <n v="11087"/>
    <s v="CUST391"/>
    <d v="2024-02-18T00:00:00"/>
    <s v="Electronics"/>
    <x v="0"/>
    <n v="9"/>
    <n v="42.88"/>
    <n v="385.92"/>
    <s v="Wallet"/>
    <s v="Repeat Customer"/>
  </r>
  <r>
    <n v="11088"/>
    <s v="CUST311"/>
    <d v="2024-04-06T00:00:00"/>
    <s v="Sports"/>
    <x v="1"/>
    <n v="8"/>
    <n v="332.12"/>
    <n v="2656.96"/>
    <s v="Net Banking"/>
    <s v="Repeat Customer"/>
  </r>
  <r>
    <n v="11089"/>
    <s v="CUST230"/>
    <d v="2025-08-22T00:00:00"/>
    <s v="Electronics"/>
    <x v="0"/>
    <n v="2"/>
    <n v="385.48"/>
    <n v="770.96"/>
    <s v="Wallet"/>
    <s v="Repeat Customer"/>
  </r>
  <r>
    <n v="11090"/>
    <s v="CUST191"/>
    <d v="2024-07-05T00:00:00"/>
    <s v="Beauty"/>
    <x v="1"/>
    <n v="7"/>
    <n v="27.4"/>
    <n v="191.8"/>
    <s v="Net Banking"/>
    <s v="Repeat Customer"/>
  </r>
  <r>
    <n v="11091"/>
    <s v="CUST332"/>
    <d v="2025-11-17T00:00:00"/>
    <s v="Home"/>
    <x v="1"/>
    <n v="8"/>
    <n v="313.79000000000002"/>
    <n v="2510.3200000000002"/>
    <s v="UPI"/>
    <s v="Repeat Customer"/>
  </r>
  <r>
    <n v="11092"/>
    <s v="CUST208"/>
    <d v="2024-07-08T00:00:00"/>
    <s v="Sports"/>
    <x v="1"/>
    <n v="2"/>
    <n v="374.78"/>
    <n v="749.56"/>
    <s v="Credit Card"/>
    <s v="Repeat Customer"/>
  </r>
  <r>
    <n v="11093"/>
    <s v="CUST322"/>
    <d v="2025-07-01T00:00:00"/>
    <s v="Electronics"/>
    <x v="0"/>
    <n v="1"/>
    <n v="7.89"/>
    <n v="7.89"/>
    <s v="UPI"/>
    <s v="Repeat Customer"/>
  </r>
  <r>
    <n v="11094"/>
    <s v="CUST344"/>
    <d v="2025-04-16T00:00:00"/>
    <s v="Sports"/>
    <x v="3"/>
    <n v="7"/>
    <n v="435.05"/>
    <n v="3045.35"/>
    <s v="Net Banking"/>
    <s v="Repeat Customer"/>
  </r>
  <r>
    <n v="11095"/>
    <s v="CUST284"/>
    <d v="2025-12-08T00:00:00"/>
    <s v="Electronics"/>
    <x v="2"/>
    <n v="7"/>
    <n v="403.3"/>
    <n v="2823.1"/>
    <s v="UPI"/>
    <s v="Repeat Customer"/>
  </r>
  <r>
    <n v="11096"/>
    <s v="CUST107"/>
    <d v="2024-07-14T00:00:00"/>
    <s v="Fashion"/>
    <x v="0"/>
    <n v="2"/>
    <n v="408.9"/>
    <n v="817.8"/>
    <s v="UPI"/>
    <s v="Repeat Customer"/>
  </r>
  <r>
    <n v="11097"/>
    <s v="CUST346"/>
    <d v="2025-10-26T00:00:00"/>
    <s v="Beauty"/>
    <x v="2"/>
    <n v="3"/>
    <n v="326.62"/>
    <n v="979.86"/>
    <s v="Credit Card"/>
    <s v="Repeat Customer"/>
  </r>
  <r>
    <n v="11098"/>
    <s v="CUST254"/>
    <d v="2025-04-19T00:00:00"/>
    <s v="Electronics"/>
    <x v="0"/>
    <n v="3"/>
    <n v="239.62"/>
    <n v="718.86"/>
    <s v="UPI"/>
    <s v="Repeat Customer"/>
  </r>
  <r>
    <n v="11099"/>
    <s v="CUST178"/>
    <d v="2025-12-20T00:00:00"/>
    <s v="Beauty"/>
    <x v="0"/>
    <n v="8"/>
    <n v="482.11"/>
    <n v="3856.88"/>
    <s v="Wallet"/>
    <s v="Repeat Customer"/>
  </r>
  <r>
    <n v="11100"/>
    <s v="CUST399"/>
    <d v="2024-09-05T00:00:00"/>
    <s v="Beauty"/>
    <x v="0"/>
    <n v="4"/>
    <n v="150.94"/>
    <n v="603.76"/>
    <s v="Net Banking"/>
    <s v="Repeat Customer"/>
  </r>
  <r>
    <n v="11101"/>
    <s v="CUST104"/>
    <d v="2024-04-15T00:00:00"/>
    <s v="Beauty"/>
    <x v="1"/>
    <n v="7"/>
    <n v="489.85"/>
    <n v="3428.95"/>
    <s v="Credit Card"/>
    <s v="Repeat Customer"/>
  </r>
  <r>
    <n v="11102"/>
    <s v="CUST349"/>
    <d v="2025-02-13T00:00:00"/>
    <s v="Sports"/>
    <x v="3"/>
    <n v="8"/>
    <n v="259.11"/>
    <n v="2072.88"/>
    <s v="UPI"/>
    <s v="Repeat Customer"/>
  </r>
  <r>
    <n v="11103"/>
    <s v="CUST131"/>
    <d v="2025-06-24T00:00:00"/>
    <s v="Home"/>
    <x v="0"/>
    <n v="1"/>
    <n v="213.89"/>
    <n v="213.89"/>
    <s v="Net Banking"/>
    <s v="Repeat Customer"/>
  </r>
  <r>
    <n v="11104"/>
    <s v="CUST313"/>
    <d v="2025-04-29T00:00:00"/>
    <s v="Home"/>
    <x v="3"/>
    <n v="2"/>
    <n v="249.92"/>
    <n v="499.84"/>
    <s v="Wallet"/>
    <s v="Repeat Customer"/>
  </r>
  <r>
    <n v="11105"/>
    <s v="CUST110"/>
    <d v="2024-06-14T00:00:00"/>
    <s v="Beauty"/>
    <x v="1"/>
    <n v="5"/>
    <n v="364.47"/>
    <n v="1822.35"/>
    <s v="Wallet"/>
    <s v="Repeat Customer"/>
  </r>
  <r>
    <n v="11106"/>
    <s v="CUST218"/>
    <d v="2025-06-03T00:00:00"/>
    <s v="Home"/>
    <x v="3"/>
    <n v="4"/>
    <n v="295.89"/>
    <n v="1183.56"/>
    <s v="UPI"/>
    <s v="Repeat Customer"/>
  </r>
  <r>
    <n v="11107"/>
    <s v="CUST250"/>
    <d v="2025-12-29T00:00:00"/>
    <s v="Home"/>
    <x v="3"/>
    <n v="7"/>
    <n v="480.1"/>
    <n v="3360.7"/>
    <s v="UPI"/>
    <s v="Repeat Customer"/>
  </r>
  <r>
    <n v="11108"/>
    <s v="CUST206"/>
    <d v="2024-10-16T00:00:00"/>
    <s v="Fashion"/>
    <x v="2"/>
    <n v="2"/>
    <n v="335.19"/>
    <n v="670.38"/>
    <s v="UPI"/>
    <s v="Repeat Customer"/>
  </r>
  <r>
    <n v="11109"/>
    <s v="CUST180"/>
    <d v="2025-09-12T00:00:00"/>
    <s v="Beauty"/>
    <x v="3"/>
    <n v="8"/>
    <n v="54.95"/>
    <n v="439.6"/>
    <s v="Net Banking"/>
    <s v="Repeat Customer"/>
  </r>
  <r>
    <n v="11110"/>
    <s v="CUST220"/>
    <d v="2024-08-02T00:00:00"/>
    <s v="Electronics"/>
    <x v="1"/>
    <n v="9"/>
    <n v="28.29"/>
    <n v="254.61"/>
    <s v="Net Banking"/>
    <s v="Repeat Customer"/>
  </r>
  <r>
    <n v="11111"/>
    <s v="CUST282"/>
    <d v="2025-11-24T00:00:00"/>
    <s v="Sports"/>
    <x v="0"/>
    <n v="3"/>
    <n v="91.48"/>
    <n v="274.44"/>
    <s v="Credit Card"/>
    <s v="Repeat Customer"/>
  </r>
  <r>
    <n v="11112"/>
    <s v="CUST272"/>
    <d v="2025-03-16T00:00:00"/>
    <s v="Electronics"/>
    <x v="2"/>
    <n v="2"/>
    <n v="310.69"/>
    <n v="621.38"/>
    <s v="Wallet"/>
    <s v="Repeat Customer"/>
  </r>
  <r>
    <n v="11113"/>
    <s v="CUST232"/>
    <d v="2024-12-14T00:00:00"/>
    <s v="Sports"/>
    <x v="1"/>
    <n v="6"/>
    <n v="385.84"/>
    <n v="2315.04"/>
    <s v="UPI"/>
    <s v="Repeat Customer"/>
  </r>
  <r>
    <n v="11114"/>
    <s v="CUST363"/>
    <d v="2025-09-10T00:00:00"/>
    <s v="Beauty"/>
    <x v="3"/>
    <n v="2"/>
    <n v="354.67"/>
    <n v="709.34"/>
    <s v="Credit Card"/>
    <s v="Repeat Customer"/>
  </r>
  <r>
    <n v="11115"/>
    <s v="CUST154"/>
    <d v="2025-09-17T00:00:00"/>
    <s v="Electronics"/>
    <x v="0"/>
    <n v="10"/>
    <n v="392.17"/>
    <n v="3921.7"/>
    <s v="Credit Card"/>
    <s v="Repeat Customer"/>
  </r>
  <r>
    <n v="11116"/>
    <s v="CUST185"/>
    <d v="2025-10-07T00:00:00"/>
    <s v="Home"/>
    <x v="2"/>
    <n v="2"/>
    <n v="436.08"/>
    <n v="872.16"/>
    <s v="Net Banking"/>
    <s v="Repeat Customer"/>
  </r>
  <r>
    <n v="11117"/>
    <s v="CUST326"/>
    <d v="2025-06-02T00:00:00"/>
    <s v="Electronics"/>
    <x v="2"/>
    <n v="8"/>
    <n v="367.61"/>
    <n v="2940.88"/>
    <s v="Net Banking"/>
    <s v="Repeat Customer"/>
  </r>
  <r>
    <n v="11118"/>
    <s v="CUST271"/>
    <d v="2024-05-21T00:00:00"/>
    <s v="Beauty"/>
    <x v="3"/>
    <n v="2"/>
    <n v="425.05"/>
    <n v="850.1"/>
    <s v="Credit Card"/>
    <s v="Repeat Customer"/>
  </r>
  <r>
    <n v="11119"/>
    <s v="CUST225"/>
    <d v="2025-04-30T00:00:00"/>
    <s v="Fashion"/>
    <x v="0"/>
    <n v="6"/>
    <n v="146.94999999999999"/>
    <n v="881.7"/>
    <s v="Net Banking"/>
    <s v="Repeat Customer"/>
  </r>
  <r>
    <n v="11120"/>
    <s v="CUST290"/>
    <d v="2025-02-28T00:00:00"/>
    <s v="Fashion"/>
    <x v="2"/>
    <n v="6"/>
    <n v="316.57"/>
    <n v="1899.42"/>
    <s v="Wallet"/>
    <s v="Repeat Customer"/>
  </r>
  <r>
    <n v="11121"/>
    <s v="CUST216"/>
    <d v="2024-05-21T00:00:00"/>
    <s v="Beauty"/>
    <x v="3"/>
    <n v="7"/>
    <n v="209.64"/>
    <n v="1467.48"/>
    <s v="Net Banking"/>
    <s v="Repeat Customer"/>
  </r>
  <r>
    <n v="11122"/>
    <s v="CUST115"/>
    <d v="2025-03-29T00:00:00"/>
    <s v="Sports"/>
    <x v="0"/>
    <n v="3"/>
    <n v="386.23"/>
    <n v="1158.69"/>
    <s v="Credit Card"/>
    <s v="Repeat Customer"/>
  </r>
  <r>
    <n v="11123"/>
    <s v="CUST273"/>
    <d v="2024-11-18T00:00:00"/>
    <s v="Fashion"/>
    <x v="3"/>
    <n v="7"/>
    <n v="491.06"/>
    <n v="3437.42"/>
    <s v="Credit Card"/>
    <s v="Repeat Customer"/>
  </r>
  <r>
    <n v="11124"/>
    <s v="CUST301"/>
    <d v="2024-02-07T00:00:00"/>
    <s v="Electronics"/>
    <x v="1"/>
    <n v="3"/>
    <n v="451.74"/>
    <n v="1355.22"/>
    <s v="Wallet"/>
    <s v="New Customer"/>
  </r>
  <r>
    <n v="11125"/>
    <s v="CUST305"/>
    <d v="2025-11-28T00:00:00"/>
    <s v="Home"/>
    <x v="1"/>
    <n v="9"/>
    <n v="437.41"/>
    <n v="3936.69"/>
    <s v="Credit Card"/>
    <s v="Repeat Customer"/>
  </r>
  <r>
    <n v="11126"/>
    <s v="CUST243"/>
    <d v="2025-06-24T00:00:00"/>
    <s v="Beauty"/>
    <x v="3"/>
    <n v="10"/>
    <n v="460.62"/>
    <n v="4606.2"/>
    <s v="UPI"/>
    <s v="Repeat Customer"/>
  </r>
  <r>
    <n v="11127"/>
    <s v="CUST378"/>
    <d v="2025-10-01T00:00:00"/>
    <s v="Home"/>
    <x v="3"/>
    <n v="10"/>
    <n v="327.76"/>
    <n v="3277.6"/>
    <s v="UPI"/>
    <s v="Repeat Customer"/>
  </r>
  <r>
    <n v="11128"/>
    <s v="CUST254"/>
    <d v="2024-03-27T00:00:00"/>
    <s v="Beauty"/>
    <x v="2"/>
    <n v="1"/>
    <n v="271.02999999999997"/>
    <n v="271.02999999999997"/>
    <s v="Net Banking"/>
    <s v="Repeat Customer"/>
  </r>
  <r>
    <n v="11129"/>
    <s v="CUST209"/>
    <d v="2024-04-05T00:00:00"/>
    <s v="Sports"/>
    <x v="1"/>
    <n v="9"/>
    <n v="278.13"/>
    <n v="2503.17"/>
    <s v="UPI"/>
    <s v="Repeat Customer"/>
  </r>
  <r>
    <n v="11130"/>
    <s v="CUST111"/>
    <d v="2024-01-29T00:00:00"/>
    <s v="Fashion"/>
    <x v="1"/>
    <n v="9"/>
    <n v="298.29000000000002"/>
    <n v="2684.61"/>
    <s v="Wallet"/>
    <s v="Repeat Customer"/>
  </r>
  <r>
    <n v="11131"/>
    <s v="CUST358"/>
    <d v="2024-04-23T00:00:00"/>
    <s v="Home"/>
    <x v="1"/>
    <n v="1"/>
    <n v="421.58"/>
    <n v="421.58"/>
    <s v="Credit Card"/>
    <s v="Repeat Customer"/>
  </r>
  <r>
    <n v="11132"/>
    <s v="CUST124"/>
    <d v="2025-10-28T00:00:00"/>
    <s v="Sports"/>
    <x v="0"/>
    <n v="2"/>
    <n v="227.12"/>
    <n v="454.24"/>
    <s v="Wallet"/>
    <s v="Repeat Customer"/>
  </r>
  <r>
    <n v="11133"/>
    <s v="CUST273"/>
    <d v="2024-08-29T00:00:00"/>
    <s v="Sports"/>
    <x v="2"/>
    <n v="10"/>
    <n v="284.97000000000003"/>
    <n v="2849.7"/>
    <s v="Net Banking"/>
    <s v="Repeat Customer"/>
  </r>
  <r>
    <n v="11134"/>
    <s v="CUST253"/>
    <d v="2024-10-18T00:00:00"/>
    <s v="Beauty"/>
    <x v="2"/>
    <n v="10"/>
    <n v="337.85"/>
    <n v="3378.5"/>
    <s v="Credit Card"/>
    <s v="Repeat Customer"/>
  </r>
  <r>
    <n v="11135"/>
    <s v="CUST267"/>
    <d v="2025-06-12T00:00:00"/>
    <s v="Home"/>
    <x v="3"/>
    <n v="10"/>
    <n v="100.31"/>
    <n v="1003.1"/>
    <s v="Credit Card"/>
    <s v="Repeat Customer"/>
  </r>
  <r>
    <n v="11136"/>
    <s v="CUST175"/>
    <d v="2025-12-29T00:00:00"/>
    <s v="Electronics"/>
    <x v="0"/>
    <n v="7"/>
    <n v="415.08"/>
    <n v="2905.56"/>
    <s v="Credit Card"/>
    <s v="Repeat Customer"/>
  </r>
  <r>
    <n v="11137"/>
    <s v="CUST317"/>
    <d v="2024-05-13T00:00:00"/>
    <s v="Electronics"/>
    <x v="1"/>
    <n v="8"/>
    <n v="111.32"/>
    <n v="890.56"/>
    <s v="Wallet"/>
    <s v="Repeat Customer"/>
  </r>
  <r>
    <n v="11138"/>
    <s v="CUST386"/>
    <d v="2025-06-15T00:00:00"/>
    <s v="Sports"/>
    <x v="3"/>
    <n v="7"/>
    <n v="436.65"/>
    <n v="3056.55"/>
    <s v="Wallet"/>
    <s v="Repeat Customer"/>
  </r>
  <r>
    <n v="11139"/>
    <s v="CUST325"/>
    <d v="2025-12-06T00:00:00"/>
    <s v="Beauty"/>
    <x v="2"/>
    <n v="8"/>
    <n v="367.2"/>
    <n v="2937.6"/>
    <s v="UPI"/>
    <s v="Repeat Customer"/>
  </r>
  <r>
    <n v="11140"/>
    <s v="CUST358"/>
    <d v="2024-05-10T00:00:00"/>
    <s v="Fashion"/>
    <x v="0"/>
    <n v="8"/>
    <n v="357.02"/>
    <n v="2856.16"/>
    <s v="UPI"/>
    <s v="Repeat Customer"/>
  </r>
  <r>
    <n v="11141"/>
    <s v="CUST333"/>
    <d v="2025-04-29T00:00:00"/>
    <s v="Sports"/>
    <x v="1"/>
    <n v="1"/>
    <n v="374.52"/>
    <n v="374.52"/>
    <s v="Credit Card"/>
    <s v="Repeat Customer"/>
  </r>
  <r>
    <n v="11142"/>
    <s v="CUST309"/>
    <d v="2024-04-22T00:00:00"/>
    <s v="Home"/>
    <x v="0"/>
    <n v="2"/>
    <n v="187.95"/>
    <n v="375.9"/>
    <s v="UPI"/>
    <s v="Repeat Customer"/>
  </r>
  <r>
    <n v="11143"/>
    <s v="CUST160"/>
    <d v="2025-01-15T00:00:00"/>
    <s v="Home"/>
    <x v="1"/>
    <n v="5"/>
    <n v="495.55"/>
    <n v="2477.75"/>
    <s v="Wallet"/>
    <s v="Repeat Customer"/>
  </r>
  <r>
    <n v="11144"/>
    <s v="CUST114"/>
    <d v="2024-05-26T00:00:00"/>
    <s v="Beauty"/>
    <x v="0"/>
    <n v="3"/>
    <n v="392.98"/>
    <n v="1178.94"/>
    <s v="Net Banking"/>
    <s v="Repeat Customer"/>
  </r>
  <r>
    <n v="11145"/>
    <s v="CUST245"/>
    <d v="2024-08-08T00:00:00"/>
    <s v="Beauty"/>
    <x v="0"/>
    <n v="3"/>
    <n v="410.47"/>
    <n v="1231.4100000000001"/>
    <s v="Credit Card"/>
    <s v="Repeat Customer"/>
  </r>
  <r>
    <n v="11146"/>
    <s v="CUST380"/>
    <d v="2024-12-23T00:00:00"/>
    <s v="Beauty"/>
    <x v="3"/>
    <n v="2"/>
    <n v="435.86"/>
    <n v="871.72"/>
    <s v="Net Banking"/>
    <s v="New Customer"/>
  </r>
  <r>
    <n v="11147"/>
    <s v="CUST389"/>
    <d v="2025-04-08T00:00:00"/>
    <s v="Beauty"/>
    <x v="2"/>
    <n v="6"/>
    <n v="391.77"/>
    <n v="2350.62"/>
    <s v="UPI"/>
    <s v="Repeat Customer"/>
  </r>
  <r>
    <n v="11148"/>
    <s v="CUST358"/>
    <d v="2025-10-13T00:00:00"/>
    <s v="Beauty"/>
    <x v="2"/>
    <n v="8"/>
    <n v="382.03"/>
    <n v="3056.24"/>
    <s v="Net Banking"/>
    <s v="Repeat Customer"/>
  </r>
  <r>
    <n v="11149"/>
    <s v="CUST145"/>
    <d v="2025-10-01T00:00:00"/>
    <s v="Fashion"/>
    <x v="3"/>
    <n v="10"/>
    <n v="207.77"/>
    <n v="2077.6999999999998"/>
    <s v="Net Banking"/>
    <s v="Repeat Customer"/>
  </r>
  <r>
    <n v="11150"/>
    <s v="CUST376"/>
    <d v="2024-02-16T00:00:00"/>
    <s v="Electronics"/>
    <x v="2"/>
    <n v="8"/>
    <n v="369.28"/>
    <n v="2954.24"/>
    <s v="Credit Card"/>
    <s v="Repeat Customer"/>
  </r>
  <r>
    <n v="11151"/>
    <s v="CUST392"/>
    <d v="2025-10-07T00:00:00"/>
    <s v="Electronics"/>
    <x v="0"/>
    <n v="5"/>
    <n v="282.72000000000003"/>
    <n v="1413.6"/>
    <s v="UPI"/>
    <s v="Repeat Customer"/>
  </r>
  <r>
    <n v="11152"/>
    <s v="CUST377"/>
    <d v="2025-08-13T00:00:00"/>
    <s v="Sports"/>
    <x v="2"/>
    <n v="1"/>
    <n v="478.86"/>
    <n v="478.86"/>
    <s v="Wallet"/>
    <s v="Repeat Customer"/>
  </r>
  <r>
    <n v="11153"/>
    <s v="CUST357"/>
    <d v="2024-01-20T00:00:00"/>
    <s v="Sports"/>
    <x v="2"/>
    <n v="2"/>
    <n v="330.84"/>
    <n v="661.68"/>
    <s v="Credit Card"/>
    <s v="Repeat Customer"/>
  </r>
  <r>
    <n v="11154"/>
    <s v="CUST240"/>
    <d v="2024-07-29T00:00:00"/>
    <s v="Sports"/>
    <x v="3"/>
    <n v="4"/>
    <n v="415.7"/>
    <n v="1662.8"/>
    <s v="Credit Card"/>
    <s v="Repeat Customer"/>
  </r>
  <r>
    <n v="11155"/>
    <s v="CUST373"/>
    <d v="2025-09-13T00:00:00"/>
    <s v="Electronics"/>
    <x v="3"/>
    <n v="6"/>
    <n v="203.89"/>
    <n v="1223.3399999999999"/>
    <s v="Credit Card"/>
    <s v="Repeat Customer"/>
  </r>
  <r>
    <n v="11156"/>
    <s v="CUST274"/>
    <d v="2025-03-23T00:00:00"/>
    <s v="Sports"/>
    <x v="1"/>
    <n v="3"/>
    <n v="210.39"/>
    <n v="631.16999999999996"/>
    <s v="Wallet"/>
    <s v="Repeat Customer"/>
  </r>
  <r>
    <n v="11157"/>
    <s v="CUST231"/>
    <d v="2024-04-03T00:00:00"/>
    <s v="Sports"/>
    <x v="2"/>
    <n v="2"/>
    <n v="489.99"/>
    <n v="979.98"/>
    <s v="Net Banking"/>
    <s v="Repeat Customer"/>
  </r>
  <r>
    <n v="11158"/>
    <s v="CUST173"/>
    <d v="2024-07-06T00:00:00"/>
    <s v="Fashion"/>
    <x v="1"/>
    <n v="5"/>
    <n v="385.31"/>
    <n v="1926.55"/>
    <s v="Wallet"/>
    <s v="Repeat Customer"/>
  </r>
  <r>
    <n v="11159"/>
    <s v="CUST186"/>
    <d v="2024-03-01T00:00:00"/>
    <s v="Fashion"/>
    <x v="0"/>
    <n v="10"/>
    <n v="480.76"/>
    <n v="4807.6000000000004"/>
    <s v="Credit Card"/>
    <s v="Repeat Customer"/>
  </r>
  <r>
    <n v="11160"/>
    <s v="CUST252"/>
    <d v="2025-02-03T00:00:00"/>
    <s v="Beauty"/>
    <x v="1"/>
    <n v="2"/>
    <n v="163.41999999999999"/>
    <n v="326.83999999999997"/>
    <s v="Net Banking"/>
    <s v="Repeat Customer"/>
  </r>
  <r>
    <n v="11161"/>
    <s v="CUST292"/>
    <d v="2024-05-03T00:00:00"/>
    <s v="Sports"/>
    <x v="2"/>
    <n v="1"/>
    <n v="105.27"/>
    <n v="105.27"/>
    <s v="Wallet"/>
    <s v="Repeat Customer"/>
  </r>
  <r>
    <n v="11162"/>
    <s v="CUST360"/>
    <d v="2025-05-31T00:00:00"/>
    <s v="Home"/>
    <x v="0"/>
    <n v="7"/>
    <n v="474.93"/>
    <n v="3324.51"/>
    <s v="Net Banking"/>
    <s v="Repeat Customer"/>
  </r>
  <r>
    <n v="11163"/>
    <s v="CUST337"/>
    <d v="2025-07-20T00:00:00"/>
    <s v="Electronics"/>
    <x v="3"/>
    <n v="7"/>
    <n v="37.4"/>
    <n v="261.8"/>
    <s v="UPI"/>
    <s v="Repeat Customer"/>
  </r>
  <r>
    <n v="11164"/>
    <s v="CUST109"/>
    <d v="2024-10-02T00:00:00"/>
    <s v="Electronics"/>
    <x v="2"/>
    <n v="9"/>
    <n v="481.92"/>
    <n v="4337.28"/>
    <s v="UPI"/>
    <s v="Repeat Customer"/>
  </r>
  <r>
    <n v="11165"/>
    <s v="CUST255"/>
    <d v="2025-08-04T00:00:00"/>
    <s v="Sports"/>
    <x v="2"/>
    <n v="7"/>
    <n v="225.76"/>
    <n v="1580.32"/>
    <s v="UPI"/>
    <s v="Repeat Customer"/>
  </r>
  <r>
    <n v="11166"/>
    <s v="CUST291"/>
    <d v="2025-07-07T00:00:00"/>
    <s v="Sports"/>
    <x v="3"/>
    <n v="3"/>
    <n v="392.1"/>
    <n v="1176.3"/>
    <s v="Wallet"/>
    <s v="Repeat Customer"/>
  </r>
  <r>
    <n v="11167"/>
    <s v="CUST121"/>
    <d v="2024-01-02T00:00:00"/>
    <s v="Sports"/>
    <x v="1"/>
    <n v="8"/>
    <n v="480.75"/>
    <n v="3846"/>
    <s v="UPI"/>
    <s v="Repeat Customer"/>
  </r>
  <r>
    <n v="11168"/>
    <s v="CUST100"/>
    <d v="2024-03-02T00:00:00"/>
    <s v="Home"/>
    <x v="3"/>
    <n v="8"/>
    <n v="140.28"/>
    <n v="1122.24"/>
    <s v="Net Banking"/>
    <s v="Repeat Customer"/>
  </r>
  <r>
    <n v="11169"/>
    <s v="CUST208"/>
    <d v="2025-08-22T00:00:00"/>
    <s v="Fashion"/>
    <x v="0"/>
    <n v="9"/>
    <n v="144.25"/>
    <n v="1298.25"/>
    <s v="Net Banking"/>
    <s v="Repeat Customer"/>
  </r>
  <r>
    <n v="11170"/>
    <s v="CUST145"/>
    <d v="2025-02-08T00:00:00"/>
    <s v="Sports"/>
    <x v="1"/>
    <n v="2"/>
    <n v="416.1"/>
    <n v="832.2"/>
    <s v="Wallet"/>
    <s v="Repeat Customer"/>
  </r>
  <r>
    <n v="11171"/>
    <s v="CUST207"/>
    <d v="2025-09-17T00:00:00"/>
    <s v="Home"/>
    <x v="1"/>
    <n v="9"/>
    <n v="478.92"/>
    <n v="4310.28"/>
    <s v="Net Banking"/>
    <s v="Repeat Customer"/>
  </r>
  <r>
    <n v="11172"/>
    <s v="CUST331"/>
    <d v="2024-10-06T00:00:00"/>
    <s v="Home"/>
    <x v="1"/>
    <n v="4"/>
    <n v="332.83"/>
    <n v="1331.32"/>
    <s v="UPI"/>
    <s v="Repeat Customer"/>
  </r>
  <r>
    <n v="11173"/>
    <s v="CUST335"/>
    <d v="2025-09-05T00:00:00"/>
    <s v="Fashion"/>
    <x v="0"/>
    <n v="6"/>
    <n v="12.86"/>
    <n v="77.16"/>
    <s v="Wallet"/>
    <s v="Repeat Customer"/>
  </r>
  <r>
    <n v="11174"/>
    <s v="CUST102"/>
    <d v="2024-01-10T00:00:00"/>
    <s v="Beauty"/>
    <x v="3"/>
    <n v="3"/>
    <n v="209.52"/>
    <n v="628.55999999999995"/>
    <s v="Credit Card"/>
    <s v="Repeat Customer"/>
  </r>
  <r>
    <n v="11175"/>
    <s v="CUST139"/>
    <d v="2025-07-05T00:00:00"/>
    <s v="Beauty"/>
    <x v="0"/>
    <n v="1"/>
    <n v="446.82"/>
    <n v="446.82"/>
    <s v="Net Banking"/>
    <s v="Repeat Customer"/>
  </r>
  <r>
    <n v="11176"/>
    <s v="CUST292"/>
    <d v="2025-09-07T00:00:00"/>
    <s v="Electronics"/>
    <x v="0"/>
    <n v="6"/>
    <n v="196.44"/>
    <n v="1178.6400000000001"/>
    <s v="Wallet"/>
    <s v="Repeat Customer"/>
  </r>
  <r>
    <n v="11177"/>
    <s v="CUST289"/>
    <d v="2024-07-16T00:00:00"/>
    <s v="Electronics"/>
    <x v="1"/>
    <n v="8"/>
    <n v="9.6300000000000008"/>
    <n v="77.040000000000006"/>
    <s v="Net Banking"/>
    <s v="Repeat Customer"/>
  </r>
  <r>
    <n v="11178"/>
    <s v="CUST198"/>
    <d v="2024-04-02T00:00:00"/>
    <s v="Fashion"/>
    <x v="2"/>
    <n v="10"/>
    <n v="314.49"/>
    <n v="3144.9"/>
    <s v="Wallet"/>
    <s v="Repeat Customer"/>
  </r>
  <r>
    <n v="11179"/>
    <s v="CUST285"/>
    <d v="2024-02-07T00:00:00"/>
    <s v="Sports"/>
    <x v="2"/>
    <n v="5"/>
    <n v="248.95"/>
    <n v="1244.75"/>
    <s v="Credit Card"/>
    <s v="Repeat Customer"/>
  </r>
  <r>
    <n v="11180"/>
    <s v="CUST200"/>
    <d v="2025-10-15T00:00:00"/>
    <s v="Home"/>
    <x v="3"/>
    <n v="7"/>
    <n v="59.92"/>
    <n v="419.44"/>
    <s v="UPI"/>
    <s v="Repeat Customer"/>
  </r>
  <r>
    <n v="11181"/>
    <s v="CUST382"/>
    <d v="2024-07-17T00:00:00"/>
    <s v="Sports"/>
    <x v="2"/>
    <n v="10"/>
    <n v="337.73"/>
    <n v="3377.3"/>
    <s v="Credit Card"/>
    <s v="Repeat Customer"/>
  </r>
  <r>
    <n v="11182"/>
    <s v="CUST165"/>
    <d v="2024-03-07T00:00:00"/>
    <s v="Sports"/>
    <x v="2"/>
    <n v="3"/>
    <n v="133.51"/>
    <n v="400.53"/>
    <s v="Net Banking"/>
    <s v="Repeat Customer"/>
  </r>
  <r>
    <n v="11183"/>
    <s v="CUST198"/>
    <d v="2025-11-25T00:00:00"/>
    <s v="Sports"/>
    <x v="1"/>
    <n v="1"/>
    <n v="496.02"/>
    <n v="496.02"/>
    <s v="Wallet"/>
    <s v="Repeat Customer"/>
  </r>
  <r>
    <n v="11184"/>
    <s v="CUST101"/>
    <d v="2025-03-13T00:00:00"/>
    <s v="Home"/>
    <x v="3"/>
    <n v="1"/>
    <n v="427.66"/>
    <n v="427.66"/>
    <s v="Wallet"/>
    <s v="Repeat Customer"/>
  </r>
  <r>
    <n v="11185"/>
    <s v="CUST240"/>
    <d v="2024-05-04T00:00:00"/>
    <s v="Home"/>
    <x v="0"/>
    <n v="9"/>
    <n v="235.96"/>
    <n v="2123.64"/>
    <s v="UPI"/>
    <s v="Repeat Customer"/>
  </r>
  <r>
    <n v="11186"/>
    <s v="CUST124"/>
    <d v="2024-10-11T00:00:00"/>
    <s v="Home"/>
    <x v="0"/>
    <n v="7"/>
    <n v="268.54000000000002"/>
    <n v="1879.78"/>
    <s v="Wallet"/>
    <s v="Repeat Customer"/>
  </r>
  <r>
    <n v="11187"/>
    <s v="CUST199"/>
    <d v="2024-12-08T00:00:00"/>
    <s v="Electronics"/>
    <x v="2"/>
    <n v="2"/>
    <n v="440.65"/>
    <n v="881.3"/>
    <s v="Wallet"/>
    <s v="Repeat Customer"/>
  </r>
  <r>
    <n v="11188"/>
    <s v="CUST138"/>
    <d v="2024-09-12T00:00:00"/>
    <s v="Home"/>
    <x v="0"/>
    <n v="4"/>
    <n v="86.42"/>
    <n v="345.68"/>
    <s v="Credit Card"/>
    <s v="New Customer"/>
  </r>
  <r>
    <n v="11189"/>
    <s v="CUST114"/>
    <d v="2025-05-06T00:00:00"/>
    <s v="Sports"/>
    <x v="1"/>
    <n v="7"/>
    <n v="404.99"/>
    <n v="2834.93"/>
    <s v="Net Banking"/>
    <s v="Repeat Customer"/>
  </r>
  <r>
    <n v="11190"/>
    <s v="CUST226"/>
    <d v="2024-04-20T00:00:00"/>
    <s v="Home"/>
    <x v="0"/>
    <n v="8"/>
    <n v="122.99"/>
    <n v="983.92"/>
    <s v="Net Banking"/>
    <s v="Repeat Customer"/>
  </r>
  <r>
    <n v="11191"/>
    <s v="CUST366"/>
    <d v="2024-08-30T00:00:00"/>
    <s v="Sports"/>
    <x v="3"/>
    <n v="2"/>
    <n v="389"/>
    <n v="778"/>
    <s v="Credit Card"/>
    <s v="Repeat Customer"/>
  </r>
  <r>
    <n v="11192"/>
    <s v="CUST328"/>
    <d v="2025-08-15T00:00:00"/>
    <s v="Electronics"/>
    <x v="0"/>
    <n v="2"/>
    <n v="47.34"/>
    <n v="94.68"/>
    <s v="Wallet"/>
    <s v="Repeat Customer"/>
  </r>
  <r>
    <n v="11193"/>
    <s v="CUST260"/>
    <d v="2025-12-11T00:00:00"/>
    <s v="Electronics"/>
    <x v="3"/>
    <n v="2"/>
    <n v="392.41"/>
    <n v="784.82"/>
    <s v="Credit Card"/>
    <s v="Repeat Customer"/>
  </r>
  <r>
    <n v="11194"/>
    <s v="CUST254"/>
    <d v="2025-09-17T00:00:00"/>
    <s v="Electronics"/>
    <x v="0"/>
    <n v="7"/>
    <n v="37.57"/>
    <n v="262.99"/>
    <s v="Net Banking"/>
    <s v="Repeat Customer"/>
  </r>
  <r>
    <n v="11195"/>
    <s v="CUST295"/>
    <d v="2025-02-15T00:00:00"/>
    <s v="Beauty"/>
    <x v="2"/>
    <n v="2"/>
    <n v="310.56"/>
    <n v="621.12"/>
    <s v="Credit Card"/>
    <s v="Repeat Customer"/>
  </r>
  <r>
    <n v="11196"/>
    <s v="CUST332"/>
    <d v="2025-01-28T00:00:00"/>
    <s v="Sports"/>
    <x v="0"/>
    <n v="8"/>
    <n v="398.61"/>
    <n v="3188.88"/>
    <s v="Net Banking"/>
    <s v="Repeat Customer"/>
  </r>
  <r>
    <n v="11197"/>
    <s v="CUST113"/>
    <d v="2025-04-09T00:00:00"/>
    <s v="Fashion"/>
    <x v="0"/>
    <n v="9"/>
    <n v="167.46"/>
    <n v="1507.14"/>
    <s v="Credit Card"/>
    <s v="Repeat Customer"/>
  </r>
  <r>
    <n v="11198"/>
    <s v="CUST106"/>
    <d v="2025-09-01T00:00:00"/>
    <s v="Fashion"/>
    <x v="2"/>
    <n v="2"/>
    <n v="298.48"/>
    <n v="596.96"/>
    <s v="Net Banking"/>
    <s v="Repeat Customer"/>
  </r>
  <r>
    <n v="11199"/>
    <s v="CUST281"/>
    <d v="2025-03-07T00:00:00"/>
    <s v="Beauty"/>
    <x v="2"/>
    <n v="8"/>
    <n v="363.69"/>
    <n v="2909.52"/>
    <s v="UPI"/>
    <s v="Repeat Customer"/>
  </r>
  <r>
    <n v="11200"/>
    <s v="CUST170"/>
    <d v="2024-02-15T00:00:00"/>
    <s v="Sports"/>
    <x v="3"/>
    <n v="1"/>
    <n v="68.2"/>
    <n v="68.2"/>
    <s v="Net Banking"/>
    <s v="Repeat Customer"/>
  </r>
  <r>
    <n v="11201"/>
    <s v="CUST259"/>
    <d v="2025-08-20T00:00:00"/>
    <s v="Fashion"/>
    <x v="3"/>
    <n v="9"/>
    <n v="388.87"/>
    <n v="3499.83"/>
    <s v="Net Banking"/>
    <s v="Repeat Customer"/>
  </r>
  <r>
    <n v="11202"/>
    <s v="CUST275"/>
    <d v="2024-10-25T00:00:00"/>
    <s v="Sports"/>
    <x v="2"/>
    <n v="6"/>
    <n v="485.28"/>
    <n v="2911.68"/>
    <s v="Credit Card"/>
    <s v="Repeat Customer"/>
  </r>
  <r>
    <n v="11203"/>
    <s v="CUST221"/>
    <d v="2025-06-03T00:00:00"/>
    <s v="Beauty"/>
    <x v="1"/>
    <n v="9"/>
    <n v="430.06"/>
    <n v="3870.54"/>
    <s v="UPI"/>
    <s v="Repeat Customer"/>
  </r>
  <r>
    <n v="11204"/>
    <s v="CUST202"/>
    <d v="2025-10-17T00:00:00"/>
    <s v="Home"/>
    <x v="2"/>
    <n v="4"/>
    <n v="393.71"/>
    <n v="1574.84"/>
    <s v="Wallet"/>
    <s v="Repeat Customer"/>
  </r>
  <r>
    <n v="11205"/>
    <s v="CUST339"/>
    <d v="2025-09-06T00:00:00"/>
    <s v="Sports"/>
    <x v="1"/>
    <n v="6"/>
    <n v="426.74"/>
    <n v="2560.44"/>
    <s v="Net Banking"/>
    <s v="Repeat Customer"/>
  </r>
  <r>
    <n v="11206"/>
    <s v="CUST314"/>
    <d v="2024-12-02T00:00:00"/>
    <s v="Electronics"/>
    <x v="3"/>
    <n v="3"/>
    <n v="56.9"/>
    <n v="170.7"/>
    <s v="UPI"/>
    <s v="Repeat Customer"/>
  </r>
  <r>
    <n v="11207"/>
    <s v="CUST101"/>
    <d v="2025-10-16T00:00:00"/>
    <s v="Beauty"/>
    <x v="2"/>
    <n v="4"/>
    <n v="348.14"/>
    <n v="1392.56"/>
    <s v="UPI"/>
    <s v="Repeat Customer"/>
  </r>
  <r>
    <n v="11208"/>
    <s v="CUST346"/>
    <d v="2024-12-05T00:00:00"/>
    <s v="Fashion"/>
    <x v="0"/>
    <n v="7"/>
    <n v="106.63"/>
    <n v="746.41"/>
    <s v="Net Banking"/>
    <s v="Repeat Customer"/>
  </r>
  <r>
    <n v="11209"/>
    <s v="CUST105"/>
    <d v="2024-03-16T00:00:00"/>
    <s v="Electronics"/>
    <x v="2"/>
    <n v="6"/>
    <n v="19.86"/>
    <n v="119.16"/>
    <s v="Net Banking"/>
    <s v="Repeat Customer"/>
  </r>
  <r>
    <n v="11210"/>
    <s v="CUST325"/>
    <d v="2024-07-18T00:00:00"/>
    <s v="Home"/>
    <x v="0"/>
    <n v="10"/>
    <n v="456.79"/>
    <n v="4567.8999999999996"/>
    <s v="Credit Card"/>
    <s v="Repeat Customer"/>
  </r>
  <r>
    <n v="11211"/>
    <s v="CUST201"/>
    <d v="2024-07-21T00:00:00"/>
    <s v="Home"/>
    <x v="2"/>
    <n v="5"/>
    <n v="91.2"/>
    <n v="456"/>
    <s v="Net Banking"/>
    <s v="Repeat Customer"/>
  </r>
  <r>
    <n v="11212"/>
    <s v="CUST383"/>
    <d v="2024-09-08T00:00:00"/>
    <s v="Fashion"/>
    <x v="1"/>
    <n v="3"/>
    <n v="102.01"/>
    <n v="306.02999999999997"/>
    <s v="Credit Card"/>
    <s v="Repeat Customer"/>
  </r>
  <r>
    <n v="11213"/>
    <s v="CUST110"/>
    <d v="2025-11-24T00:00:00"/>
    <s v="Electronics"/>
    <x v="1"/>
    <n v="3"/>
    <n v="192.57"/>
    <n v="577.71"/>
    <s v="UPI"/>
    <s v="Repeat Customer"/>
  </r>
  <r>
    <n v="11214"/>
    <s v="CUST256"/>
    <d v="2025-04-12T00:00:00"/>
    <s v="Home"/>
    <x v="2"/>
    <n v="4"/>
    <n v="187.97"/>
    <n v="751.88"/>
    <s v="Wallet"/>
    <s v="Repeat Customer"/>
  </r>
  <r>
    <n v="11215"/>
    <s v="CUST133"/>
    <d v="2024-05-01T00:00:00"/>
    <s v="Fashion"/>
    <x v="2"/>
    <n v="3"/>
    <n v="441.95"/>
    <n v="1325.85"/>
    <s v="UPI"/>
    <s v="Repeat Customer"/>
  </r>
  <r>
    <n v="11216"/>
    <s v="CUST372"/>
    <d v="2025-01-22T00:00:00"/>
    <s v="Beauty"/>
    <x v="2"/>
    <n v="6"/>
    <n v="162.38999999999999"/>
    <n v="974.34"/>
    <s v="Credit Card"/>
    <s v="Repeat Customer"/>
  </r>
  <r>
    <n v="11217"/>
    <s v="CUST196"/>
    <d v="2025-07-02T00:00:00"/>
    <s v="Home"/>
    <x v="2"/>
    <n v="5"/>
    <n v="395.85"/>
    <n v="1979.25"/>
    <s v="Credit Card"/>
    <s v="Repeat Customer"/>
  </r>
  <r>
    <n v="11218"/>
    <s v="CUST243"/>
    <d v="2024-05-09T00:00:00"/>
    <s v="Beauty"/>
    <x v="2"/>
    <n v="9"/>
    <n v="484.35"/>
    <n v="4359.1499999999996"/>
    <s v="Credit Card"/>
    <s v="Repeat Customer"/>
  </r>
  <r>
    <n v="11219"/>
    <s v="CUST340"/>
    <d v="2025-11-10T00:00:00"/>
    <s v="Sports"/>
    <x v="3"/>
    <n v="10"/>
    <n v="37.11"/>
    <n v="371.1"/>
    <s v="Net Banking"/>
    <s v="Repeat Customer"/>
  </r>
  <r>
    <n v="11220"/>
    <s v="CUST355"/>
    <d v="2025-06-15T00:00:00"/>
    <s v="Home"/>
    <x v="3"/>
    <n v="8"/>
    <n v="93.6"/>
    <n v="748.8"/>
    <s v="Wallet"/>
    <s v="Repeat Customer"/>
  </r>
  <r>
    <n v="11221"/>
    <s v="CUST342"/>
    <d v="2024-10-01T00:00:00"/>
    <s v="Sports"/>
    <x v="0"/>
    <n v="10"/>
    <n v="203.47"/>
    <n v="2034.7"/>
    <s v="UPI"/>
    <s v="Repeat Customer"/>
  </r>
  <r>
    <n v="11222"/>
    <s v="CUST212"/>
    <d v="2024-07-26T00:00:00"/>
    <s v="Beauty"/>
    <x v="2"/>
    <n v="8"/>
    <n v="432.27"/>
    <n v="3458.16"/>
    <s v="Net Banking"/>
    <s v="Repeat Customer"/>
  </r>
  <r>
    <n v="11223"/>
    <s v="CUST317"/>
    <d v="2025-01-21T00:00:00"/>
    <s v="Home"/>
    <x v="1"/>
    <n v="10"/>
    <n v="82.82"/>
    <n v="828.2"/>
    <s v="Credit Card"/>
    <s v="Repeat Customer"/>
  </r>
  <r>
    <n v="11224"/>
    <s v="CUST168"/>
    <d v="2024-03-27T00:00:00"/>
    <s v="Home"/>
    <x v="2"/>
    <n v="5"/>
    <n v="225.03"/>
    <n v="1125.1500000000001"/>
    <s v="Credit Card"/>
    <s v="Repeat Customer"/>
  </r>
  <r>
    <n v="11225"/>
    <s v="CUST338"/>
    <d v="2025-06-08T00:00:00"/>
    <s v="Beauty"/>
    <x v="3"/>
    <n v="10"/>
    <n v="171.51"/>
    <n v="1715.1"/>
    <s v="Wallet"/>
    <s v="Repeat Customer"/>
  </r>
  <r>
    <n v="11226"/>
    <s v="CUST309"/>
    <d v="2025-01-11T00:00:00"/>
    <s v="Beauty"/>
    <x v="0"/>
    <n v="8"/>
    <n v="161.93"/>
    <n v="1295.44"/>
    <s v="UPI"/>
    <s v="Repeat Customer"/>
  </r>
  <r>
    <n v="11227"/>
    <s v="CUST326"/>
    <d v="2024-08-27T00:00:00"/>
    <s v="Home"/>
    <x v="0"/>
    <n v="5"/>
    <n v="324.45"/>
    <n v="1622.25"/>
    <s v="Net Banking"/>
    <s v="Repeat Customer"/>
  </r>
  <r>
    <n v="11228"/>
    <s v="CUST356"/>
    <d v="2025-06-09T00:00:00"/>
    <s v="Home"/>
    <x v="2"/>
    <n v="9"/>
    <n v="323.61"/>
    <n v="2912.49"/>
    <s v="Credit Card"/>
    <s v="Repeat Customer"/>
  </r>
  <r>
    <n v="11229"/>
    <s v="CUST160"/>
    <d v="2024-03-14T00:00:00"/>
    <s v="Fashion"/>
    <x v="1"/>
    <n v="6"/>
    <n v="23.95"/>
    <n v="143.69999999999999"/>
    <s v="UPI"/>
    <s v="Repeat Customer"/>
  </r>
  <r>
    <n v="11230"/>
    <s v="CUST268"/>
    <d v="2024-09-13T00:00:00"/>
    <s v="Home"/>
    <x v="2"/>
    <n v="5"/>
    <n v="373.88"/>
    <n v="1869.4"/>
    <s v="UPI"/>
    <s v="Repeat Customer"/>
  </r>
  <r>
    <n v="11231"/>
    <s v="CUST378"/>
    <d v="2024-09-24T00:00:00"/>
    <s v="Home"/>
    <x v="1"/>
    <n v="1"/>
    <n v="386.19"/>
    <n v="386.19"/>
    <s v="Wallet"/>
    <s v="Repeat Customer"/>
  </r>
  <r>
    <n v="11232"/>
    <s v="CUST307"/>
    <d v="2025-08-16T00:00:00"/>
    <s v="Sports"/>
    <x v="2"/>
    <n v="1"/>
    <n v="238.64"/>
    <n v="238.64"/>
    <s v="Wallet"/>
    <s v="Repeat Customer"/>
  </r>
  <r>
    <n v="11233"/>
    <s v="CUST216"/>
    <d v="2024-08-20T00:00:00"/>
    <s v="Sports"/>
    <x v="3"/>
    <n v="4"/>
    <n v="239.85"/>
    <n v="959.4"/>
    <s v="Wallet"/>
    <s v="Repeat Customer"/>
  </r>
  <r>
    <n v="11234"/>
    <s v="CUST274"/>
    <d v="2024-03-28T00:00:00"/>
    <s v="Beauty"/>
    <x v="3"/>
    <n v="6"/>
    <n v="423.67"/>
    <n v="2542.02"/>
    <s v="UPI"/>
    <s v="Repeat Customer"/>
  </r>
  <r>
    <n v="11235"/>
    <s v="CUST324"/>
    <d v="2025-04-05T00:00:00"/>
    <s v="Fashion"/>
    <x v="2"/>
    <n v="9"/>
    <n v="19.899999999999999"/>
    <n v="179.1"/>
    <s v="Net Banking"/>
    <s v="Repeat Customer"/>
  </r>
  <r>
    <n v="11236"/>
    <s v="CUST104"/>
    <d v="2025-05-26T00:00:00"/>
    <s v="Beauty"/>
    <x v="3"/>
    <n v="6"/>
    <n v="173.21"/>
    <n v="1039.26"/>
    <s v="Wallet"/>
    <s v="Repeat Customer"/>
  </r>
  <r>
    <n v="11237"/>
    <s v="CUST375"/>
    <d v="2024-11-02T00:00:00"/>
    <s v="Sports"/>
    <x v="0"/>
    <n v="6"/>
    <n v="295.54000000000002"/>
    <n v="1773.24"/>
    <s v="UPI"/>
    <s v="Repeat Customer"/>
  </r>
  <r>
    <n v="11238"/>
    <s v="CUST178"/>
    <d v="2024-12-04T00:00:00"/>
    <s v="Sports"/>
    <x v="3"/>
    <n v="10"/>
    <n v="316.77"/>
    <n v="3167.7"/>
    <s v="Wallet"/>
    <s v="Repeat Customer"/>
  </r>
  <r>
    <n v="11239"/>
    <s v="CUST204"/>
    <d v="2025-02-04T00:00:00"/>
    <s v="Fashion"/>
    <x v="3"/>
    <n v="2"/>
    <n v="269.57"/>
    <n v="539.14"/>
    <s v="Credit Card"/>
    <s v="Repeat Customer"/>
  </r>
  <r>
    <n v="11240"/>
    <s v="CUST268"/>
    <d v="2025-08-06T00:00:00"/>
    <s v="Home"/>
    <x v="0"/>
    <n v="8"/>
    <n v="321.31"/>
    <n v="2570.48"/>
    <s v="UPI"/>
    <s v="Repeat Customer"/>
  </r>
  <r>
    <n v="11241"/>
    <s v="CUST153"/>
    <d v="2025-11-22T00:00:00"/>
    <s v="Sports"/>
    <x v="3"/>
    <n v="9"/>
    <n v="92.93"/>
    <n v="836.37"/>
    <s v="Credit Card"/>
    <s v="Repeat Customer"/>
  </r>
  <r>
    <n v="11242"/>
    <s v="CUST195"/>
    <d v="2024-07-22T00:00:00"/>
    <s v="Beauty"/>
    <x v="1"/>
    <n v="2"/>
    <n v="456.12"/>
    <n v="912.24"/>
    <s v="UPI"/>
    <s v="Repeat Customer"/>
  </r>
  <r>
    <n v="11243"/>
    <s v="CUST219"/>
    <d v="2024-10-25T00:00:00"/>
    <s v="Electronics"/>
    <x v="1"/>
    <n v="9"/>
    <n v="39.64"/>
    <n v="356.76"/>
    <s v="Credit Card"/>
    <s v="Repeat Customer"/>
  </r>
  <r>
    <n v="11244"/>
    <s v="CUST187"/>
    <d v="2024-11-30T00:00:00"/>
    <s v="Electronics"/>
    <x v="2"/>
    <n v="7"/>
    <n v="198.6"/>
    <n v="1390.2"/>
    <s v="Wallet"/>
    <s v="Repeat Customer"/>
  </r>
  <r>
    <n v="11245"/>
    <s v="CUST344"/>
    <d v="2024-03-11T00:00:00"/>
    <s v="Fashion"/>
    <x v="2"/>
    <n v="7"/>
    <n v="477.77"/>
    <n v="3344.39"/>
    <s v="UPI"/>
    <s v="Repeat Customer"/>
  </r>
  <r>
    <n v="11246"/>
    <s v="CUST258"/>
    <d v="2025-03-18T00:00:00"/>
    <s v="Sports"/>
    <x v="1"/>
    <n v="8"/>
    <n v="83.6"/>
    <n v="668.8"/>
    <s v="UPI"/>
    <s v="Repeat Customer"/>
  </r>
  <r>
    <n v="11247"/>
    <s v="CUST357"/>
    <d v="2025-12-02T00:00:00"/>
    <s v="Electronics"/>
    <x v="2"/>
    <n v="8"/>
    <n v="141.34"/>
    <n v="1130.72"/>
    <s v="Wallet"/>
    <s v="Repeat Customer"/>
  </r>
  <r>
    <n v="11248"/>
    <s v="CUST132"/>
    <d v="2025-02-12T00:00:00"/>
    <s v="Sports"/>
    <x v="1"/>
    <n v="10"/>
    <n v="404.75"/>
    <n v="4047.5"/>
    <s v="Wallet"/>
    <s v="Repeat Customer"/>
  </r>
  <r>
    <n v="11249"/>
    <s v="CUST335"/>
    <d v="2025-04-18T00:00:00"/>
    <s v="Electronics"/>
    <x v="1"/>
    <n v="10"/>
    <n v="24.35"/>
    <n v="243.5"/>
    <s v="Wallet"/>
    <s v="Repeat Customer"/>
  </r>
  <r>
    <n v="11250"/>
    <s v="CUST277"/>
    <d v="2025-12-18T00:00:00"/>
    <s v="Fashion"/>
    <x v="3"/>
    <n v="5"/>
    <n v="198.59"/>
    <n v="992.95"/>
    <s v="UPI"/>
    <s v="Repeat Customer"/>
  </r>
  <r>
    <n v="11251"/>
    <s v="CUST191"/>
    <d v="2025-09-24T00:00:00"/>
    <s v="Fashion"/>
    <x v="0"/>
    <n v="7"/>
    <n v="231.62"/>
    <n v="1621.34"/>
    <s v="Wallet"/>
    <s v="Repeat Customer"/>
  </r>
  <r>
    <n v="11252"/>
    <s v="CUST122"/>
    <d v="2024-09-02T00:00:00"/>
    <s v="Sports"/>
    <x v="1"/>
    <n v="3"/>
    <n v="140.52000000000001"/>
    <n v="421.56"/>
    <s v="Credit Card"/>
    <s v="Repeat Customer"/>
  </r>
  <r>
    <n v="11253"/>
    <s v="CUST211"/>
    <d v="2025-05-20T00:00:00"/>
    <s v="Sports"/>
    <x v="0"/>
    <n v="7"/>
    <n v="496.23"/>
    <n v="3473.61"/>
    <s v="Net Banking"/>
    <s v="Repeat Customer"/>
  </r>
  <r>
    <n v="11254"/>
    <s v="CUST139"/>
    <d v="2024-04-17T00:00:00"/>
    <s v="Home"/>
    <x v="3"/>
    <n v="9"/>
    <n v="384.44"/>
    <n v="3459.96"/>
    <s v="Wallet"/>
    <s v="Repeat Customer"/>
  </r>
  <r>
    <n v="11255"/>
    <s v="CUST184"/>
    <d v="2024-09-15T00:00:00"/>
    <s v="Beauty"/>
    <x v="0"/>
    <n v="4"/>
    <n v="255.5"/>
    <n v="1022"/>
    <s v="Credit Card"/>
    <s v="Repeat Customer"/>
  </r>
  <r>
    <n v="11256"/>
    <s v="CUST336"/>
    <d v="2025-01-25T00:00:00"/>
    <s v="Fashion"/>
    <x v="3"/>
    <n v="6"/>
    <n v="374.25"/>
    <n v="2245.5"/>
    <s v="Credit Card"/>
    <s v="Repeat Customer"/>
  </r>
  <r>
    <n v="11257"/>
    <s v="CUST105"/>
    <d v="2024-09-13T00:00:00"/>
    <s v="Fashion"/>
    <x v="1"/>
    <n v="2"/>
    <n v="356"/>
    <n v="712"/>
    <s v="Wallet"/>
    <s v="Repeat Customer"/>
  </r>
  <r>
    <n v="11258"/>
    <s v="CUST348"/>
    <d v="2025-04-17T00:00:00"/>
    <s v="Fashion"/>
    <x v="3"/>
    <n v="2"/>
    <n v="45.86"/>
    <n v="91.72"/>
    <s v="UPI"/>
    <s v="Repeat Customer"/>
  </r>
  <r>
    <n v="11259"/>
    <s v="CUST341"/>
    <d v="2024-10-12T00:00:00"/>
    <s v="Electronics"/>
    <x v="0"/>
    <n v="3"/>
    <n v="89.44"/>
    <n v="268.32"/>
    <s v="UPI"/>
    <s v="Repeat Customer"/>
  </r>
  <r>
    <n v="11260"/>
    <s v="CUST250"/>
    <d v="2024-05-07T00:00:00"/>
    <s v="Fashion"/>
    <x v="0"/>
    <n v="9"/>
    <n v="372.02"/>
    <n v="3348.18"/>
    <s v="Credit Card"/>
    <s v="Repeat Customer"/>
  </r>
  <r>
    <n v="11261"/>
    <s v="CUST239"/>
    <d v="2024-06-06T00:00:00"/>
    <s v="Fashion"/>
    <x v="0"/>
    <n v="8"/>
    <n v="182.25"/>
    <n v="1458"/>
    <s v="UPI"/>
    <s v="Repeat Customer"/>
  </r>
  <r>
    <n v="11262"/>
    <s v="CUST326"/>
    <d v="2025-12-14T00:00:00"/>
    <s v="Sports"/>
    <x v="0"/>
    <n v="1"/>
    <n v="419.07"/>
    <n v="419.07"/>
    <s v="Wallet"/>
    <s v="Repeat Customer"/>
  </r>
  <r>
    <n v="11263"/>
    <s v="CUST257"/>
    <d v="2025-03-30T00:00:00"/>
    <s v="Electronics"/>
    <x v="3"/>
    <n v="1"/>
    <n v="301.11"/>
    <n v="301.11"/>
    <s v="UPI"/>
    <s v="Repeat Customer"/>
  </r>
  <r>
    <n v="11264"/>
    <s v="CUST227"/>
    <d v="2025-01-18T00:00:00"/>
    <s v="Electronics"/>
    <x v="3"/>
    <n v="4"/>
    <n v="103.99"/>
    <n v="415.96"/>
    <s v="Credit Card"/>
    <s v="Repeat Customer"/>
  </r>
  <r>
    <n v="11265"/>
    <s v="CUST107"/>
    <d v="2024-12-11T00:00:00"/>
    <s v="Electronics"/>
    <x v="2"/>
    <n v="4"/>
    <n v="341.58"/>
    <n v="1366.32"/>
    <s v="Credit Card"/>
    <s v="Repeat Customer"/>
  </r>
  <r>
    <n v="11266"/>
    <s v="CUST185"/>
    <d v="2024-06-20T00:00:00"/>
    <s v="Electronics"/>
    <x v="1"/>
    <n v="1"/>
    <n v="210.76"/>
    <n v="210.76"/>
    <s v="Net Banking"/>
    <s v="Repeat Customer"/>
  </r>
  <r>
    <n v="11267"/>
    <s v="CUST387"/>
    <d v="2025-10-03T00:00:00"/>
    <s v="Sports"/>
    <x v="3"/>
    <n v="4"/>
    <n v="314.20999999999998"/>
    <n v="1256.8399999999999"/>
    <s v="Wallet"/>
    <s v="Repeat Customer"/>
  </r>
  <r>
    <n v="11268"/>
    <s v="CUST161"/>
    <d v="2024-08-25T00:00:00"/>
    <s v="Home"/>
    <x v="2"/>
    <n v="4"/>
    <n v="57.41"/>
    <n v="229.64"/>
    <s v="Credit Card"/>
    <s v="Repeat Customer"/>
  </r>
  <r>
    <n v="11269"/>
    <s v="CUST305"/>
    <d v="2025-10-31T00:00:00"/>
    <s v="Fashion"/>
    <x v="3"/>
    <n v="6"/>
    <n v="10.93"/>
    <n v="65.58"/>
    <s v="UPI"/>
    <s v="Repeat Customer"/>
  </r>
  <r>
    <n v="11270"/>
    <s v="CUST133"/>
    <d v="2025-11-04T00:00:00"/>
    <s v="Home"/>
    <x v="0"/>
    <n v="5"/>
    <n v="326.72000000000003"/>
    <n v="1633.6"/>
    <s v="Credit Card"/>
    <s v="Repeat Customer"/>
  </r>
  <r>
    <n v="11271"/>
    <s v="CUST211"/>
    <d v="2025-02-24T00:00:00"/>
    <s v="Beauty"/>
    <x v="0"/>
    <n v="5"/>
    <n v="384.93"/>
    <n v="1924.65"/>
    <s v="UPI"/>
    <s v="Repeat Customer"/>
  </r>
  <r>
    <n v="11272"/>
    <s v="CUST228"/>
    <d v="2024-04-07T00:00:00"/>
    <s v="Beauty"/>
    <x v="2"/>
    <n v="10"/>
    <n v="165.56"/>
    <n v="1655.6"/>
    <s v="Net Banking"/>
    <s v="Repeat Customer"/>
  </r>
  <r>
    <n v="11273"/>
    <s v="CUST189"/>
    <d v="2025-10-12T00:00:00"/>
    <s v="Beauty"/>
    <x v="0"/>
    <n v="6"/>
    <n v="489.12"/>
    <n v="2934.72"/>
    <s v="Net Banking"/>
    <s v="Repeat Customer"/>
  </r>
  <r>
    <n v="11274"/>
    <s v="CUST109"/>
    <d v="2025-09-15T00:00:00"/>
    <s v="Sports"/>
    <x v="2"/>
    <n v="10"/>
    <n v="227.21"/>
    <n v="2272.1"/>
    <s v="Credit Card"/>
    <s v="Repeat Customer"/>
  </r>
  <r>
    <n v="11275"/>
    <s v="CUST219"/>
    <d v="2024-01-22T00:00:00"/>
    <s v="Electronics"/>
    <x v="1"/>
    <n v="10"/>
    <n v="380.68"/>
    <n v="3806.8"/>
    <s v="UPI"/>
    <s v="Repeat Customer"/>
  </r>
  <r>
    <n v="11276"/>
    <s v="CUST319"/>
    <d v="2024-09-06T00:00:00"/>
    <s v="Fashion"/>
    <x v="1"/>
    <n v="10"/>
    <n v="44.3"/>
    <n v="443"/>
    <s v="Wallet"/>
    <s v="Repeat Customer"/>
  </r>
  <r>
    <n v="11277"/>
    <s v="CUST251"/>
    <d v="2024-07-25T00:00:00"/>
    <s v="Electronics"/>
    <x v="2"/>
    <n v="3"/>
    <n v="191"/>
    <n v="573"/>
    <s v="Wallet"/>
    <s v="Repeat Customer"/>
  </r>
  <r>
    <n v="11278"/>
    <s v="CUST268"/>
    <d v="2024-05-17T00:00:00"/>
    <s v="Electronics"/>
    <x v="3"/>
    <n v="5"/>
    <n v="162.18"/>
    <n v="810.9"/>
    <s v="Net Banking"/>
    <s v="Repeat Customer"/>
  </r>
  <r>
    <n v="11279"/>
    <s v="CUST112"/>
    <d v="2024-08-22T00:00:00"/>
    <s v="Fashion"/>
    <x v="0"/>
    <n v="6"/>
    <n v="174.65"/>
    <n v="1047.9000000000001"/>
    <s v="UPI"/>
    <s v="Repeat Customer"/>
  </r>
  <r>
    <n v="11280"/>
    <s v="CUST213"/>
    <d v="2025-09-14T00:00:00"/>
    <s v="Fashion"/>
    <x v="3"/>
    <n v="7"/>
    <n v="263.13"/>
    <n v="1841.91"/>
    <s v="Credit Card"/>
    <s v="Repeat Customer"/>
  </r>
  <r>
    <n v="11281"/>
    <s v="CUST133"/>
    <d v="2025-05-18T00:00:00"/>
    <s v="Electronics"/>
    <x v="2"/>
    <n v="2"/>
    <n v="477.06"/>
    <n v="954.12"/>
    <s v="UPI"/>
    <s v="Repeat Customer"/>
  </r>
  <r>
    <n v="11282"/>
    <s v="CUST164"/>
    <d v="2024-04-03T00:00:00"/>
    <s v="Fashion"/>
    <x v="2"/>
    <n v="3"/>
    <n v="298.35000000000002"/>
    <n v="895.05"/>
    <s v="Credit Card"/>
    <s v="Repeat Customer"/>
  </r>
  <r>
    <n v="11283"/>
    <s v="CUST318"/>
    <d v="2025-04-23T00:00:00"/>
    <s v="Fashion"/>
    <x v="2"/>
    <n v="5"/>
    <n v="86.26"/>
    <n v="431.3"/>
    <s v="Wallet"/>
    <s v="Repeat Customer"/>
  </r>
  <r>
    <n v="11284"/>
    <s v="CUST190"/>
    <d v="2025-09-12T00:00:00"/>
    <s v="Sports"/>
    <x v="3"/>
    <n v="4"/>
    <n v="155.03"/>
    <n v="620.12"/>
    <s v="UPI"/>
    <s v="Repeat Customer"/>
  </r>
  <r>
    <n v="11285"/>
    <s v="CUST239"/>
    <d v="2025-05-07T00:00:00"/>
    <s v="Home"/>
    <x v="3"/>
    <n v="2"/>
    <n v="475.75"/>
    <n v="951.5"/>
    <s v="Wallet"/>
    <s v="Repeat Customer"/>
  </r>
  <r>
    <n v="11286"/>
    <s v="CUST185"/>
    <d v="2025-04-27T00:00:00"/>
    <s v="Sports"/>
    <x v="3"/>
    <n v="8"/>
    <n v="214.24"/>
    <n v="1713.92"/>
    <s v="UPI"/>
    <s v="Repeat Customer"/>
  </r>
  <r>
    <n v="11287"/>
    <s v="CUST346"/>
    <d v="2024-01-21T00:00:00"/>
    <s v="Electronics"/>
    <x v="1"/>
    <n v="7"/>
    <n v="216.56"/>
    <n v="1515.92"/>
    <s v="UPI"/>
    <s v="Repeat Customer"/>
  </r>
  <r>
    <n v="11288"/>
    <s v="CUST383"/>
    <d v="2024-06-28T00:00:00"/>
    <s v="Home"/>
    <x v="3"/>
    <n v="5"/>
    <n v="193.32"/>
    <n v="966.6"/>
    <s v="Net Banking"/>
    <s v="Repeat Customer"/>
  </r>
  <r>
    <n v="11289"/>
    <s v="CUST292"/>
    <d v="2025-07-29T00:00:00"/>
    <s v="Home"/>
    <x v="2"/>
    <n v="10"/>
    <n v="243.02"/>
    <n v="2430.1999999999998"/>
    <s v="Wallet"/>
    <s v="Repeat Customer"/>
  </r>
  <r>
    <n v="11290"/>
    <s v="CUST200"/>
    <d v="2024-06-07T00:00:00"/>
    <s v="Sports"/>
    <x v="1"/>
    <n v="4"/>
    <n v="7.07"/>
    <n v="28.28"/>
    <s v="Wallet"/>
    <s v="Repeat Customer"/>
  </r>
  <r>
    <n v="11291"/>
    <s v="CUST307"/>
    <d v="2025-03-01T00:00:00"/>
    <s v="Home"/>
    <x v="3"/>
    <n v="7"/>
    <n v="485.39"/>
    <n v="3397.73"/>
    <s v="Wallet"/>
    <s v="Repeat Customer"/>
  </r>
  <r>
    <n v="11292"/>
    <s v="CUST257"/>
    <d v="2025-10-18T00:00:00"/>
    <s v="Electronics"/>
    <x v="0"/>
    <n v="10"/>
    <n v="40.26"/>
    <n v="402.6"/>
    <s v="Wallet"/>
    <s v="Repeat Customer"/>
  </r>
  <r>
    <n v="11293"/>
    <s v="CUST389"/>
    <d v="2024-06-15T00:00:00"/>
    <s v="Home"/>
    <x v="1"/>
    <n v="4"/>
    <n v="382.66"/>
    <n v="1530.64"/>
    <s v="Wallet"/>
    <s v="Repeat Customer"/>
  </r>
  <r>
    <n v="11294"/>
    <s v="CUST288"/>
    <d v="2025-12-14T00:00:00"/>
    <s v="Beauty"/>
    <x v="2"/>
    <n v="1"/>
    <n v="327.2"/>
    <n v="327.2"/>
    <s v="UPI"/>
    <s v="Repeat Customer"/>
  </r>
  <r>
    <n v="11295"/>
    <s v="CUST344"/>
    <d v="2024-02-05T00:00:00"/>
    <s v="Electronics"/>
    <x v="2"/>
    <n v="6"/>
    <n v="317.32"/>
    <n v="1903.92"/>
    <s v="Net Banking"/>
    <s v="Repeat Customer"/>
  </r>
  <r>
    <n v="11296"/>
    <s v="CUST333"/>
    <d v="2025-11-28T00:00:00"/>
    <s v="Sports"/>
    <x v="2"/>
    <n v="3"/>
    <n v="130.87"/>
    <n v="392.61"/>
    <s v="Credit Card"/>
    <s v="Repeat Customer"/>
  </r>
  <r>
    <n v="11297"/>
    <s v="CUST159"/>
    <d v="2024-04-04T00:00:00"/>
    <s v="Sports"/>
    <x v="0"/>
    <n v="7"/>
    <n v="201.85"/>
    <n v="1412.95"/>
    <s v="UPI"/>
    <s v="Repeat Customer"/>
  </r>
  <r>
    <n v="11298"/>
    <s v="CUST316"/>
    <d v="2024-06-18T00:00:00"/>
    <s v="Home"/>
    <x v="3"/>
    <n v="7"/>
    <n v="130.16999999999999"/>
    <n v="911.19"/>
    <s v="Net Banking"/>
    <s v="Repeat Customer"/>
  </r>
  <r>
    <n v="11299"/>
    <s v="CUST310"/>
    <d v="2024-04-01T00:00:00"/>
    <s v="Home"/>
    <x v="2"/>
    <n v="2"/>
    <n v="319.91000000000003"/>
    <n v="639.82000000000005"/>
    <s v="Net Banking"/>
    <s v="Repeat Customer"/>
  </r>
  <r>
    <n v="11300"/>
    <s v="CUST207"/>
    <d v="2025-02-11T00:00:00"/>
    <s v="Fashion"/>
    <x v="3"/>
    <n v="5"/>
    <n v="8.18"/>
    <n v="40.9"/>
    <s v="Credit Card"/>
    <s v="Repeat Customer"/>
  </r>
  <r>
    <n v="11301"/>
    <s v="CUST149"/>
    <d v="2024-03-12T00:00:00"/>
    <s v="Home"/>
    <x v="3"/>
    <n v="7"/>
    <n v="264.86"/>
    <n v="1854.02"/>
    <s v="UPI"/>
    <s v="Repeat Customer"/>
  </r>
  <r>
    <n v="11302"/>
    <s v="CUST190"/>
    <d v="2025-01-18T00:00:00"/>
    <s v="Fashion"/>
    <x v="3"/>
    <n v="3"/>
    <n v="353.5"/>
    <n v="1060.5"/>
    <s v="UPI"/>
    <s v="Repeat Customer"/>
  </r>
  <r>
    <n v="11303"/>
    <s v="CUST357"/>
    <d v="2024-04-22T00:00:00"/>
    <s v="Fashion"/>
    <x v="2"/>
    <n v="8"/>
    <n v="285.70999999999998"/>
    <n v="2285.6799999999998"/>
    <s v="UPI"/>
    <s v="Repeat Customer"/>
  </r>
  <r>
    <n v="11304"/>
    <s v="CUST130"/>
    <d v="2024-07-06T00:00:00"/>
    <s v="Beauty"/>
    <x v="3"/>
    <n v="4"/>
    <n v="133.38"/>
    <n v="533.52"/>
    <s v="Credit Card"/>
    <s v="Repeat Customer"/>
  </r>
  <r>
    <n v="11305"/>
    <s v="CUST185"/>
    <d v="2024-03-22T00:00:00"/>
    <s v="Electronics"/>
    <x v="1"/>
    <n v="5"/>
    <n v="47.42"/>
    <n v="237.1"/>
    <s v="Credit Card"/>
    <s v="Repeat Customer"/>
  </r>
  <r>
    <n v="11306"/>
    <s v="CUST275"/>
    <d v="2024-01-31T00:00:00"/>
    <s v="Beauty"/>
    <x v="0"/>
    <n v="10"/>
    <n v="121.22"/>
    <n v="1212.2"/>
    <s v="Credit Card"/>
    <s v="Repeat Customer"/>
  </r>
  <r>
    <n v="11307"/>
    <s v="CUST131"/>
    <d v="2024-09-29T00:00:00"/>
    <s v="Electronics"/>
    <x v="0"/>
    <n v="1"/>
    <n v="334.33"/>
    <n v="334.33"/>
    <s v="UPI"/>
    <s v="Repeat Customer"/>
  </r>
  <r>
    <n v="11308"/>
    <s v="CUST367"/>
    <d v="2024-01-08T00:00:00"/>
    <s v="Home"/>
    <x v="3"/>
    <n v="7"/>
    <n v="303.48"/>
    <n v="2124.36"/>
    <s v="Wallet"/>
    <s v="Repeat Customer"/>
  </r>
  <r>
    <n v="11309"/>
    <s v="CUST272"/>
    <d v="2025-09-10T00:00:00"/>
    <s v="Home"/>
    <x v="1"/>
    <n v="7"/>
    <n v="171.59"/>
    <n v="1201.1300000000001"/>
    <s v="UPI"/>
    <s v="Repeat Customer"/>
  </r>
  <r>
    <n v="11310"/>
    <s v="CUST284"/>
    <d v="2025-11-12T00:00:00"/>
    <s v="Electronics"/>
    <x v="1"/>
    <n v="7"/>
    <n v="192.33"/>
    <n v="1346.31"/>
    <s v="Net Banking"/>
    <s v="Repeat Customer"/>
  </r>
  <r>
    <n v="11311"/>
    <s v="CUST151"/>
    <d v="2024-01-04T00:00:00"/>
    <s v="Beauty"/>
    <x v="2"/>
    <n v="8"/>
    <n v="435.92"/>
    <n v="3487.36"/>
    <s v="Credit Card"/>
    <s v="Repeat Customer"/>
  </r>
  <r>
    <n v="11312"/>
    <s v="CUST162"/>
    <d v="2025-06-27T00:00:00"/>
    <s v="Fashion"/>
    <x v="1"/>
    <n v="5"/>
    <n v="475.78"/>
    <n v="2378.9"/>
    <s v="Wallet"/>
    <s v="Repeat Customer"/>
  </r>
  <r>
    <n v="11313"/>
    <s v="CUST343"/>
    <d v="2025-06-11T00:00:00"/>
    <s v="Electronics"/>
    <x v="1"/>
    <n v="7"/>
    <n v="331.81"/>
    <n v="2322.67"/>
    <s v="Credit Card"/>
    <s v="Repeat Customer"/>
  </r>
  <r>
    <n v="11314"/>
    <s v="CUST284"/>
    <d v="2024-02-16T00:00:00"/>
    <s v="Fashion"/>
    <x v="3"/>
    <n v="6"/>
    <n v="340.58"/>
    <n v="2043.48"/>
    <s v="Wallet"/>
    <s v="Repeat Customer"/>
  </r>
  <r>
    <n v="11315"/>
    <s v="CUST141"/>
    <d v="2024-12-22T00:00:00"/>
    <s v="Beauty"/>
    <x v="0"/>
    <n v="7"/>
    <n v="469.85"/>
    <n v="3288.95"/>
    <s v="Wallet"/>
    <s v="Repeat Customer"/>
  </r>
  <r>
    <n v="11316"/>
    <s v="CUST250"/>
    <d v="2025-09-13T00:00:00"/>
    <s v="Sports"/>
    <x v="0"/>
    <n v="4"/>
    <n v="357.41"/>
    <n v="1429.64"/>
    <s v="UPI"/>
    <s v="Repeat Customer"/>
  </r>
  <r>
    <n v="11317"/>
    <s v="CUST354"/>
    <d v="2024-03-30T00:00:00"/>
    <s v="Sports"/>
    <x v="3"/>
    <n v="5"/>
    <n v="417.02"/>
    <n v="2085.1"/>
    <s v="UPI"/>
    <s v="Repeat Customer"/>
  </r>
  <r>
    <n v="11318"/>
    <s v="CUST328"/>
    <d v="2024-04-28T00:00:00"/>
    <s v="Fashion"/>
    <x v="2"/>
    <n v="8"/>
    <n v="333.01"/>
    <n v="2664.08"/>
    <s v="UPI"/>
    <s v="Repeat Customer"/>
  </r>
  <r>
    <n v="11319"/>
    <s v="CUST187"/>
    <d v="2025-11-06T00:00:00"/>
    <s v="Electronics"/>
    <x v="2"/>
    <n v="2"/>
    <n v="57.21"/>
    <n v="114.42"/>
    <s v="Net Banking"/>
    <s v="Repeat Customer"/>
  </r>
  <r>
    <n v="11320"/>
    <s v="CUST296"/>
    <d v="2024-10-14T00:00:00"/>
    <s v="Beauty"/>
    <x v="0"/>
    <n v="4"/>
    <n v="360.99"/>
    <n v="1443.96"/>
    <s v="UPI"/>
    <s v="Repeat Customer"/>
  </r>
  <r>
    <n v="11321"/>
    <s v="CUST373"/>
    <d v="2025-10-10T00:00:00"/>
    <s v="Home"/>
    <x v="2"/>
    <n v="8"/>
    <n v="49.77"/>
    <n v="398.16"/>
    <s v="Credit Card"/>
    <s v="Repeat Customer"/>
  </r>
  <r>
    <n v="11322"/>
    <s v="CUST275"/>
    <d v="2025-01-21T00:00:00"/>
    <s v="Sports"/>
    <x v="3"/>
    <n v="7"/>
    <n v="328.69"/>
    <n v="2300.83"/>
    <s v="UPI"/>
    <s v="Repeat Customer"/>
  </r>
  <r>
    <n v="11323"/>
    <s v="CUST214"/>
    <d v="2024-09-22T00:00:00"/>
    <s v="Electronics"/>
    <x v="0"/>
    <n v="2"/>
    <n v="149.03"/>
    <n v="298.06"/>
    <s v="Net Banking"/>
    <s v="Repeat Customer"/>
  </r>
  <r>
    <n v="11324"/>
    <s v="CUST196"/>
    <d v="2024-04-28T00:00:00"/>
    <s v="Home"/>
    <x v="3"/>
    <n v="10"/>
    <n v="187.03"/>
    <n v="1870.3"/>
    <s v="Credit Card"/>
    <s v="Repeat Customer"/>
  </r>
  <r>
    <n v="11325"/>
    <s v="CUST259"/>
    <d v="2024-03-04T00:00:00"/>
    <s v="Beauty"/>
    <x v="3"/>
    <n v="10"/>
    <n v="270.12"/>
    <n v="2701.2"/>
    <s v="Net Banking"/>
    <s v="Repeat Customer"/>
  </r>
  <r>
    <n v="11326"/>
    <s v="CUST286"/>
    <d v="2025-11-26T00:00:00"/>
    <s v="Sports"/>
    <x v="2"/>
    <n v="3"/>
    <n v="262.27999999999997"/>
    <n v="786.84"/>
    <s v="Credit Card"/>
    <s v="Repeat Customer"/>
  </r>
  <r>
    <n v="11327"/>
    <s v="CUST302"/>
    <d v="2024-01-10T00:00:00"/>
    <s v="Home"/>
    <x v="2"/>
    <n v="9"/>
    <n v="426.92"/>
    <n v="3842.28"/>
    <s v="Net Banking"/>
    <s v="Repeat Customer"/>
  </r>
  <r>
    <n v="11328"/>
    <s v="CUST212"/>
    <d v="2025-05-26T00:00:00"/>
    <s v="Home"/>
    <x v="2"/>
    <n v="8"/>
    <n v="77.98"/>
    <n v="623.84"/>
    <s v="Credit Card"/>
    <s v="Repeat Customer"/>
  </r>
  <r>
    <n v="11329"/>
    <s v="CUST263"/>
    <d v="2024-11-12T00:00:00"/>
    <s v="Electronics"/>
    <x v="1"/>
    <n v="9"/>
    <n v="495.22"/>
    <n v="4456.9799999999996"/>
    <s v="Wallet"/>
    <s v="Repeat Customer"/>
  </r>
  <r>
    <n v="11330"/>
    <s v="CUST210"/>
    <d v="2025-05-21T00:00:00"/>
    <s v="Beauty"/>
    <x v="0"/>
    <n v="5"/>
    <n v="353.55"/>
    <n v="1767.75"/>
    <s v="Net Banking"/>
    <s v="Repeat Customer"/>
  </r>
  <r>
    <n v="11331"/>
    <s v="CUST178"/>
    <d v="2024-08-03T00:00:00"/>
    <s v="Electronics"/>
    <x v="2"/>
    <n v="4"/>
    <n v="351.7"/>
    <n v="1406.8"/>
    <s v="Wallet"/>
    <s v="Repeat Customer"/>
  </r>
  <r>
    <n v="11332"/>
    <s v="CUST300"/>
    <d v="2024-11-02T00:00:00"/>
    <s v="Sports"/>
    <x v="3"/>
    <n v="3"/>
    <n v="495.58"/>
    <n v="1486.74"/>
    <s v="Net Banking"/>
    <s v="Repeat Customer"/>
  </r>
  <r>
    <n v="11333"/>
    <s v="CUST316"/>
    <d v="2025-11-25T00:00:00"/>
    <s v="Beauty"/>
    <x v="3"/>
    <n v="8"/>
    <n v="495.21"/>
    <n v="3961.68"/>
    <s v="Credit Card"/>
    <s v="Repeat Customer"/>
  </r>
  <r>
    <n v="11334"/>
    <s v="CUST370"/>
    <d v="2024-10-16T00:00:00"/>
    <s v="Fashion"/>
    <x v="3"/>
    <n v="5"/>
    <n v="349.71"/>
    <n v="1748.55"/>
    <s v="Credit Card"/>
    <s v="Repeat Customer"/>
  </r>
  <r>
    <n v="11335"/>
    <s v="CUST167"/>
    <d v="2024-11-27T00:00:00"/>
    <s v="Electronics"/>
    <x v="1"/>
    <n v="10"/>
    <n v="433.6"/>
    <n v="4336"/>
    <s v="Wallet"/>
    <s v="Repeat Customer"/>
  </r>
  <r>
    <n v="11336"/>
    <s v="CUST183"/>
    <d v="2025-08-14T00:00:00"/>
    <s v="Beauty"/>
    <x v="1"/>
    <n v="3"/>
    <n v="223.73"/>
    <n v="671.19"/>
    <s v="UPI"/>
    <s v="Repeat Customer"/>
  </r>
  <r>
    <n v="11337"/>
    <s v="CUST207"/>
    <d v="2024-08-11T00:00:00"/>
    <s v="Electronics"/>
    <x v="1"/>
    <n v="4"/>
    <n v="368.98"/>
    <n v="1475.92"/>
    <s v="Credit Card"/>
    <s v="Repeat Customer"/>
  </r>
  <r>
    <n v="11338"/>
    <s v="CUST175"/>
    <d v="2025-01-20T00:00:00"/>
    <s v="Fashion"/>
    <x v="0"/>
    <n v="7"/>
    <n v="341.33"/>
    <n v="2389.31"/>
    <s v="Credit Card"/>
    <s v="Repeat Customer"/>
  </r>
  <r>
    <n v="11339"/>
    <s v="CUST282"/>
    <d v="2025-04-30T00:00:00"/>
    <s v="Electronics"/>
    <x v="1"/>
    <n v="3"/>
    <n v="472.81"/>
    <n v="1418.43"/>
    <s v="Wallet"/>
    <s v="Repeat Customer"/>
  </r>
  <r>
    <n v="11340"/>
    <s v="CUST176"/>
    <d v="2025-10-04T00:00:00"/>
    <s v="Electronics"/>
    <x v="2"/>
    <n v="7"/>
    <n v="126.28"/>
    <n v="883.96"/>
    <s v="Wallet"/>
    <s v="Repeat Customer"/>
  </r>
  <r>
    <n v="11341"/>
    <s v="CUST350"/>
    <d v="2024-11-05T00:00:00"/>
    <s v="Beauty"/>
    <x v="0"/>
    <n v="10"/>
    <n v="477.5"/>
    <n v="4775"/>
    <s v="Wallet"/>
    <s v="Repeat Customer"/>
  </r>
  <r>
    <n v="11342"/>
    <s v="CUST295"/>
    <d v="2024-10-08T00:00:00"/>
    <s v="Electronics"/>
    <x v="0"/>
    <n v="8"/>
    <n v="186.82"/>
    <n v="1494.56"/>
    <s v="Credit Card"/>
    <s v="Repeat Customer"/>
  </r>
  <r>
    <n v="11343"/>
    <s v="CUST162"/>
    <d v="2025-05-15T00:00:00"/>
    <s v="Sports"/>
    <x v="3"/>
    <n v="9"/>
    <n v="116.34"/>
    <n v="1047.06"/>
    <s v="Net Banking"/>
    <s v="Repeat Customer"/>
  </r>
  <r>
    <n v="11344"/>
    <s v="CUST148"/>
    <d v="2025-08-30T00:00:00"/>
    <s v="Beauty"/>
    <x v="1"/>
    <n v="3"/>
    <n v="195.06"/>
    <n v="585.17999999999995"/>
    <s v="UPI"/>
    <s v="Repeat Customer"/>
  </r>
  <r>
    <n v="11345"/>
    <s v="CUST150"/>
    <d v="2024-11-29T00:00:00"/>
    <s v="Sports"/>
    <x v="2"/>
    <n v="2"/>
    <n v="358.32"/>
    <n v="716.64"/>
    <s v="Wallet"/>
    <s v="Repeat Customer"/>
  </r>
  <r>
    <n v="11346"/>
    <s v="CUST110"/>
    <d v="2025-02-07T00:00:00"/>
    <s v="Sports"/>
    <x v="3"/>
    <n v="9"/>
    <n v="409.64"/>
    <n v="3686.76"/>
    <s v="Credit Card"/>
    <s v="Repeat Customer"/>
  </r>
  <r>
    <n v="11347"/>
    <s v="CUST365"/>
    <d v="2025-08-21T00:00:00"/>
    <s v="Electronics"/>
    <x v="2"/>
    <n v="9"/>
    <n v="358.31"/>
    <n v="3224.79"/>
    <s v="Credit Card"/>
    <s v="Repeat Customer"/>
  </r>
  <r>
    <n v="11348"/>
    <s v="CUST192"/>
    <d v="2025-09-05T00:00:00"/>
    <s v="Beauty"/>
    <x v="1"/>
    <n v="3"/>
    <n v="7.64"/>
    <n v="22.92"/>
    <s v="Credit Card"/>
    <s v="Repeat Customer"/>
  </r>
  <r>
    <n v="11349"/>
    <s v="CUST120"/>
    <d v="2024-05-11T00:00:00"/>
    <s v="Fashion"/>
    <x v="0"/>
    <n v="10"/>
    <n v="107.08"/>
    <n v="1070.8"/>
    <s v="Net Banking"/>
    <s v="Repeat Customer"/>
  </r>
  <r>
    <n v="11350"/>
    <s v="CUST117"/>
    <d v="2024-03-27T00:00:00"/>
    <s v="Home"/>
    <x v="2"/>
    <n v="2"/>
    <n v="255.54"/>
    <n v="511.08"/>
    <s v="Wallet"/>
    <s v="Repeat Customer"/>
  </r>
  <r>
    <n v="11351"/>
    <s v="CUST100"/>
    <d v="2024-09-11T00:00:00"/>
    <s v="Sports"/>
    <x v="1"/>
    <n v="5"/>
    <n v="27.85"/>
    <n v="139.25"/>
    <s v="Wallet"/>
    <s v="Repeat Customer"/>
  </r>
  <r>
    <n v="11352"/>
    <s v="CUST171"/>
    <d v="2025-08-13T00:00:00"/>
    <s v="Sports"/>
    <x v="1"/>
    <n v="8"/>
    <n v="349.08"/>
    <n v="2792.64"/>
    <s v="UPI"/>
    <s v="Repeat Customer"/>
  </r>
  <r>
    <n v="11353"/>
    <s v="CUST150"/>
    <d v="2025-11-09T00:00:00"/>
    <s v="Fashion"/>
    <x v="2"/>
    <n v="1"/>
    <n v="122.36"/>
    <n v="122.36"/>
    <s v="Net Banking"/>
    <s v="Repeat Customer"/>
  </r>
  <r>
    <n v="11354"/>
    <s v="CUST210"/>
    <d v="2024-05-17T00:00:00"/>
    <s v="Sports"/>
    <x v="1"/>
    <n v="10"/>
    <n v="278.27"/>
    <n v="2782.7"/>
    <s v="Net Banking"/>
    <s v="Repeat Customer"/>
  </r>
  <r>
    <n v="11355"/>
    <s v="CUST165"/>
    <d v="2025-09-29T00:00:00"/>
    <s v="Home"/>
    <x v="1"/>
    <n v="7"/>
    <n v="41.81"/>
    <n v="292.67"/>
    <s v="Wallet"/>
    <s v="Repeat Customer"/>
  </r>
  <r>
    <n v="11356"/>
    <s v="CUST183"/>
    <d v="2025-02-13T00:00:00"/>
    <s v="Home"/>
    <x v="3"/>
    <n v="8"/>
    <n v="46.21"/>
    <n v="369.68"/>
    <s v="UPI"/>
    <s v="Repeat Customer"/>
  </r>
  <r>
    <n v="11357"/>
    <s v="CUST374"/>
    <d v="2024-07-27T00:00:00"/>
    <s v="Home"/>
    <x v="2"/>
    <n v="2"/>
    <n v="316.64"/>
    <n v="633.28"/>
    <s v="Net Banking"/>
    <s v="Repeat Customer"/>
  </r>
  <r>
    <n v="11358"/>
    <s v="CUST388"/>
    <d v="2025-11-04T00:00:00"/>
    <s v="Beauty"/>
    <x v="2"/>
    <n v="9"/>
    <n v="304.45"/>
    <n v="2740.05"/>
    <s v="Net Banking"/>
    <s v="Repeat Customer"/>
  </r>
  <r>
    <n v="11359"/>
    <s v="CUST322"/>
    <d v="2025-01-23T00:00:00"/>
    <s v="Fashion"/>
    <x v="0"/>
    <n v="1"/>
    <n v="482.19"/>
    <n v="482.19"/>
    <s v="Net Banking"/>
    <s v="Repeat Customer"/>
  </r>
  <r>
    <n v="11360"/>
    <s v="CUST163"/>
    <d v="2025-06-28T00:00:00"/>
    <s v="Beauty"/>
    <x v="0"/>
    <n v="2"/>
    <n v="343.57"/>
    <n v="687.14"/>
    <s v="Net Banking"/>
    <s v="Repeat Customer"/>
  </r>
  <r>
    <n v="11361"/>
    <s v="CUST145"/>
    <d v="2025-01-06T00:00:00"/>
    <s v="Fashion"/>
    <x v="2"/>
    <n v="6"/>
    <n v="390.15"/>
    <n v="2340.9"/>
    <s v="Net Banking"/>
    <s v="Repeat Customer"/>
  </r>
  <r>
    <n v="11362"/>
    <s v="CUST105"/>
    <d v="2024-04-10T00:00:00"/>
    <s v="Fashion"/>
    <x v="3"/>
    <n v="7"/>
    <n v="489.85"/>
    <n v="3428.95"/>
    <s v="Credit Card"/>
    <s v="Repeat Customer"/>
  </r>
  <r>
    <n v="11363"/>
    <s v="CUST163"/>
    <d v="2024-06-28T00:00:00"/>
    <s v="Home"/>
    <x v="3"/>
    <n v="9"/>
    <n v="365.52"/>
    <n v="3289.68"/>
    <s v="Credit Card"/>
    <s v="Repeat Customer"/>
  </r>
  <r>
    <n v="11364"/>
    <s v="CUST370"/>
    <d v="2024-12-23T00:00:00"/>
    <s v="Sports"/>
    <x v="1"/>
    <n v="10"/>
    <n v="433.37"/>
    <n v="4333.7"/>
    <s v="Credit Card"/>
    <s v="Repeat Customer"/>
  </r>
  <r>
    <n v="11365"/>
    <s v="CUST124"/>
    <d v="2024-06-23T00:00:00"/>
    <s v="Beauty"/>
    <x v="2"/>
    <n v="6"/>
    <n v="473.52"/>
    <n v="2841.12"/>
    <s v="Net Banking"/>
    <s v="Repeat Customer"/>
  </r>
  <r>
    <n v="11366"/>
    <s v="CUST372"/>
    <d v="2025-07-18T00:00:00"/>
    <s v="Beauty"/>
    <x v="3"/>
    <n v="10"/>
    <n v="441.6"/>
    <n v="4416"/>
    <s v="UPI"/>
    <s v="Repeat Customer"/>
  </r>
  <r>
    <n v="11367"/>
    <s v="CUST232"/>
    <d v="2024-01-10T00:00:00"/>
    <s v="Fashion"/>
    <x v="2"/>
    <n v="9"/>
    <n v="358.05"/>
    <n v="3222.45"/>
    <s v="Wallet"/>
    <s v="Repeat Customer"/>
  </r>
  <r>
    <n v="11368"/>
    <s v="CUST390"/>
    <d v="2024-09-30T00:00:00"/>
    <s v="Home"/>
    <x v="2"/>
    <n v="1"/>
    <n v="459.63"/>
    <n v="459.63"/>
    <s v="Wallet"/>
    <s v="Repeat Customer"/>
  </r>
  <r>
    <n v="11369"/>
    <s v="CUST334"/>
    <d v="2024-07-06T00:00:00"/>
    <s v="Beauty"/>
    <x v="1"/>
    <n v="8"/>
    <n v="493.19"/>
    <n v="3945.52"/>
    <s v="Net Banking"/>
    <s v="Repeat Customer"/>
  </r>
  <r>
    <n v="11370"/>
    <s v="CUST319"/>
    <d v="2025-06-17T00:00:00"/>
    <s v="Electronics"/>
    <x v="1"/>
    <n v="4"/>
    <n v="156.07"/>
    <n v="624.28"/>
    <s v="Wallet"/>
    <s v="Repeat Customer"/>
  </r>
  <r>
    <n v="11371"/>
    <s v="CUST260"/>
    <d v="2024-04-02T00:00:00"/>
    <s v="Fashion"/>
    <x v="0"/>
    <n v="2"/>
    <n v="42.96"/>
    <n v="85.92"/>
    <s v="UPI"/>
    <s v="Repeat Customer"/>
  </r>
  <r>
    <n v="11372"/>
    <s v="CUST394"/>
    <d v="2024-02-28T00:00:00"/>
    <s v="Sports"/>
    <x v="3"/>
    <n v="2"/>
    <n v="372.99"/>
    <n v="745.98"/>
    <s v="Credit Card"/>
    <s v="Repeat Customer"/>
  </r>
  <r>
    <n v="11373"/>
    <s v="CUST317"/>
    <d v="2025-11-24T00:00:00"/>
    <s v="Fashion"/>
    <x v="3"/>
    <n v="9"/>
    <n v="466.56"/>
    <n v="4199.04"/>
    <s v="Wallet"/>
    <s v="Repeat Customer"/>
  </r>
  <r>
    <n v="11374"/>
    <s v="CUST363"/>
    <d v="2025-12-02T00:00:00"/>
    <s v="Beauty"/>
    <x v="0"/>
    <n v="9"/>
    <n v="350.45"/>
    <n v="3154.05"/>
    <s v="UPI"/>
    <s v="Repeat Customer"/>
  </r>
  <r>
    <n v="11375"/>
    <s v="CUST103"/>
    <d v="2025-03-11T00:00:00"/>
    <s v="Fashion"/>
    <x v="0"/>
    <n v="9"/>
    <n v="376.09"/>
    <n v="3384.81"/>
    <s v="Wallet"/>
    <s v="Repeat Customer"/>
  </r>
  <r>
    <n v="11376"/>
    <s v="CUST186"/>
    <d v="2025-11-21T00:00:00"/>
    <s v="Fashion"/>
    <x v="0"/>
    <n v="9"/>
    <n v="452.38"/>
    <n v="4071.42"/>
    <s v="Net Banking"/>
    <s v="Repeat Customer"/>
  </r>
  <r>
    <n v="11377"/>
    <s v="CUST168"/>
    <d v="2025-06-10T00:00:00"/>
    <s v="Beauty"/>
    <x v="3"/>
    <n v="6"/>
    <n v="476.48"/>
    <n v="2858.88"/>
    <s v="Wallet"/>
    <s v="Repeat Customer"/>
  </r>
  <r>
    <n v="11378"/>
    <s v="CUST187"/>
    <d v="2025-01-17T00:00:00"/>
    <s v="Fashion"/>
    <x v="0"/>
    <n v="2"/>
    <n v="172.29"/>
    <n v="344.58"/>
    <s v="Net Banking"/>
    <s v="Repeat Customer"/>
  </r>
  <r>
    <n v="11379"/>
    <s v="CUST253"/>
    <d v="2025-05-09T00:00:00"/>
    <s v="Electronics"/>
    <x v="3"/>
    <n v="5"/>
    <n v="136.05000000000001"/>
    <n v="680.25"/>
    <s v="UPI"/>
    <s v="Repeat Customer"/>
  </r>
  <r>
    <n v="11380"/>
    <s v="CUST256"/>
    <d v="2025-10-20T00:00:00"/>
    <s v="Electronics"/>
    <x v="3"/>
    <n v="9"/>
    <n v="413.74"/>
    <n v="3723.66"/>
    <s v="Wallet"/>
    <s v="Repeat Customer"/>
  </r>
  <r>
    <n v="11381"/>
    <s v="CUST129"/>
    <d v="2024-12-30T00:00:00"/>
    <s v="Home"/>
    <x v="1"/>
    <n v="1"/>
    <n v="309.69"/>
    <n v="309.69"/>
    <s v="Net Banking"/>
    <s v="Repeat Customer"/>
  </r>
  <r>
    <n v="11382"/>
    <s v="CUST154"/>
    <d v="2024-01-06T00:00:00"/>
    <s v="Fashion"/>
    <x v="3"/>
    <n v="6"/>
    <n v="445.65"/>
    <n v="2673.9"/>
    <s v="Net Banking"/>
    <s v="Repeat Customer"/>
  </r>
  <r>
    <n v="11383"/>
    <s v="CUST104"/>
    <d v="2024-04-13T00:00:00"/>
    <s v="Electronics"/>
    <x v="2"/>
    <n v="7"/>
    <n v="248.56"/>
    <n v="1739.92"/>
    <s v="Wallet"/>
    <s v="Repeat Customer"/>
  </r>
  <r>
    <n v="11384"/>
    <s v="CUST163"/>
    <d v="2025-05-14T00:00:00"/>
    <s v="Home"/>
    <x v="2"/>
    <n v="1"/>
    <n v="82.04"/>
    <n v="82.04"/>
    <s v="Wallet"/>
    <s v="Repeat Customer"/>
  </r>
  <r>
    <n v="11385"/>
    <s v="CUST302"/>
    <d v="2025-01-18T00:00:00"/>
    <s v="Fashion"/>
    <x v="1"/>
    <n v="5"/>
    <n v="185.43"/>
    <n v="927.15"/>
    <s v="Credit Card"/>
    <s v="Repeat Customer"/>
  </r>
  <r>
    <n v="11386"/>
    <s v="CUST324"/>
    <d v="2025-11-03T00:00:00"/>
    <s v="Home"/>
    <x v="3"/>
    <n v="8"/>
    <n v="85.11"/>
    <n v="680.88"/>
    <s v="Credit Card"/>
    <s v="Repeat Customer"/>
  </r>
  <r>
    <n v="11387"/>
    <s v="CUST283"/>
    <d v="2025-12-27T00:00:00"/>
    <s v="Home"/>
    <x v="0"/>
    <n v="4"/>
    <n v="59.78"/>
    <n v="239.12"/>
    <s v="UPI"/>
    <s v="Repeat Customer"/>
  </r>
  <r>
    <n v="11388"/>
    <s v="CUST302"/>
    <d v="2025-03-07T00:00:00"/>
    <s v="Fashion"/>
    <x v="2"/>
    <n v="6"/>
    <n v="450.99"/>
    <n v="2705.94"/>
    <s v="Wallet"/>
    <s v="Repeat Customer"/>
  </r>
  <r>
    <n v="11389"/>
    <s v="CUST236"/>
    <d v="2024-05-01T00:00:00"/>
    <s v="Beauty"/>
    <x v="2"/>
    <n v="7"/>
    <n v="247.09"/>
    <n v="1729.63"/>
    <s v="Net Banking"/>
    <s v="Repeat Customer"/>
  </r>
  <r>
    <n v="11390"/>
    <s v="CUST304"/>
    <d v="2025-05-28T00:00:00"/>
    <s v="Electronics"/>
    <x v="0"/>
    <n v="7"/>
    <n v="70.05"/>
    <n v="490.35"/>
    <s v="UPI"/>
    <s v="New Customer"/>
  </r>
  <r>
    <n v="11391"/>
    <s v="CUST179"/>
    <d v="2024-12-18T00:00:00"/>
    <s v="Fashion"/>
    <x v="0"/>
    <n v="9"/>
    <n v="11.76"/>
    <n v="105.84"/>
    <s v="Net Banking"/>
    <s v="Repeat Customer"/>
  </r>
  <r>
    <n v="11392"/>
    <s v="CUST319"/>
    <d v="2025-09-03T00:00:00"/>
    <s v="Home"/>
    <x v="1"/>
    <n v="1"/>
    <n v="219.99"/>
    <n v="219.99"/>
    <s v="Wallet"/>
    <s v="Repeat Customer"/>
  </r>
  <r>
    <n v="11393"/>
    <s v="CUST142"/>
    <d v="2025-03-15T00:00:00"/>
    <s v="Sports"/>
    <x v="2"/>
    <n v="4"/>
    <n v="310.72000000000003"/>
    <n v="1242.8800000000001"/>
    <s v="UPI"/>
    <s v="Repeat Customer"/>
  </r>
  <r>
    <n v="11394"/>
    <s v="CUST243"/>
    <d v="2024-04-27T00:00:00"/>
    <s v="Fashion"/>
    <x v="3"/>
    <n v="5"/>
    <n v="497.16"/>
    <n v="2485.8000000000002"/>
    <s v="UPI"/>
    <s v="Repeat Customer"/>
  </r>
  <r>
    <n v="11395"/>
    <s v="CUST342"/>
    <d v="2025-12-24T00:00:00"/>
    <s v="Sports"/>
    <x v="2"/>
    <n v="2"/>
    <n v="352.07"/>
    <n v="704.14"/>
    <s v="UPI"/>
    <s v="Repeat Customer"/>
  </r>
  <r>
    <n v="11396"/>
    <s v="CUST176"/>
    <d v="2024-08-22T00:00:00"/>
    <s v="Electronics"/>
    <x v="1"/>
    <n v="2"/>
    <n v="70.489999999999995"/>
    <n v="140.97999999999999"/>
    <s v="UPI"/>
    <s v="Repeat Customer"/>
  </r>
  <r>
    <n v="11397"/>
    <s v="CUST174"/>
    <d v="2025-03-12T00:00:00"/>
    <s v="Electronics"/>
    <x v="0"/>
    <n v="1"/>
    <n v="310.14999999999998"/>
    <n v="310.14999999999998"/>
    <s v="Wallet"/>
    <s v="Repeat Customer"/>
  </r>
  <r>
    <n v="11398"/>
    <s v="CUST308"/>
    <d v="2025-06-21T00:00:00"/>
    <s v="Fashion"/>
    <x v="2"/>
    <n v="5"/>
    <n v="351.58"/>
    <n v="1757.9"/>
    <s v="Net Banking"/>
    <s v="Repeat Customer"/>
  </r>
  <r>
    <n v="11399"/>
    <s v="CUST318"/>
    <d v="2025-05-05T00:00:00"/>
    <s v="Electronics"/>
    <x v="1"/>
    <n v="1"/>
    <n v="257.38"/>
    <n v="257.38"/>
    <s v="Credit Card"/>
    <s v="Repeat Customer"/>
  </r>
  <r>
    <n v="11400"/>
    <s v="CUST237"/>
    <d v="2025-01-07T00:00:00"/>
    <s v="Beauty"/>
    <x v="2"/>
    <n v="5"/>
    <n v="471.78"/>
    <n v="2358.9"/>
    <s v="Net Banking"/>
    <s v="Repeat Customer"/>
  </r>
  <r>
    <n v="11401"/>
    <s v="CUST124"/>
    <d v="2024-07-05T00:00:00"/>
    <s v="Home"/>
    <x v="2"/>
    <n v="1"/>
    <n v="5.27"/>
    <n v="5.27"/>
    <s v="Net Banking"/>
    <s v="Repeat Customer"/>
  </r>
  <r>
    <n v="11402"/>
    <s v="CUST341"/>
    <d v="2024-10-13T00:00:00"/>
    <s v="Fashion"/>
    <x v="1"/>
    <n v="10"/>
    <n v="54.88"/>
    <n v="548.79999999999995"/>
    <s v="Wallet"/>
    <s v="Repeat Customer"/>
  </r>
  <r>
    <n v="11403"/>
    <s v="CUST286"/>
    <d v="2024-12-08T00:00:00"/>
    <s v="Electronics"/>
    <x v="2"/>
    <n v="5"/>
    <n v="60.21"/>
    <n v="301.05"/>
    <s v="Net Banking"/>
    <s v="Repeat Customer"/>
  </r>
  <r>
    <n v="11404"/>
    <s v="CUST284"/>
    <d v="2025-01-05T00:00:00"/>
    <s v="Home"/>
    <x v="2"/>
    <n v="10"/>
    <n v="266.79000000000002"/>
    <n v="2667.9"/>
    <s v="Net Banking"/>
    <s v="Repeat Customer"/>
  </r>
  <r>
    <n v="11405"/>
    <s v="CUST207"/>
    <d v="2025-08-21T00:00:00"/>
    <s v="Electronics"/>
    <x v="2"/>
    <n v="7"/>
    <n v="48.18"/>
    <n v="337.26"/>
    <s v="Credit Card"/>
    <s v="Repeat Customer"/>
  </r>
  <r>
    <n v="11406"/>
    <s v="CUST121"/>
    <d v="2025-08-23T00:00:00"/>
    <s v="Beauty"/>
    <x v="0"/>
    <n v="4"/>
    <n v="100.5"/>
    <n v="402"/>
    <s v="Credit Card"/>
    <s v="Repeat Customer"/>
  </r>
  <r>
    <n v="11407"/>
    <s v="CUST379"/>
    <d v="2025-09-25T00:00:00"/>
    <s v="Beauty"/>
    <x v="2"/>
    <n v="6"/>
    <n v="154.22999999999999"/>
    <n v="925.38"/>
    <s v="UPI"/>
    <s v="Repeat Customer"/>
  </r>
  <r>
    <n v="11408"/>
    <s v="CUST122"/>
    <d v="2024-05-10T00:00:00"/>
    <s v="Home"/>
    <x v="1"/>
    <n v="4"/>
    <n v="212.02"/>
    <n v="848.08"/>
    <s v="Net Banking"/>
    <s v="Repeat Customer"/>
  </r>
  <r>
    <n v="11409"/>
    <s v="CUST329"/>
    <d v="2025-10-06T00:00:00"/>
    <s v="Electronics"/>
    <x v="3"/>
    <n v="2"/>
    <n v="455.87"/>
    <n v="911.74"/>
    <s v="Wallet"/>
    <s v="Repeat Customer"/>
  </r>
  <r>
    <n v="11410"/>
    <s v="CUST368"/>
    <d v="2025-05-30T00:00:00"/>
    <s v="Home"/>
    <x v="2"/>
    <n v="1"/>
    <n v="87.63"/>
    <n v="87.63"/>
    <s v="Net Banking"/>
    <s v="Repeat Customer"/>
  </r>
  <r>
    <n v="11411"/>
    <s v="CUST123"/>
    <d v="2025-08-02T00:00:00"/>
    <s v="Fashion"/>
    <x v="3"/>
    <n v="1"/>
    <n v="398.22"/>
    <n v="398.22"/>
    <s v="Wallet"/>
    <s v="Repeat Customer"/>
  </r>
  <r>
    <n v="11412"/>
    <s v="CUST372"/>
    <d v="2025-06-09T00:00:00"/>
    <s v="Sports"/>
    <x v="3"/>
    <n v="2"/>
    <n v="86.93"/>
    <n v="173.86"/>
    <s v="Wallet"/>
    <s v="Repeat Customer"/>
  </r>
  <r>
    <n v="11413"/>
    <s v="CUST305"/>
    <d v="2025-09-13T00:00:00"/>
    <s v="Electronics"/>
    <x v="2"/>
    <n v="5"/>
    <n v="107.43"/>
    <n v="537.15"/>
    <s v="UPI"/>
    <s v="Repeat Customer"/>
  </r>
  <r>
    <n v="11414"/>
    <s v="CUST104"/>
    <d v="2025-06-09T00:00:00"/>
    <s v="Sports"/>
    <x v="1"/>
    <n v="8"/>
    <n v="254.39"/>
    <n v="2035.12"/>
    <s v="Net Banking"/>
    <s v="Repeat Customer"/>
  </r>
  <r>
    <n v="11415"/>
    <s v="CUST212"/>
    <d v="2024-10-30T00:00:00"/>
    <s v="Fashion"/>
    <x v="2"/>
    <n v="5"/>
    <n v="278.31"/>
    <n v="1391.55"/>
    <s v="Credit Card"/>
    <s v="Repeat Customer"/>
  </r>
  <r>
    <n v="11416"/>
    <s v="CUST373"/>
    <d v="2024-08-31T00:00:00"/>
    <s v="Fashion"/>
    <x v="1"/>
    <n v="5"/>
    <n v="24.35"/>
    <n v="121.75"/>
    <s v="UPI"/>
    <s v="Repeat Customer"/>
  </r>
  <r>
    <n v="11417"/>
    <s v="CUST238"/>
    <d v="2024-02-22T00:00:00"/>
    <s v="Fashion"/>
    <x v="0"/>
    <n v="4"/>
    <n v="494.82"/>
    <n v="1979.28"/>
    <s v="Credit Card"/>
    <s v="Repeat Customer"/>
  </r>
  <r>
    <n v="11418"/>
    <s v="CUST277"/>
    <d v="2025-10-09T00:00:00"/>
    <s v="Home"/>
    <x v="0"/>
    <n v="10"/>
    <n v="486.25"/>
    <n v="4862.5"/>
    <s v="Net Banking"/>
    <s v="Repeat Customer"/>
  </r>
  <r>
    <n v="11419"/>
    <s v="CUST168"/>
    <d v="2025-02-22T00:00:00"/>
    <s v="Electronics"/>
    <x v="0"/>
    <n v="10"/>
    <n v="150.97"/>
    <n v="1509.7"/>
    <s v="Net Banking"/>
    <s v="Repeat Customer"/>
  </r>
  <r>
    <n v="11420"/>
    <s v="CUST212"/>
    <d v="2024-10-13T00:00:00"/>
    <s v="Electronics"/>
    <x v="0"/>
    <n v="3"/>
    <n v="131.71"/>
    <n v="395.13"/>
    <s v="Wallet"/>
    <s v="Repeat Customer"/>
  </r>
  <r>
    <n v="11421"/>
    <s v="CUST231"/>
    <d v="2025-10-03T00:00:00"/>
    <s v="Beauty"/>
    <x v="2"/>
    <n v="10"/>
    <n v="277.68"/>
    <n v="2776.8"/>
    <s v="Net Banking"/>
    <s v="Repeat Customer"/>
  </r>
  <r>
    <n v="11422"/>
    <s v="CUST237"/>
    <d v="2024-07-27T00:00:00"/>
    <s v="Beauty"/>
    <x v="2"/>
    <n v="10"/>
    <n v="316.75"/>
    <n v="3167.5"/>
    <s v="Wallet"/>
    <s v="Repeat Customer"/>
  </r>
  <r>
    <n v="11423"/>
    <s v="CUST218"/>
    <d v="2025-03-20T00:00:00"/>
    <s v="Beauty"/>
    <x v="0"/>
    <n v="6"/>
    <n v="78.430000000000007"/>
    <n v="470.58"/>
    <s v="Wallet"/>
    <s v="Repeat Customer"/>
  </r>
  <r>
    <n v="11424"/>
    <s v="CUST192"/>
    <d v="2025-04-15T00:00:00"/>
    <s v="Fashion"/>
    <x v="2"/>
    <n v="3"/>
    <n v="408.72"/>
    <n v="1226.1600000000001"/>
    <s v="Wallet"/>
    <s v="Repeat Customer"/>
  </r>
  <r>
    <n v="11425"/>
    <s v="CUST192"/>
    <d v="2025-10-25T00:00:00"/>
    <s v="Fashion"/>
    <x v="2"/>
    <n v="5"/>
    <n v="15.42"/>
    <n v="77.099999999999994"/>
    <s v="Wallet"/>
    <s v="Repeat Customer"/>
  </r>
  <r>
    <n v="11426"/>
    <s v="CUST196"/>
    <d v="2024-03-12T00:00:00"/>
    <s v="Fashion"/>
    <x v="3"/>
    <n v="3"/>
    <n v="40.659999999999997"/>
    <n v="121.98"/>
    <s v="Wallet"/>
    <s v="Repeat Customer"/>
  </r>
  <r>
    <n v="11427"/>
    <s v="CUST151"/>
    <d v="2025-06-23T00:00:00"/>
    <s v="Electronics"/>
    <x v="0"/>
    <n v="3"/>
    <n v="364.75"/>
    <n v="1094.25"/>
    <s v="Wallet"/>
    <s v="Repeat Customer"/>
  </r>
  <r>
    <n v="11428"/>
    <s v="CUST296"/>
    <d v="2024-01-22T00:00:00"/>
    <s v="Electronics"/>
    <x v="2"/>
    <n v="2"/>
    <n v="414.15"/>
    <n v="828.3"/>
    <s v="UPI"/>
    <s v="Repeat Customer"/>
  </r>
  <r>
    <n v="11429"/>
    <s v="CUST142"/>
    <d v="2024-10-01T00:00:00"/>
    <s v="Sports"/>
    <x v="0"/>
    <n v="3"/>
    <n v="469.61"/>
    <n v="1408.83"/>
    <s v="Credit Card"/>
    <s v="Repeat Customer"/>
  </r>
  <r>
    <n v="11430"/>
    <s v="CUST154"/>
    <d v="2025-07-09T00:00:00"/>
    <s v="Electronics"/>
    <x v="2"/>
    <n v="6"/>
    <n v="427.1"/>
    <n v="2562.6"/>
    <s v="UPI"/>
    <s v="Repeat Customer"/>
  </r>
  <r>
    <n v="11431"/>
    <s v="CUST345"/>
    <d v="2025-07-30T00:00:00"/>
    <s v="Home"/>
    <x v="1"/>
    <n v="8"/>
    <n v="408.66"/>
    <n v="3269.28"/>
    <s v="Wallet"/>
    <s v="Repeat Customer"/>
  </r>
  <r>
    <n v="11432"/>
    <s v="CUST179"/>
    <d v="2024-09-06T00:00:00"/>
    <s v="Home"/>
    <x v="0"/>
    <n v="1"/>
    <n v="274.05"/>
    <n v="274.05"/>
    <s v="Credit Card"/>
    <s v="Repeat Customer"/>
  </r>
  <r>
    <n v="11433"/>
    <s v="CUST122"/>
    <d v="2024-04-15T00:00:00"/>
    <s v="Sports"/>
    <x v="3"/>
    <n v="9"/>
    <n v="151.88999999999999"/>
    <n v="1367.01"/>
    <s v="UPI"/>
    <s v="Repeat Customer"/>
  </r>
  <r>
    <n v="11434"/>
    <s v="CUST100"/>
    <d v="2024-08-17T00:00:00"/>
    <s v="Beauty"/>
    <x v="2"/>
    <n v="1"/>
    <n v="117.2"/>
    <n v="117.2"/>
    <s v="Net Banking"/>
    <s v="Repeat Customer"/>
  </r>
  <r>
    <n v="11435"/>
    <s v="CUST246"/>
    <d v="2024-08-19T00:00:00"/>
    <s v="Electronics"/>
    <x v="3"/>
    <n v="7"/>
    <n v="344.95"/>
    <n v="2414.65"/>
    <s v="UPI"/>
    <s v="Repeat Customer"/>
  </r>
  <r>
    <n v="11436"/>
    <s v="CUST156"/>
    <d v="2024-08-17T00:00:00"/>
    <s v="Home"/>
    <x v="1"/>
    <n v="2"/>
    <n v="478.45"/>
    <n v="956.9"/>
    <s v="Credit Card"/>
    <s v="Repeat Customer"/>
  </r>
  <r>
    <n v="11437"/>
    <s v="CUST270"/>
    <d v="2024-05-01T00:00:00"/>
    <s v="Electronics"/>
    <x v="0"/>
    <n v="6"/>
    <n v="462.04"/>
    <n v="2772.24"/>
    <s v="UPI"/>
    <s v="Repeat Customer"/>
  </r>
  <r>
    <n v="11438"/>
    <s v="CUST191"/>
    <d v="2025-03-14T00:00:00"/>
    <s v="Fashion"/>
    <x v="3"/>
    <n v="9"/>
    <n v="170.75"/>
    <n v="1536.75"/>
    <s v="UPI"/>
    <s v="Repeat Customer"/>
  </r>
  <r>
    <n v="11439"/>
    <s v="CUST254"/>
    <d v="2025-10-01T00:00:00"/>
    <s v="Electronics"/>
    <x v="1"/>
    <n v="5"/>
    <n v="177.45"/>
    <n v="887.25"/>
    <s v="Wallet"/>
    <s v="Repeat Customer"/>
  </r>
  <r>
    <n v="11440"/>
    <s v="CUST288"/>
    <d v="2024-09-28T00:00:00"/>
    <s v="Fashion"/>
    <x v="2"/>
    <n v="2"/>
    <n v="395.48"/>
    <n v="790.96"/>
    <s v="Net Banking"/>
    <s v="Repeat Customer"/>
  </r>
  <r>
    <n v="11441"/>
    <s v="CUST175"/>
    <d v="2025-02-03T00:00:00"/>
    <s v="Beauty"/>
    <x v="0"/>
    <n v="8"/>
    <n v="362.07"/>
    <n v="2896.56"/>
    <s v="Credit Card"/>
    <s v="Repeat Customer"/>
  </r>
  <r>
    <n v="11442"/>
    <s v="CUST395"/>
    <d v="2025-03-13T00:00:00"/>
    <s v="Home"/>
    <x v="2"/>
    <n v="5"/>
    <n v="76.61"/>
    <n v="383.05"/>
    <s v="UPI"/>
    <s v="Repeat Customer"/>
  </r>
  <r>
    <n v="11443"/>
    <s v="CUST297"/>
    <d v="2024-12-27T00:00:00"/>
    <s v="Beauty"/>
    <x v="3"/>
    <n v="6"/>
    <n v="249.63"/>
    <n v="1497.78"/>
    <s v="Net Banking"/>
    <s v="Repeat Customer"/>
  </r>
  <r>
    <n v="11444"/>
    <s v="CUST170"/>
    <d v="2025-10-31T00:00:00"/>
    <s v="Sports"/>
    <x v="3"/>
    <n v="4"/>
    <n v="194.68"/>
    <n v="778.72"/>
    <s v="Wallet"/>
    <s v="Repeat Customer"/>
  </r>
  <r>
    <n v="11445"/>
    <s v="CUST372"/>
    <d v="2025-07-03T00:00:00"/>
    <s v="Sports"/>
    <x v="3"/>
    <n v="4"/>
    <n v="195.39"/>
    <n v="781.56"/>
    <s v="UPI"/>
    <s v="Repeat Customer"/>
  </r>
  <r>
    <n v="11446"/>
    <s v="CUST144"/>
    <d v="2024-08-28T00:00:00"/>
    <s v="Electronics"/>
    <x v="1"/>
    <n v="6"/>
    <n v="6.42"/>
    <n v="38.520000000000003"/>
    <s v="Wallet"/>
    <s v="Repeat Customer"/>
  </r>
  <r>
    <n v="11447"/>
    <s v="CUST168"/>
    <d v="2024-04-22T00:00:00"/>
    <s v="Home"/>
    <x v="2"/>
    <n v="1"/>
    <n v="456.12"/>
    <n v="456.12"/>
    <s v="Net Banking"/>
    <s v="Repeat Customer"/>
  </r>
  <r>
    <n v="11448"/>
    <s v="CUST335"/>
    <d v="2024-05-27T00:00:00"/>
    <s v="Beauty"/>
    <x v="2"/>
    <n v="9"/>
    <n v="486.05"/>
    <n v="4374.45"/>
    <s v="UPI"/>
    <s v="Repeat Customer"/>
  </r>
  <r>
    <n v="11449"/>
    <s v="CUST214"/>
    <d v="2024-02-27T00:00:00"/>
    <s v="Fashion"/>
    <x v="3"/>
    <n v="3"/>
    <n v="63.03"/>
    <n v="189.09"/>
    <s v="Credit Card"/>
    <s v="Repeat Customer"/>
  </r>
  <r>
    <n v="11450"/>
    <s v="CUST317"/>
    <d v="2025-01-15T00:00:00"/>
    <s v="Sports"/>
    <x v="0"/>
    <n v="1"/>
    <n v="352.19"/>
    <n v="352.19"/>
    <s v="Wallet"/>
    <s v="Repeat Customer"/>
  </r>
  <r>
    <n v="11451"/>
    <s v="CUST180"/>
    <d v="2024-01-31T00:00:00"/>
    <s v="Electronics"/>
    <x v="2"/>
    <n v="3"/>
    <n v="185.8"/>
    <n v="557.4"/>
    <s v="Credit Card"/>
    <s v="Repeat Customer"/>
  </r>
  <r>
    <n v="11452"/>
    <s v="CUST106"/>
    <d v="2025-08-05T00:00:00"/>
    <s v="Fashion"/>
    <x v="3"/>
    <n v="7"/>
    <n v="79.11"/>
    <n v="553.77"/>
    <s v="UPI"/>
    <s v="Repeat Customer"/>
  </r>
  <r>
    <n v="11453"/>
    <s v="CUST370"/>
    <d v="2025-12-16T00:00:00"/>
    <s v="Home"/>
    <x v="3"/>
    <n v="5"/>
    <n v="237.74"/>
    <n v="1188.7"/>
    <s v="Credit Card"/>
    <s v="Repeat Customer"/>
  </r>
  <r>
    <n v="11454"/>
    <s v="CUST246"/>
    <d v="2024-04-23T00:00:00"/>
    <s v="Electronics"/>
    <x v="2"/>
    <n v="3"/>
    <n v="34.700000000000003"/>
    <n v="104.1"/>
    <s v="UPI"/>
    <s v="Repeat Customer"/>
  </r>
  <r>
    <n v="11455"/>
    <s v="CUST105"/>
    <d v="2025-02-09T00:00:00"/>
    <s v="Beauty"/>
    <x v="1"/>
    <n v="7"/>
    <n v="341.55"/>
    <n v="2390.85"/>
    <s v="Net Banking"/>
    <s v="Repeat Customer"/>
  </r>
  <r>
    <n v="11456"/>
    <s v="CUST216"/>
    <d v="2025-03-09T00:00:00"/>
    <s v="Electronics"/>
    <x v="3"/>
    <n v="3"/>
    <n v="139.55000000000001"/>
    <n v="418.65"/>
    <s v="UPI"/>
    <s v="Repeat Customer"/>
  </r>
  <r>
    <n v="11457"/>
    <s v="CUST208"/>
    <d v="2025-02-14T00:00:00"/>
    <s v="Beauty"/>
    <x v="2"/>
    <n v="10"/>
    <n v="32.72"/>
    <n v="327.2"/>
    <s v="Credit Card"/>
    <s v="Repeat Customer"/>
  </r>
  <r>
    <n v="11458"/>
    <s v="CUST339"/>
    <d v="2025-05-03T00:00:00"/>
    <s v="Beauty"/>
    <x v="3"/>
    <n v="6"/>
    <n v="328.09"/>
    <n v="1968.54"/>
    <s v="UPI"/>
    <s v="Repeat Customer"/>
  </r>
  <r>
    <n v="11459"/>
    <s v="CUST127"/>
    <d v="2025-01-15T00:00:00"/>
    <s v="Electronics"/>
    <x v="0"/>
    <n v="7"/>
    <n v="101.39"/>
    <n v="709.73"/>
    <s v="Credit Card"/>
    <s v="Repeat Customer"/>
  </r>
  <r>
    <n v="11460"/>
    <s v="CUST285"/>
    <d v="2025-09-09T00:00:00"/>
    <s v="Home"/>
    <x v="2"/>
    <n v="6"/>
    <n v="18.88"/>
    <n v="113.28"/>
    <s v="Credit Card"/>
    <s v="Repeat Customer"/>
  </r>
  <r>
    <n v="11461"/>
    <s v="CUST133"/>
    <d v="2024-08-04T00:00:00"/>
    <s v="Home"/>
    <x v="2"/>
    <n v="10"/>
    <n v="10.43"/>
    <n v="104.3"/>
    <s v="UPI"/>
    <s v="Repeat Customer"/>
  </r>
  <r>
    <n v="11462"/>
    <s v="CUST116"/>
    <d v="2024-09-03T00:00:00"/>
    <s v="Sports"/>
    <x v="0"/>
    <n v="5"/>
    <n v="47.09"/>
    <n v="235.45"/>
    <s v="Wallet"/>
    <s v="Repeat Customer"/>
  </r>
  <r>
    <n v="11463"/>
    <s v="CUST123"/>
    <d v="2024-02-19T00:00:00"/>
    <s v="Home"/>
    <x v="0"/>
    <n v="6"/>
    <n v="51.14"/>
    <n v="306.83999999999997"/>
    <s v="Net Banking"/>
    <s v="Repeat Customer"/>
  </r>
  <r>
    <n v="11464"/>
    <s v="CUST244"/>
    <d v="2025-02-11T00:00:00"/>
    <s v="Beauty"/>
    <x v="1"/>
    <n v="9"/>
    <n v="101.47"/>
    <n v="913.23"/>
    <s v="UPI"/>
    <s v="Repeat Customer"/>
  </r>
  <r>
    <n v="11465"/>
    <s v="CUST149"/>
    <d v="2024-12-05T00:00:00"/>
    <s v="Sports"/>
    <x v="0"/>
    <n v="7"/>
    <n v="448.77"/>
    <n v="3141.39"/>
    <s v="UPI"/>
    <s v="Repeat Customer"/>
  </r>
  <r>
    <n v="11466"/>
    <s v="CUST112"/>
    <d v="2025-08-24T00:00:00"/>
    <s v="Electronics"/>
    <x v="1"/>
    <n v="7"/>
    <n v="241.09"/>
    <n v="1687.63"/>
    <s v="UPI"/>
    <s v="Repeat Customer"/>
  </r>
  <r>
    <n v="11467"/>
    <s v="CUST177"/>
    <d v="2025-11-29T00:00:00"/>
    <s v="Electronics"/>
    <x v="2"/>
    <n v="8"/>
    <n v="43.98"/>
    <n v="351.84"/>
    <s v="UPI"/>
    <s v="Repeat Customer"/>
  </r>
  <r>
    <n v="11468"/>
    <s v="CUST172"/>
    <d v="2024-06-13T00:00:00"/>
    <s v="Sports"/>
    <x v="1"/>
    <n v="9"/>
    <n v="260.57"/>
    <n v="2345.13"/>
    <s v="Wallet"/>
    <s v="Repeat Customer"/>
  </r>
  <r>
    <n v="11469"/>
    <s v="CUST167"/>
    <d v="2024-12-13T00:00:00"/>
    <s v="Beauty"/>
    <x v="0"/>
    <n v="5"/>
    <n v="183.36"/>
    <n v="916.8"/>
    <s v="Wallet"/>
    <s v="Repeat Customer"/>
  </r>
  <r>
    <n v="11470"/>
    <s v="CUST222"/>
    <d v="2024-08-01T00:00:00"/>
    <s v="Fashion"/>
    <x v="3"/>
    <n v="10"/>
    <n v="305.39999999999998"/>
    <n v="3054"/>
    <s v="Credit Card"/>
    <s v="Repeat Customer"/>
  </r>
  <r>
    <n v="11471"/>
    <s v="CUST107"/>
    <d v="2024-05-26T00:00:00"/>
    <s v="Electronics"/>
    <x v="3"/>
    <n v="5"/>
    <n v="275.83"/>
    <n v="1379.15"/>
    <s v="Credit Card"/>
    <s v="Repeat Customer"/>
  </r>
  <r>
    <n v="11472"/>
    <s v="CUST332"/>
    <d v="2024-11-17T00:00:00"/>
    <s v="Fashion"/>
    <x v="0"/>
    <n v="3"/>
    <n v="467.36"/>
    <n v="1402.08"/>
    <s v="Net Banking"/>
    <s v="Repeat Customer"/>
  </r>
  <r>
    <n v="11473"/>
    <s v="CUST395"/>
    <d v="2025-01-07T00:00:00"/>
    <s v="Fashion"/>
    <x v="3"/>
    <n v="6"/>
    <n v="49.17"/>
    <n v="295.02"/>
    <s v="Net Banking"/>
    <s v="Repeat Customer"/>
  </r>
  <r>
    <n v="11474"/>
    <s v="CUST342"/>
    <d v="2024-09-19T00:00:00"/>
    <s v="Fashion"/>
    <x v="0"/>
    <n v="8"/>
    <n v="326.89"/>
    <n v="2615.12"/>
    <s v="Wallet"/>
    <s v="Repeat Customer"/>
  </r>
  <r>
    <n v="11475"/>
    <s v="CUST120"/>
    <d v="2025-01-07T00:00:00"/>
    <s v="Sports"/>
    <x v="2"/>
    <n v="5"/>
    <n v="203.46"/>
    <n v="1017.3"/>
    <s v="Wallet"/>
    <s v="Repeat Customer"/>
  </r>
  <r>
    <n v="11476"/>
    <s v="CUST287"/>
    <d v="2025-06-08T00:00:00"/>
    <s v="Home"/>
    <x v="0"/>
    <n v="10"/>
    <n v="476.26"/>
    <n v="4762.6000000000004"/>
    <s v="Wallet"/>
    <s v="Repeat Customer"/>
  </r>
  <r>
    <n v="11477"/>
    <s v="CUST359"/>
    <d v="2025-04-05T00:00:00"/>
    <s v="Electronics"/>
    <x v="0"/>
    <n v="5"/>
    <n v="439.32"/>
    <n v="2196.6"/>
    <s v="UPI"/>
    <s v="Repeat Customer"/>
  </r>
  <r>
    <n v="11478"/>
    <s v="CUST387"/>
    <d v="2024-01-09T00:00:00"/>
    <s v="Home"/>
    <x v="3"/>
    <n v="3"/>
    <n v="427.26"/>
    <n v="1281.78"/>
    <s v="UPI"/>
    <s v="Repeat Customer"/>
  </r>
  <r>
    <n v="11479"/>
    <s v="CUST391"/>
    <d v="2025-02-12T00:00:00"/>
    <s v="Beauty"/>
    <x v="0"/>
    <n v="2"/>
    <n v="115.41"/>
    <n v="230.82"/>
    <s v="Net Banking"/>
    <s v="Repeat Customer"/>
  </r>
  <r>
    <n v="11480"/>
    <s v="CUST338"/>
    <d v="2025-04-24T00:00:00"/>
    <s v="Beauty"/>
    <x v="0"/>
    <n v="9"/>
    <n v="450.56"/>
    <n v="4055.04"/>
    <s v="Credit Card"/>
    <s v="Repeat Customer"/>
  </r>
  <r>
    <n v="11481"/>
    <s v="CUST192"/>
    <d v="2024-04-20T00:00:00"/>
    <s v="Fashion"/>
    <x v="3"/>
    <n v="7"/>
    <n v="385.27"/>
    <n v="2696.89"/>
    <s v="Net Banking"/>
    <s v="Repeat Customer"/>
  </r>
  <r>
    <n v="11482"/>
    <s v="CUST133"/>
    <d v="2024-11-20T00:00:00"/>
    <s v="Beauty"/>
    <x v="2"/>
    <n v="6"/>
    <n v="498.24"/>
    <n v="2989.44"/>
    <s v="Wallet"/>
    <s v="Repeat Customer"/>
  </r>
  <r>
    <n v="11483"/>
    <s v="CUST158"/>
    <d v="2024-10-12T00:00:00"/>
    <s v="Fashion"/>
    <x v="3"/>
    <n v="8"/>
    <n v="23.95"/>
    <n v="191.6"/>
    <s v="UPI"/>
    <s v="Repeat Customer"/>
  </r>
  <r>
    <n v="11484"/>
    <s v="CUST209"/>
    <d v="2024-11-23T00:00:00"/>
    <s v="Sports"/>
    <x v="3"/>
    <n v="10"/>
    <n v="20.51"/>
    <n v="205.1"/>
    <s v="Credit Card"/>
    <s v="Repeat Customer"/>
  </r>
  <r>
    <n v="11485"/>
    <s v="CUST285"/>
    <d v="2025-03-16T00:00:00"/>
    <s v="Fashion"/>
    <x v="0"/>
    <n v="8"/>
    <n v="110.64"/>
    <n v="885.12"/>
    <s v="Wallet"/>
    <s v="Repeat Customer"/>
  </r>
  <r>
    <n v="11486"/>
    <s v="CUST238"/>
    <d v="2024-09-15T00:00:00"/>
    <s v="Electronics"/>
    <x v="1"/>
    <n v="3"/>
    <n v="46.38"/>
    <n v="139.13999999999999"/>
    <s v="Wallet"/>
    <s v="Repeat Customer"/>
  </r>
  <r>
    <n v="11487"/>
    <s v="CUST141"/>
    <d v="2024-11-01T00:00:00"/>
    <s v="Sports"/>
    <x v="2"/>
    <n v="8"/>
    <n v="436.29"/>
    <n v="3490.32"/>
    <s v="Net Banking"/>
    <s v="Repeat Customer"/>
  </r>
  <r>
    <n v="11488"/>
    <s v="CUST194"/>
    <d v="2024-02-25T00:00:00"/>
    <s v="Beauty"/>
    <x v="1"/>
    <n v="2"/>
    <n v="448"/>
    <n v="896"/>
    <s v="Net Banking"/>
    <s v="Repeat Customer"/>
  </r>
  <r>
    <n v="11489"/>
    <s v="CUST184"/>
    <d v="2024-07-22T00:00:00"/>
    <s v="Beauty"/>
    <x v="3"/>
    <n v="6"/>
    <n v="471.26"/>
    <n v="2827.56"/>
    <s v="UPI"/>
    <s v="Repeat Customer"/>
  </r>
  <r>
    <n v="11490"/>
    <s v="CUST323"/>
    <d v="2024-12-29T00:00:00"/>
    <s v="Electronics"/>
    <x v="2"/>
    <n v="10"/>
    <n v="197.62"/>
    <n v="1976.2"/>
    <s v="Credit Card"/>
    <s v="Repeat Customer"/>
  </r>
  <r>
    <n v="11491"/>
    <s v="CUST396"/>
    <d v="2025-09-23T00:00:00"/>
    <s v="Home"/>
    <x v="0"/>
    <n v="3"/>
    <n v="165.25"/>
    <n v="495.75"/>
    <s v="UPI"/>
    <s v="Repeat Customer"/>
  </r>
  <r>
    <n v="11492"/>
    <s v="CUST334"/>
    <d v="2024-05-31T00:00:00"/>
    <s v="Electronics"/>
    <x v="3"/>
    <n v="8"/>
    <n v="432.83"/>
    <n v="3462.64"/>
    <s v="Net Banking"/>
    <s v="Repeat Customer"/>
  </r>
  <r>
    <n v="11493"/>
    <s v="CUST366"/>
    <d v="2024-01-04T00:00:00"/>
    <s v="Fashion"/>
    <x v="3"/>
    <n v="8"/>
    <n v="471.95"/>
    <n v="3775.6"/>
    <s v="Credit Card"/>
    <s v="Repeat Customer"/>
  </r>
  <r>
    <n v="11494"/>
    <s v="CUST118"/>
    <d v="2024-08-11T00:00:00"/>
    <s v="Sports"/>
    <x v="2"/>
    <n v="4"/>
    <n v="212.99"/>
    <n v="851.96"/>
    <s v="Wallet"/>
    <s v="Repeat Customer"/>
  </r>
  <r>
    <n v="11495"/>
    <s v="CUST210"/>
    <d v="2024-12-22T00:00:00"/>
    <s v="Sports"/>
    <x v="0"/>
    <n v="4"/>
    <n v="476.43"/>
    <n v="1905.72"/>
    <s v="Net Banking"/>
    <s v="Repeat Customer"/>
  </r>
  <r>
    <n v="11496"/>
    <s v="CUST286"/>
    <d v="2024-01-17T00:00:00"/>
    <s v="Sports"/>
    <x v="0"/>
    <n v="5"/>
    <n v="448.84"/>
    <n v="2244.1999999999998"/>
    <s v="Wallet"/>
    <s v="Repeat Customer"/>
  </r>
  <r>
    <n v="11497"/>
    <s v="CUST333"/>
    <d v="2025-02-27T00:00:00"/>
    <s v="Sports"/>
    <x v="3"/>
    <n v="7"/>
    <n v="179.11"/>
    <n v="1253.77"/>
    <s v="Net Banking"/>
    <s v="Repeat Customer"/>
  </r>
  <r>
    <n v="11498"/>
    <s v="CUST158"/>
    <d v="2024-06-29T00:00:00"/>
    <s v="Fashion"/>
    <x v="2"/>
    <n v="8"/>
    <n v="217.05"/>
    <n v="1736.4"/>
    <s v="Wallet"/>
    <s v="Repeat Customer"/>
  </r>
  <r>
    <n v="11499"/>
    <s v="CUST295"/>
    <d v="2024-10-18T00:00:00"/>
    <s v="Sports"/>
    <x v="0"/>
    <n v="7"/>
    <n v="318.88"/>
    <n v="2232.16"/>
    <s v="Credit Card"/>
    <s v="Repeat Customer"/>
  </r>
  <r>
    <n v="11500"/>
    <s v="CUST153"/>
    <d v="2024-04-01T00:00:00"/>
    <s v="Beauty"/>
    <x v="0"/>
    <n v="1"/>
    <n v="310.05"/>
    <n v="310.05"/>
    <s v="Wallet"/>
    <s v="Repeat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5ED89A-83FF-41A7-ABD0-80C39CA26D87}"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8" firstHeaderRow="1" firstDataRow="1" firstDataCol="1"/>
  <pivotFields count="10">
    <pivotField showAll="0"/>
    <pivotField showAll="0"/>
    <pivotField numFmtId="14" showAll="0"/>
    <pivotField showAll="0"/>
    <pivotField showAll="0"/>
    <pivotField showAll="0"/>
    <pivotField dataField="1" showAll="0"/>
    <pivotField showAll="0"/>
    <pivotField axis="axisRow" showAll="0">
      <items count="5">
        <item x="0"/>
        <item x="2"/>
        <item x="1"/>
        <item x="3"/>
        <item t="default"/>
      </items>
    </pivotField>
    <pivotField showAll="0"/>
  </pivotFields>
  <rowFields count="1">
    <field x="8"/>
  </rowFields>
  <rowItems count="5">
    <i>
      <x/>
    </i>
    <i>
      <x v="1"/>
    </i>
    <i>
      <x v="2"/>
    </i>
    <i>
      <x v="3"/>
    </i>
    <i t="grand">
      <x/>
    </i>
  </rowItems>
  <colItems count="1">
    <i/>
  </colItems>
  <dataFields count="1">
    <dataField name="Sum of UnitPrice"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397EB5-B134-4619-ACE7-9902048072DF}"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0:G15" firstHeaderRow="1" firstDataRow="1" firstDataCol="1"/>
  <pivotFields count="10">
    <pivotField showAll="0"/>
    <pivotField showAll="0"/>
    <pivotField numFmtId="14" showAll="0"/>
    <pivotField showAll="0"/>
    <pivotField axis="axisRow" showAll="0">
      <items count="5">
        <item x="1"/>
        <item x="0"/>
        <item x="2"/>
        <item x="3"/>
        <item t="default"/>
      </items>
    </pivotField>
    <pivotField showAll="0"/>
    <pivotField dataField="1" showAll="0">
      <items count="1481">
        <item x="735"/>
        <item x="1384"/>
        <item x="409"/>
        <item x="412"/>
        <item x="1427"/>
        <item x="47"/>
        <item x="1274"/>
        <item x="529"/>
        <item x="613"/>
        <item x="291"/>
        <item x="1332"/>
        <item x="586"/>
        <item x="1081"/>
        <item x="896"/>
        <item x="1284"/>
        <item x="736"/>
        <item x="365"/>
        <item x="300"/>
        <item x="848"/>
        <item x="413"/>
        <item x="1161"/>
        <item x="375"/>
        <item x="868"/>
        <item x="1441"/>
        <item x="864"/>
        <item x="1253"/>
        <item x="788"/>
        <item x="555"/>
        <item x="90"/>
        <item x="546"/>
        <item x="1374"/>
        <item x="890"/>
        <item x="1157"/>
        <item x="961"/>
        <item x="1067"/>
        <item x="1406"/>
        <item x="380"/>
        <item x="267"/>
        <item x="782"/>
        <item x="578"/>
        <item x="245"/>
        <item x="464"/>
        <item x="957"/>
        <item x="1440"/>
        <item x="959"/>
        <item x="1046"/>
        <item x="1063"/>
        <item x="1193"/>
        <item x="1219"/>
        <item x="1463"/>
        <item x="580"/>
        <item x="319"/>
        <item x="870"/>
        <item x="877"/>
        <item x="885"/>
        <item x="234"/>
        <item x="1004"/>
        <item x="598"/>
        <item x="1213"/>
        <item x="1233"/>
        <item x="205"/>
        <item x="545"/>
        <item x="425"/>
        <item x="624"/>
        <item x="452"/>
        <item x="585"/>
        <item x="743"/>
        <item x="287"/>
        <item x="973"/>
        <item x="631"/>
        <item x="974"/>
        <item x="785"/>
        <item x="1053"/>
        <item x="59"/>
        <item x="270"/>
        <item x="1078"/>
        <item x="157"/>
        <item x="103"/>
        <item x="408"/>
        <item x="436"/>
        <item x="1335"/>
        <item x="1098"/>
        <item x="478"/>
        <item x="268"/>
        <item x="502"/>
        <item x="485"/>
        <item x="186"/>
        <item x="1041"/>
        <item x="587"/>
        <item x="411"/>
        <item x="83"/>
        <item x="290"/>
        <item x="902"/>
        <item x="123"/>
        <item x="1056"/>
        <item x="791"/>
        <item x="434"/>
        <item x="1437"/>
        <item x="36"/>
        <item x="470"/>
        <item x="1434"/>
        <item x="680"/>
        <item x="341"/>
        <item x="162"/>
        <item x="307"/>
        <item x="302"/>
        <item x="601"/>
        <item x="1203"/>
        <item x="1148"/>
        <item x="506"/>
        <item x="172"/>
        <item x="1178"/>
        <item x="758"/>
        <item x="242"/>
        <item x="228"/>
        <item x="340"/>
        <item x="200"/>
        <item x="835"/>
        <item x="1227"/>
        <item x="25"/>
        <item x="1276"/>
        <item x="821"/>
        <item x="1407"/>
        <item x="588"/>
        <item x="1048"/>
        <item x="907"/>
        <item x="372"/>
        <item x="201"/>
        <item x="1339"/>
        <item x="547"/>
        <item x="1075"/>
        <item x="1354"/>
        <item x="202"/>
        <item x="212"/>
        <item x="741"/>
        <item x="1447"/>
        <item x="1073"/>
        <item x="1260"/>
        <item x="930"/>
        <item x="314"/>
        <item x="356"/>
        <item x="856"/>
        <item x="1242"/>
        <item x="1340"/>
        <item x="1465"/>
        <item x="80"/>
        <item x="1442"/>
        <item x="1176"/>
        <item x="20"/>
        <item x="1289"/>
        <item x="299"/>
        <item x="1388"/>
        <item x="760"/>
        <item x="651"/>
        <item x="1453"/>
        <item x="469"/>
        <item x="1305"/>
        <item x="836"/>
        <item x="620"/>
        <item x="739"/>
        <item x="328"/>
        <item x="1443"/>
        <item x="410"/>
        <item x="210"/>
        <item x="1"/>
        <item x="27"/>
        <item x="556"/>
        <item x="446"/>
        <item x="177"/>
        <item x="865"/>
        <item x="611"/>
        <item x="649"/>
        <item x="1385"/>
        <item x="1097"/>
        <item x="238"/>
        <item x="689"/>
        <item x="572"/>
        <item x="869"/>
        <item x="1190"/>
        <item x="1303"/>
        <item x="1252"/>
        <item x="357"/>
        <item x="155"/>
        <item x="723"/>
        <item x="1370"/>
        <item x="1164"/>
        <item x="1386"/>
        <item x="16"/>
        <item x="931"/>
        <item x="781"/>
        <item x="551"/>
        <item x="369"/>
        <item x="385"/>
        <item x="983"/>
        <item x="429"/>
        <item x="1429"/>
        <item x="543"/>
        <item x="561"/>
        <item x="986"/>
        <item x="526"/>
        <item x="1068"/>
        <item x="881"/>
        <item x="455"/>
        <item x="1024"/>
        <item x="958"/>
        <item x="688"/>
        <item x="168"/>
        <item x="1184"/>
        <item x="263"/>
        <item x="40"/>
        <item x="1373"/>
        <item x="1379"/>
        <item x="358"/>
        <item x="895"/>
        <item x="844"/>
        <item x="247"/>
        <item x="415"/>
        <item x="244"/>
        <item x="74"/>
        <item x="970"/>
        <item x="371"/>
        <item x="338"/>
        <item x="468"/>
        <item x="1025"/>
        <item x="1423"/>
        <item x="632"/>
        <item x="219"/>
        <item x="1312"/>
        <item x="1404"/>
        <item x="1432"/>
        <item x="281"/>
        <item x="770"/>
        <item x="992"/>
        <item x="765"/>
        <item x="18"/>
        <item x="744"/>
        <item x="243"/>
        <item x="213"/>
        <item x="34"/>
        <item x="3"/>
        <item x="1367"/>
        <item x="738"/>
        <item x="110"/>
        <item x="1207"/>
        <item x="819"/>
        <item x="713"/>
        <item x="904"/>
        <item x="1230"/>
        <item x="589"/>
        <item x="650"/>
        <item x="939"/>
        <item x="1369"/>
        <item x="297"/>
        <item x="480"/>
        <item x="952"/>
        <item x="1267"/>
        <item x="1172"/>
        <item x="1394"/>
        <item x="374"/>
        <item x="1007"/>
        <item x="239"/>
        <item x="1392"/>
        <item x="141"/>
        <item x="1042"/>
        <item x="1243"/>
        <item x="487"/>
        <item x="194"/>
        <item x="893"/>
        <item x="1038"/>
        <item x="507"/>
        <item x="1195"/>
        <item x="1099"/>
        <item x="191"/>
        <item x="69"/>
        <item x="678"/>
        <item x="694"/>
        <item x="1225"/>
        <item x="647"/>
        <item x="1204"/>
        <item x="985"/>
        <item x="350"/>
        <item x="1051"/>
        <item x="676"/>
        <item x="980"/>
        <item x="522"/>
        <item x="254"/>
        <item x="921"/>
        <item x="1071"/>
        <item x="382"/>
        <item x="702"/>
        <item x="518"/>
        <item x="266"/>
        <item x="101"/>
        <item x="29"/>
        <item x="899"/>
        <item x="284"/>
        <item x="818"/>
        <item x="1389"/>
        <item x="1439"/>
        <item x="1444"/>
        <item x="391"/>
        <item x="1196"/>
        <item x="616"/>
        <item x="610"/>
        <item x="710"/>
        <item x="708"/>
        <item x="84"/>
        <item x="1248"/>
        <item x="757"/>
        <item x="575"/>
        <item x="495"/>
        <item x="993"/>
        <item x="288"/>
        <item x="724"/>
        <item x="637"/>
        <item x="1146"/>
        <item x="1059"/>
        <item x="815"/>
        <item x="1192"/>
        <item x="420"/>
        <item x="541"/>
        <item x="1333"/>
        <item x="1395"/>
        <item x="1031"/>
        <item x="861"/>
        <item x="505"/>
        <item x="11"/>
        <item x="1464"/>
        <item x="32"/>
        <item x="734"/>
        <item x="1123"/>
        <item x="184"/>
        <item x="1045"/>
        <item x="978"/>
        <item x="406"/>
        <item x="665"/>
        <item x="148"/>
        <item x="304"/>
        <item x="13"/>
        <item x="24"/>
        <item x="892"/>
        <item x="156"/>
        <item x="196"/>
        <item x="947"/>
        <item x="971"/>
        <item x="1459"/>
        <item x="221"/>
        <item x="66"/>
        <item x="393"/>
        <item x="1327"/>
        <item x="490"/>
        <item x="533"/>
        <item x="1415"/>
        <item x="102"/>
        <item x="414"/>
        <item x="336"/>
        <item x="759"/>
        <item x="353"/>
        <item x="142"/>
        <item x="293"/>
        <item x="442"/>
        <item x="320"/>
        <item x="1290"/>
        <item x="666"/>
        <item x="841"/>
        <item x="1017"/>
        <item x="467"/>
        <item x="1337"/>
        <item x="1174"/>
        <item x="225"/>
        <item x="215"/>
        <item x="898"/>
        <item x="1015"/>
        <item x="344"/>
        <item x="96"/>
        <item x="977"/>
        <item x="195"/>
        <item x="831"/>
        <item x="0"/>
        <item x="1324"/>
        <item x="12"/>
        <item x="419"/>
        <item x="23"/>
        <item x="166"/>
        <item x="990"/>
        <item x="100"/>
        <item x="515"/>
        <item x="122"/>
        <item x="105"/>
        <item x="1282"/>
        <item x="1280"/>
        <item x="198"/>
        <item x="1401"/>
        <item x="337"/>
        <item x="662"/>
        <item x="1020"/>
        <item x="1288"/>
        <item x="1166"/>
        <item x="940"/>
        <item x="674"/>
        <item x="433"/>
        <item x="1362"/>
        <item x="42"/>
        <item x="33"/>
        <item x="278"/>
        <item x="466"/>
        <item x="53"/>
        <item x="124"/>
        <item x="866"/>
        <item x="400"/>
        <item x="264"/>
        <item x="1070"/>
        <item x="362"/>
        <item x="9"/>
        <item x="542"/>
        <item x="438"/>
        <item x="1436"/>
        <item x="45"/>
        <item x="235"/>
        <item x="1152"/>
        <item x="573"/>
        <item x="1236"/>
        <item x="1231"/>
        <item x="646"/>
        <item x="363"/>
        <item x="129"/>
        <item x="95"/>
        <item x="460"/>
        <item x="857"/>
        <item x="1153"/>
        <item x="188"/>
        <item x="1062"/>
        <item x="511"/>
        <item x="1107"/>
        <item x="222"/>
        <item x="286"/>
        <item x="1044"/>
        <item x="854"/>
        <item x="602"/>
        <item x="1307"/>
        <item x="837"/>
        <item x="932"/>
        <item x="1088"/>
        <item x="1400"/>
        <item x="377"/>
        <item x="146"/>
        <item x="1414"/>
        <item x="261"/>
        <item x="396"/>
        <item x="77"/>
        <item x="807"/>
        <item x="838"/>
        <item x="1390"/>
        <item x="170"/>
        <item x="812"/>
        <item x="1268"/>
        <item x="330"/>
        <item x="953"/>
        <item x="63"/>
        <item x="255"/>
        <item x="761"/>
        <item x="1353"/>
        <item x="98"/>
        <item x="803"/>
        <item x="149"/>
        <item x="691"/>
        <item x="695"/>
        <item x="428"/>
        <item x="814"/>
        <item x="503"/>
        <item x="816"/>
        <item x="179"/>
        <item x="334"/>
        <item x="387"/>
        <item x="1036"/>
        <item x="390"/>
        <item x="39"/>
        <item x="686"/>
        <item x="1210"/>
        <item x="1052"/>
        <item x="1262"/>
        <item x="1200"/>
        <item x="1145"/>
        <item x="595"/>
        <item x="1470"/>
        <item x="1256"/>
        <item x="711"/>
        <item x="906"/>
        <item x="150"/>
        <item x="1181"/>
        <item x="612"/>
        <item x="550"/>
        <item x="1064"/>
        <item x="277"/>
        <item x="352"/>
        <item x="564"/>
        <item x="134"/>
        <item x="1419"/>
        <item x="517"/>
        <item x="1209"/>
        <item x="1293"/>
        <item x="1010"/>
        <item x="887"/>
        <item x="407"/>
        <item x="1361"/>
        <item x="231"/>
        <item x="1220"/>
        <item x="804"/>
        <item x="1263"/>
        <item x="131"/>
        <item x="317"/>
        <item x="477"/>
        <item x="89"/>
        <item x="718"/>
        <item x="386"/>
        <item x="120"/>
        <item x="750"/>
        <item x="1420"/>
        <item x="180"/>
        <item x="399"/>
        <item x="682"/>
        <item x="479"/>
        <item x="966"/>
        <item x="1476"/>
        <item x="51"/>
        <item x="762"/>
        <item x="1245"/>
        <item x="716"/>
        <item x="536"/>
        <item x="1449"/>
        <item x="727"/>
        <item x="681"/>
        <item x="1368"/>
        <item x="1431"/>
        <item x="925"/>
        <item x="696"/>
        <item x="538"/>
        <item x="849"/>
        <item x="1326"/>
        <item x="1039"/>
        <item x="1308"/>
        <item x="440"/>
        <item x="489"/>
        <item x="1128"/>
        <item x="1198"/>
        <item x="941"/>
        <item x="345"/>
        <item x="272"/>
        <item x="471"/>
        <item x="140"/>
        <item x="1261"/>
        <item x="626"/>
        <item x="325"/>
        <item x="1294"/>
        <item x="1197"/>
        <item x="720"/>
        <item x="81"/>
        <item x="673"/>
        <item x="7"/>
        <item x="1272"/>
        <item x="1001"/>
        <item x="332"/>
        <item x="1050"/>
        <item x="1066"/>
        <item x="459"/>
        <item x="1425"/>
        <item x="1328"/>
        <item x="843"/>
        <item x="1426"/>
        <item x="1029"/>
        <item x="593"/>
        <item x="133"/>
        <item x="950"/>
        <item x="271"/>
        <item x="1160"/>
        <item x="206"/>
        <item x="520"/>
        <item x="327"/>
        <item x="1469"/>
        <item x="76"/>
        <item x="1234"/>
        <item x="1228"/>
        <item x="475"/>
        <item x="823"/>
        <item x="315"/>
        <item x="700"/>
        <item x="748"/>
        <item x="1281"/>
        <item x="670"/>
        <item x="1455"/>
        <item x="1205"/>
        <item x="273"/>
        <item x="1140"/>
        <item x="193"/>
        <item x="656"/>
        <item x="984"/>
        <item x="981"/>
        <item x="75"/>
        <item x="359"/>
        <item x="954"/>
        <item x="1134"/>
        <item x="252"/>
        <item x="607"/>
        <item x="1158"/>
        <item x="1109"/>
        <item x="1012"/>
        <item x="220"/>
        <item x="1141"/>
        <item x="1250"/>
        <item x="305"/>
        <item x="553"/>
        <item x="1061"/>
        <item x="540"/>
        <item x="911"/>
        <item x="159"/>
        <item x="462"/>
        <item x="963"/>
        <item x="1473"/>
        <item x="62"/>
        <item x="524"/>
        <item x="1091"/>
        <item x="701"/>
        <item x="1270"/>
        <item x="1027"/>
        <item x="675"/>
        <item x="99"/>
        <item x="549"/>
        <item x="1271"/>
        <item x="486"/>
        <item x="1477"/>
        <item x="383"/>
        <item x="366"/>
        <item x="355"/>
        <item x="677"/>
        <item x="600"/>
        <item x="1375"/>
        <item x="747"/>
        <item x="842"/>
        <item x="92"/>
        <item x="78"/>
        <item x="192"/>
        <item x="58"/>
        <item x="1057"/>
        <item x="43"/>
        <item x="653"/>
        <item x="308"/>
        <item x="1320"/>
        <item x="187"/>
        <item x="1208"/>
        <item x="71"/>
        <item x="946"/>
        <item x="510"/>
        <item x="621"/>
        <item x="97"/>
        <item x="1119"/>
        <item x="1258"/>
        <item x="2"/>
        <item x="719"/>
        <item x="203"/>
        <item x="253"/>
        <item x="174"/>
        <item x="928"/>
        <item x="309"/>
        <item x="378"/>
        <item x="70"/>
        <item x="128"/>
        <item x="1235"/>
        <item x="888"/>
        <item x="560"/>
        <item x="609"/>
        <item x="310"/>
        <item x="30"/>
        <item x="834"/>
        <item x="376"/>
        <item x="451"/>
        <item x="684"/>
        <item x="199"/>
        <item x="862"/>
        <item x="900"/>
        <item x="548"/>
        <item x="262"/>
        <item x="450"/>
        <item x="1169"/>
        <item x="853"/>
        <item x="1433"/>
        <item x="826"/>
        <item x="822"/>
        <item x="488"/>
        <item x="754"/>
        <item x="1216"/>
        <item x="1086"/>
        <item x="513"/>
        <item x="1217"/>
        <item x="591"/>
        <item x="828"/>
        <item x="349"/>
        <item x="347"/>
        <item x="1446"/>
        <item x="367"/>
        <item x="463"/>
        <item x="1273"/>
        <item x="1058"/>
        <item x="935"/>
        <item x="615"/>
        <item x="740"/>
        <item x="392"/>
        <item x="889"/>
        <item x="1372"/>
        <item x="171"/>
        <item x="956"/>
        <item x="772"/>
        <item x="444"/>
        <item x="1366"/>
        <item x="669"/>
        <item x="1163"/>
        <item x="704"/>
        <item x="1424"/>
        <item x="68"/>
        <item x="1092"/>
        <item x="982"/>
        <item x="811"/>
        <item x="127"/>
        <item x="343"/>
        <item x="968"/>
        <item x="927"/>
        <item x="1396"/>
        <item x="576"/>
        <item x="732"/>
        <item x="46"/>
        <item x="173"/>
        <item x="813"/>
        <item x="1239"/>
        <item x="1334"/>
        <item x="659"/>
        <item x="276"/>
        <item x="1382"/>
        <item x="394"/>
        <item x="388"/>
        <item x="581"/>
        <item x="427"/>
        <item x="516"/>
        <item x="169"/>
        <item x="1090"/>
        <item x="453"/>
        <item x="964"/>
        <item x="628"/>
        <item x="654"/>
        <item x="1448"/>
        <item x="663"/>
        <item x="282"/>
        <item x="1310"/>
        <item x="817"/>
        <item x="1264"/>
        <item x="851"/>
        <item x="339"/>
        <item x="279"/>
        <item x="1285"/>
        <item x="224"/>
        <item x="1387"/>
        <item x="15"/>
        <item x="465"/>
        <item x="151"/>
        <item x="922"/>
        <item x="1170"/>
        <item x="768"/>
        <item x="1223"/>
        <item x="1309"/>
        <item x="226"/>
        <item x="154"/>
        <item x="1115"/>
        <item x="926"/>
        <item x="876"/>
        <item x="618"/>
        <item x="1413"/>
        <item x="373"/>
        <item x="994"/>
        <item x="482"/>
        <item x="1451"/>
        <item x="566"/>
        <item x="820"/>
        <item x="1402"/>
        <item x="342"/>
        <item x="1116"/>
        <item x="381"/>
        <item x="1338"/>
        <item x="1397"/>
        <item x="126"/>
        <item x="454"/>
        <item x="496"/>
        <item x="323"/>
        <item x="562"/>
        <item x="207"/>
        <item x="717"/>
        <item x="802"/>
        <item x="48"/>
        <item x="1136"/>
        <item x="679"/>
        <item x="85"/>
        <item x="960"/>
        <item x="1120"/>
        <item x="348"/>
        <item x="183"/>
        <item x="498"/>
        <item x="1287"/>
        <item x="298"/>
        <item x="730"/>
        <item x="625"/>
        <item x="577"/>
        <item x="685"/>
        <item x="132"/>
        <item x="500"/>
        <item x="998"/>
        <item x="104"/>
        <item x="599"/>
        <item x="106"/>
        <item x="384"/>
        <item x="855"/>
        <item x="311"/>
        <item x="57"/>
        <item x="301"/>
        <item x="49"/>
        <item x="208"/>
        <item x="1221"/>
        <item x="118"/>
        <item x="975"/>
        <item x="1094"/>
        <item x="1005"/>
        <item x="534"/>
        <item x="789"/>
        <item x="641"/>
        <item x="1000"/>
        <item x="636"/>
        <item x="999"/>
        <item x="1117"/>
        <item x="1266"/>
        <item x="905"/>
        <item x="1182"/>
        <item x="539"/>
        <item x="38"/>
        <item x="606"/>
        <item x="699"/>
        <item x="360"/>
        <item x="1247"/>
        <item x="790"/>
        <item x="629"/>
        <item x="574"/>
        <item x="295"/>
        <item x="329"/>
        <item x="1292"/>
        <item x="829"/>
        <item x="1342"/>
        <item x="949"/>
        <item x="1450"/>
        <item x="86"/>
        <item x="483"/>
        <item x="109"/>
        <item x="416"/>
        <item x="67"/>
        <item x="839"/>
        <item x="251"/>
        <item x="797"/>
        <item x="668"/>
        <item x="257"/>
        <item x="227"/>
        <item x="318"/>
        <item x="1364"/>
        <item x="751"/>
        <item x="1479"/>
        <item x="1380"/>
        <item x="903"/>
        <item x="771"/>
        <item x="1179"/>
        <item x="1100"/>
        <item x="1376"/>
        <item x="703"/>
        <item x="501"/>
        <item x="938"/>
        <item x="41"/>
        <item x="136"/>
        <item x="1079"/>
        <item x="1251"/>
        <item x="1162"/>
        <item x="787"/>
        <item x="137"/>
        <item x="596"/>
        <item x="806"/>
        <item x="14"/>
        <item x="403"/>
        <item x="1108"/>
        <item x="1341"/>
        <item x="1403"/>
        <item x="1222"/>
        <item x="1279"/>
        <item x="882"/>
        <item x="398"/>
        <item x="784"/>
        <item x="1478"/>
        <item x="509"/>
        <item x="389"/>
        <item x="1283"/>
        <item x="422"/>
        <item x="521"/>
        <item x="144"/>
        <item x="260"/>
        <item x="1224"/>
        <item x="476"/>
        <item x="56"/>
        <item x="163"/>
        <item x="886"/>
        <item x="1212"/>
        <item x="1211"/>
        <item x="1019"/>
        <item x="1040"/>
        <item x="512"/>
        <item x="919"/>
        <item x="883"/>
        <item x="830"/>
        <item x="1085"/>
        <item x="1254"/>
        <item x="1454"/>
        <item x="1278"/>
        <item x="119"/>
        <item x="1011"/>
        <item x="645"/>
        <item x="1114"/>
        <item x="766"/>
        <item x="1438"/>
        <item x="878"/>
        <item x="346"/>
        <item x="1306"/>
        <item x="563"/>
        <item x="764"/>
        <item x="725"/>
        <item x="1138"/>
        <item x="721"/>
        <item x="858"/>
        <item x="996"/>
        <item x="55"/>
        <item x="1297"/>
        <item x="873"/>
        <item x="1076"/>
        <item x="113"/>
        <item x="1002"/>
        <item x="1156"/>
        <item x="447"/>
        <item x="1302"/>
        <item x="590"/>
        <item x="65"/>
        <item x="1291"/>
        <item x="61"/>
        <item x="1096"/>
        <item x="248"/>
        <item x="623"/>
        <item x="178"/>
        <item x="8"/>
        <item x="1022"/>
        <item x="1165"/>
        <item x="1121"/>
        <item x="683"/>
        <item x="28"/>
        <item x="316"/>
        <item x="664"/>
        <item x="37"/>
        <item x="630"/>
        <item x="64"/>
        <item x="214"/>
        <item x="1072"/>
        <item x="948"/>
        <item x="143"/>
        <item x="1298"/>
        <item x="945"/>
        <item x="1322"/>
        <item x="614"/>
        <item x="1435"/>
        <item x="1249"/>
        <item x="519"/>
        <item x="863"/>
        <item x="1344"/>
        <item x="852"/>
        <item x="1047"/>
        <item x="901"/>
        <item x="752"/>
        <item x="456"/>
        <item x="1416"/>
        <item x="176"/>
        <item x="644"/>
        <item x="698"/>
        <item x="111"/>
        <item x="88"/>
        <item x="783"/>
        <item x="910"/>
        <item x="897"/>
        <item x="1191"/>
        <item x="473"/>
        <item x="121"/>
        <item x="139"/>
        <item x="833"/>
        <item x="796"/>
        <item x="1336"/>
        <item x="331"/>
        <item x="894"/>
        <item x="1318"/>
        <item x="705"/>
        <item x="1357"/>
        <item x="672"/>
        <item x="827"/>
        <item x="116"/>
        <item x="1381"/>
        <item x="1315"/>
        <item x="448"/>
        <item x="1378"/>
        <item x="714"/>
        <item x="1430"/>
        <item x="426"/>
        <item x="731"/>
        <item x="182"/>
        <item x="112"/>
        <item x="1286"/>
        <item x="1314"/>
        <item x="6"/>
        <item x="285"/>
        <item x="1102"/>
        <item x="91"/>
        <item x="430"/>
        <item x="871"/>
        <item x="209"/>
        <item x="1241"/>
        <item x="643"/>
        <item x="1126"/>
        <item x="1300"/>
        <item x="824"/>
        <item x="22"/>
        <item x="1350"/>
        <item x="73"/>
        <item x="1331"/>
        <item x="1329"/>
        <item x="997"/>
        <item x="232"/>
        <item x="726"/>
        <item x="1304"/>
        <item x="909"/>
        <item x="776"/>
        <item x="258"/>
        <item x="364"/>
        <item x="1422"/>
        <item x="185"/>
        <item x="379"/>
        <item x="135"/>
        <item x="26"/>
        <item x="652"/>
        <item x="1183"/>
        <item x="729"/>
        <item x="988"/>
        <item x="657"/>
        <item x="1093"/>
        <item x="1408"/>
        <item x="237"/>
        <item x="537"/>
        <item x="535"/>
        <item x="1346"/>
        <item x="799"/>
        <item x="175"/>
        <item x="1125"/>
        <item x="1105"/>
        <item x="230"/>
        <item x="474"/>
        <item x="728"/>
        <item x="867"/>
        <item x="1023"/>
        <item x="1321"/>
        <item x="1135"/>
        <item x="914"/>
        <item x="1055"/>
        <item x="801"/>
        <item x="933"/>
        <item x="1034"/>
        <item x="289"/>
        <item x="1244"/>
        <item x="1355"/>
        <item x="1214"/>
        <item x="746"/>
        <item x="1240"/>
        <item x="1127"/>
        <item x="604"/>
        <item x="1080"/>
        <item x="687"/>
        <item x="35"/>
        <item x="115"/>
        <item x="1358"/>
        <item x="404"/>
        <item x="755"/>
        <item x="82"/>
        <item x="418"/>
        <item x="918"/>
        <item x="955"/>
        <item x="292"/>
        <item x="569"/>
        <item x="774"/>
        <item x="795"/>
        <item x="1259"/>
        <item x="565"/>
        <item x="622"/>
        <item x="1133"/>
        <item x="17"/>
        <item x="424"/>
        <item x="1277"/>
        <item x="190"/>
        <item x="773"/>
        <item x="690"/>
        <item x="778"/>
        <item x="722"/>
        <item x="72"/>
        <item x="642"/>
        <item x="1238"/>
        <item x="1255"/>
        <item x="1461"/>
        <item x="1143"/>
        <item x="1077"/>
        <item x="313"/>
        <item x="786"/>
        <item x="1101"/>
        <item x="216"/>
        <item x="661"/>
        <item x="1215"/>
        <item x="1110"/>
        <item x="432"/>
        <item x="439"/>
        <item x="779"/>
        <item x="504"/>
        <item x="648"/>
        <item x="165"/>
        <item x="246"/>
        <item x="1185"/>
        <item x="706"/>
        <item x="1175"/>
        <item x="749"/>
        <item x="544"/>
        <item x="1345"/>
        <item x="967"/>
        <item x="528"/>
        <item x="361"/>
        <item x="1132"/>
        <item x="1150"/>
        <item x="1103"/>
        <item x="1177"/>
        <item x="431"/>
        <item x="354"/>
        <item x="421"/>
        <item x="530"/>
        <item x="1188"/>
        <item x="745"/>
        <item x="497"/>
        <item x="164"/>
        <item x="923"/>
        <item x="294"/>
        <item x="715"/>
        <item x="1421"/>
        <item x="1201"/>
        <item x="167"/>
        <item x="250"/>
        <item x="1035"/>
        <item x="249"/>
        <item x="1393"/>
        <item x="635"/>
        <item x="1180"/>
        <item x="1018"/>
        <item x="859"/>
        <item x="808"/>
        <item x="944"/>
        <item x="552"/>
        <item x="241"/>
        <item x="594"/>
        <item x="437"/>
        <item x="872"/>
        <item x="274"/>
        <item x="152"/>
        <item x="1083"/>
        <item x="10"/>
        <item x="514"/>
        <item x="326"/>
        <item x="181"/>
        <item x="1232"/>
        <item x="1173"/>
        <item x="491"/>
        <item x="1006"/>
        <item x="1014"/>
        <item x="917"/>
        <item x="617"/>
        <item x="825"/>
        <item x="832"/>
        <item x="697"/>
        <item x="1412"/>
        <item x="1405"/>
        <item x="321"/>
        <item x="1084"/>
        <item x="54"/>
        <item x="1330"/>
        <item x="969"/>
        <item x="1130"/>
        <item x="847"/>
        <item x="1028"/>
        <item x="567"/>
        <item x="603"/>
        <item x="395"/>
        <item x="1033"/>
        <item x="1363"/>
        <item x="1409"/>
        <item x="965"/>
        <item x="1043"/>
        <item x="707"/>
        <item x="1122"/>
        <item x="402"/>
        <item x="597"/>
        <item x="1139"/>
        <item x="583"/>
        <item x="991"/>
        <item x="1154"/>
        <item x="1069"/>
        <item x="1301"/>
        <item x="608"/>
        <item x="934"/>
        <item x="891"/>
        <item x="31"/>
        <item x="667"/>
        <item x="1246"/>
        <item x="130"/>
        <item x="860"/>
        <item x="792"/>
        <item x="692"/>
        <item x="1008"/>
        <item x="1074"/>
        <item x="1118"/>
        <item x="880"/>
        <item x="733"/>
        <item x="1218"/>
        <item x="976"/>
        <item x="256"/>
        <item x="1016"/>
        <item x="1037"/>
        <item x="269"/>
        <item x="4"/>
        <item x="798"/>
        <item x="1106"/>
        <item x="443"/>
        <item x="94"/>
        <item x="218"/>
        <item x="525"/>
        <item x="558"/>
        <item x="1189"/>
        <item x="1311"/>
        <item x="1411"/>
        <item x="995"/>
        <item x="1458"/>
        <item x="145"/>
        <item x="1168"/>
        <item x="920"/>
        <item x="1187"/>
        <item x="1021"/>
        <item x="423"/>
        <item x="913"/>
        <item x="1013"/>
        <item x="1026"/>
        <item x="1206"/>
        <item x="1065"/>
        <item x="265"/>
        <item x="1471"/>
        <item x="810"/>
        <item x="147"/>
        <item x="397"/>
        <item x="1347"/>
        <item x="1319"/>
        <item x="1032"/>
        <item x="775"/>
        <item x="401"/>
        <item x="499"/>
        <item x="1082"/>
        <item x="405"/>
        <item x="1003"/>
        <item x="742"/>
        <item x="1131"/>
        <item x="1295"/>
        <item x="1104"/>
        <item x="1466"/>
        <item x="1124"/>
        <item x="217"/>
        <item x="306"/>
        <item x="1112"/>
        <item x="951"/>
        <item x="640"/>
        <item x="1457"/>
        <item x="777"/>
        <item x="962"/>
        <item x="763"/>
        <item x="1171"/>
        <item x="769"/>
        <item x="52"/>
        <item x="93"/>
        <item x="1349"/>
        <item x="1199"/>
        <item x="461"/>
        <item x="333"/>
        <item x="233"/>
        <item x="627"/>
        <item x="158"/>
        <item x="554"/>
        <item x="924"/>
        <item x="296"/>
        <item x="117"/>
        <item x="1365"/>
        <item x="1060"/>
        <item x="619"/>
        <item x="915"/>
        <item x="557"/>
        <item x="1159"/>
        <item x="435"/>
        <item x="1467"/>
        <item x="884"/>
        <item x="1445"/>
        <item x="1475"/>
        <item x="445"/>
        <item x="936"/>
        <item x="50"/>
        <item x="929"/>
        <item x="1460"/>
        <item x="1371"/>
        <item x="840"/>
        <item x="638"/>
        <item x="639"/>
        <item x="457"/>
        <item x="493"/>
        <item x="1054"/>
        <item x="1359"/>
        <item x="592"/>
        <item x="879"/>
        <item x="912"/>
        <item x="223"/>
        <item x="197"/>
        <item x="756"/>
        <item x="1049"/>
        <item x="114"/>
        <item x="108"/>
        <item x="767"/>
        <item x="1030"/>
        <item x="1391"/>
        <item x="1226"/>
        <item x="1194"/>
        <item x="508"/>
        <item x="1351"/>
        <item x="780"/>
        <item x="737"/>
        <item x="79"/>
        <item x="417"/>
        <item x="1113"/>
        <item x="805"/>
        <item x="303"/>
        <item x="1418"/>
        <item x="979"/>
        <item x="753"/>
        <item x="908"/>
        <item x="351"/>
        <item x="87"/>
        <item x="19"/>
        <item x="568"/>
        <item x="846"/>
        <item x="942"/>
        <item x="275"/>
        <item x="794"/>
        <item x="1356"/>
        <item x="1452"/>
        <item x="312"/>
        <item x="335"/>
        <item x="571"/>
        <item x="709"/>
        <item x="1410"/>
        <item x="44"/>
        <item x="160"/>
        <item x="1299"/>
        <item x="671"/>
        <item x="1468"/>
        <item x="458"/>
        <item x="370"/>
        <item x="1383"/>
        <item x="1472"/>
        <item x="449"/>
        <item x="1323"/>
        <item x="1348"/>
        <item x="21"/>
        <item x="523"/>
        <item x="280"/>
        <item x="259"/>
        <item x="60"/>
        <item x="1147"/>
        <item x="532"/>
        <item x="989"/>
        <item x="161"/>
        <item x="1269"/>
        <item x="1296"/>
        <item x="211"/>
        <item x="481"/>
        <item x="1456"/>
        <item x="1474"/>
        <item x="1360"/>
        <item x="1265"/>
        <item x="1325"/>
        <item x="1229"/>
        <item x="570"/>
        <item x="1417"/>
        <item x="283"/>
        <item x="660"/>
        <item x="1137"/>
        <item x="605"/>
        <item x="1155"/>
        <item x="204"/>
        <item x="1095"/>
        <item x="1151"/>
        <item x="1144"/>
        <item x="850"/>
        <item x="658"/>
        <item x="1149"/>
        <item x="1087"/>
        <item x="1343"/>
        <item x="531"/>
        <item x="492"/>
        <item x="582"/>
        <item x="153"/>
        <item x="368"/>
        <item x="1202"/>
        <item x="712"/>
        <item x="633"/>
        <item x="559"/>
        <item x="1186"/>
        <item x="1275"/>
        <item x="937"/>
        <item x="1428"/>
        <item x="441"/>
        <item x="494"/>
        <item x="1399"/>
        <item x="324"/>
        <item x="5"/>
        <item x="125"/>
        <item x="236"/>
        <item x="484"/>
        <item x="845"/>
        <item x="693"/>
        <item x="987"/>
        <item x="943"/>
        <item x="655"/>
        <item x="472"/>
        <item x="1257"/>
        <item x="800"/>
        <item x="875"/>
        <item x="1089"/>
        <item x="1142"/>
        <item x="229"/>
        <item x="972"/>
        <item x="1111"/>
        <item x="584"/>
        <item x="579"/>
        <item x="809"/>
        <item x="189"/>
        <item x="322"/>
        <item x="1352"/>
        <item x="1398"/>
        <item x="1317"/>
        <item x="1313"/>
        <item x="1129"/>
        <item x="1316"/>
        <item x="916"/>
        <item x="1167"/>
        <item x="527"/>
        <item x="1237"/>
        <item x="634"/>
        <item x="793"/>
        <item x="107"/>
        <item x="1377"/>
        <item x="874"/>
        <item x="1009"/>
        <item x="1462"/>
        <item x="138"/>
        <item x="240"/>
        <item t="default"/>
      </items>
    </pivotField>
    <pivotField showAll="0"/>
    <pivotField showAll="0"/>
    <pivotField showAll="0"/>
  </pivotFields>
  <rowFields count="1">
    <field x="4"/>
  </rowFields>
  <rowItems count="5">
    <i>
      <x/>
    </i>
    <i>
      <x v="1"/>
    </i>
    <i>
      <x v="2"/>
    </i>
    <i>
      <x v="3"/>
    </i>
    <i t="grand">
      <x/>
    </i>
  </rowItems>
  <colItems count="1">
    <i/>
  </colItems>
  <dataFields count="1">
    <dataField name="Sum of UnitPric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1DA14-1267-4572-B304-9D00F066AF5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8" firstHeaderRow="1" firstDataRow="1" firstDataCol="1"/>
  <pivotFields count="10">
    <pivotField showAll="0"/>
    <pivotField showAll="0"/>
    <pivotField numFmtId="14" showAll="0"/>
    <pivotField showAll="0"/>
    <pivotField axis="axisRow" showAll="0">
      <items count="5">
        <item x="1"/>
        <item x="0"/>
        <item x="2"/>
        <item x="3"/>
        <item t="default"/>
      </items>
    </pivotField>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Revenue" fld="7"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2BAD1-6247-46A2-A202-8A0A2502CC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5" firstHeaderRow="1" firstDataRow="2" firstDataCol="1"/>
  <pivotFields count="10">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14" showAll="0"/>
    <pivotField showAll="0"/>
    <pivotField showAll="0"/>
    <pivotField axis="axisRow" showAll="0">
      <items count="11">
        <item x="1"/>
        <item x="4"/>
        <item x="6"/>
        <item x="2"/>
        <item x="0"/>
        <item x="3"/>
        <item x="5"/>
        <item x="7"/>
        <item x="8"/>
        <item x="9"/>
        <item t="default"/>
      </items>
    </pivotField>
    <pivotField showAll="0"/>
    <pivotField showAll="0"/>
    <pivotField showAll="0"/>
    <pivotField axis="axisCol" showAll="0">
      <items count="3">
        <item x="1"/>
        <item x="0"/>
        <item t="default"/>
      </items>
    </pivotField>
  </pivotFields>
  <rowFields count="1">
    <field x="5"/>
  </rowFields>
  <rowItems count="11">
    <i>
      <x/>
    </i>
    <i>
      <x v="1"/>
    </i>
    <i>
      <x v="2"/>
    </i>
    <i>
      <x v="3"/>
    </i>
    <i>
      <x v="4"/>
    </i>
    <i>
      <x v="5"/>
    </i>
    <i>
      <x v="6"/>
    </i>
    <i>
      <x v="7"/>
    </i>
    <i>
      <x v="8"/>
    </i>
    <i>
      <x v="9"/>
    </i>
    <i t="grand">
      <x/>
    </i>
  </rowItems>
  <colFields count="1">
    <field x="9"/>
  </colFields>
  <colItems count="3">
    <i>
      <x/>
    </i>
    <i>
      <x v="1"/>
    </i>
    <i t="grand">
      <x/>
    </i>
  </colItems>
  <dataFields count="1">
    <dataField name="Sum of OrderID" fld="0" baseField="0" baseItem="0"/>
  </dataFields>
  <chartFormats count="2">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636C9B-A53B-4A98-83D0-AF79794D6C95}"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10:J15" firstHeaderRow="1" firstDataRow="1" firstDataCol="1"/>
  <pivotFields count="10">
    <pivotField dataField="1" showAll="0"/>
    <pivotField showAll="0"/>
    <pivotField numFmtId="14" showAll="0"/>
    <pivotField showAll="0"/>
    <pivotField axis="axisRow" showAll="0">
      <items count="5">
        <item x="1"/>
        <item x="0"/>
        <item x="2"/>
        <item x="3"/>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OrderID" fld="0" subtotal="count" baseField="0" baseItem="0"/>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5DD9ACC6-AB83-4E5F-8AE5-E6B1D74A9721}" sourceName="OrderID">
  <pivotTables>
    <pivotTable tabId="3" name="PivotTable3"/>
  </pivotTables>
  <data>
    <tabular pivotCacheId="103514997">
      <items count="1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s_type" xr10:uid="{548B3D71-F29C-439D-A49C-9B0598D7C667}" sourceName="purchases type">
  <pivotTables>
    <pivotTable tabId="3" name="PivotTable3"/>
  </pivotTables>
  <data>
    <tabular pivotCacheId="10351499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7750D4-DC6E-4F0B-8BBD-404C1A086171}" sourceName="Region">
  <pivotTables>
    <pivotTable tabId="3" name="PivotTable15"/>
  </pivotTables>
  <data>
    <tabular pivotCacheId="1364456754">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8ECFC6B-8BEE-4E5A-8D2C-B8FCB1567B6E}" sourceName="PaymentMethod">
  <pivotTables>
    <pivotTable tabId="3" name="PivotTable17"/>
  </pivotTables>
  <data>
    <tabular pivotCacheId="1257373520">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08E5CA-9401-4F61-86A5-99EF7EB7609B}" sourceName="Region">
  <pivotTables>
    <pivotTable tabId="3" name="PivotTable16"/>
  </pivotTables>
  <data>
    <tabular pivotCacheId="771230858">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Price" xr10:uid="{AC018C28-D87E-4CE2-9CC8-DAB15C822602}" sourceName="UnitPrice">
  <pivotTables>
    <pivotTable tabId="3" name="PivotTable16"/>
  </pivotTables>
  <data>
    <tabular pivotCacheId="771230858">
      <items count="1480">
        <i x="735" s="1"/>
        <i x="1384" s="1"/>
        <i x="409" s="1"/>
        <i x="412" s="1"/>
        <i x="1427" s="1"/>
        <i x="47" s="1"/>
        <i x="1274" s="1"/>
        <i x="529" s="1"/>
        <i x="613" s="1"/>
        <i x="291" s="1"/>
        <i x="1332" s="1"/>
        <i x="586" s="1"/>
        <i x="1081" s="1"/>
        <i x="896" s="1"/>
        <i x="1284" s="1"/>
        <i x="736" s="1"/>
        <i x="365" s="1"/>
        <i x="300" s="1"/>
        <i x="848" s="1"/>
        <i x="413" s="1"/>
        <i x="1161" s="1"/>
        <i x="375" s="1"/>
        <i x="868" s="1"/>
        <i x="1441" s="1"/>
        <i x="864" s="1"/>
        <i x="1253" s="1"/>
        <i x="788" s="1"/>
        <i x="555" s="1"/>
        <i x="90" s="1"/>
        <i x="546" s="1"/>
        <i x="1374" s="1"/>
        <i x="890" s="1"/>
        <i x="1157" s="1"/>
        <i x="961" s="1"/>
        <i x="1067" s="1"/>
        <i x="1406" s="1"/>
        <i x="380" s="1"/>
        <i x="267" s="1"/>
        <i x="782" s="1"/>
        <i x="578" s="1"/>
        <i x="245" s="1"/>
        <i x="464" s="1"/>
        <i x="957" s="1"/>
        <i x="1440" s="1"/>
        <i x="959" s="1"/>
        <i x="1046" s="1"/>
        <i x="1063" s="1"/>
        <i x="1193" s="1"/>
        <i x="1219" s="1"/>
        <i x="1463" s="1"/>
        <i x="580" s="1"/>
        <i x="319" s="1"/>
        <i x="870" s="1"/>
        <i x="877" s="1"/>
        <i x="885" s="1"/>
        <i x="234" s="1"/>
        <i x="1004" s="1"/>
        <i x="598" s="1"/>
        <i x="1213" s="1"/>
        <i x="1233" s="1"/>
        <i x="205" s="1"/>
        <i x="545" s="1"/>
        <i x="425" s="1"/>
        <i x="624" s="1"/>
        <i x="452" s="1"/>
        <i x="585" s="1"/>
        <i x="743" s="1"/>
        <i x="287" s="1"/>
        <i x="973" s="1"/>
        <i x="631" s="1"/>
        <i x="974" s="1"/>
        <i x="785" s="1"/>
        <i x="1053" s="1"/>
        <i x="59" s="1"/>
        <i x="270" s="1"/>
        <i x="1078" s="1"/>
        <i x="157" s="1"/>
        <i x="103" s="1"/>
        <i x="408" s="1"/>
        <i x="436" s="1"/>
        <i x="1335" s="1"/>
        <i x="1098" s="1"/>
        <i x="478" s="1"/>
        <i x="268" s="1"/>
        <i x="502" s="1"/>
        <i x="485" s="1"/>
        <i x="186" s="1"/>
        <i x="1041" s="1"/>
        <i x="587" s="1"/>
        <i x="411" s="1"/>
        <i x="83" s="1"/>
        <i x="290" s="1"/>
        <i x="902" s="1"/>
        <i x="123" s="1"/>
        <i x="1056" s="1"/>
        <i x="791" s="1"/>
        <i x="434" s="1"/>
        <i x="1437" s="1"/>
        <i x="36" s="1"/>
        <i x="470" s="1"/>
        <i x="1434" s="1"/>
        <i x="680" s="1"/>
        <i x="341" s="1"/>
        <i x="162" s="1"/>
        <i x="307" s="1"/>
        <i x="302" s="1"/>
        <i x="601" s="1"/>
        <i x="1203" s="1"/>
        <i x="1148" s="1"/>
        <i x="506" s="1"/>
        <i x="172" s="1"/>
        <i x="1178" s="1"/>
        <i x="758" s="1"/>
        <i x="242" s="1"/>
        <i x="228" s="1"/>
        <i x="340" s="1"/>
        <i x="200" s="1"/>
        <i x="835" s="1"/>
        <i x="1227" s="1"/>
        <i x="25" s="1"/>
        <i x="1276" s="1"/>
        <i x="821" s="1"/>
        <i x="1407" s="1"/>
        <i x="588" s="1"/>
        <i x="1048" s="1"/>
        <i x="907" s="1"/>
        <i x="372" s="1"/>
        <i x="201" s="1"/>
        <i x="1339" s="1"/>
        <i x="547" s="1"/>
        <i x="1075" s="1"/>
        <i x="1354" s="1"/>
        <i x="202" s="1"/>
        <i x="212" s="1"/>
        <i x="741" s="1"/>
        <i x="1447" s="1"/>
        <i x="1073" s="1"/>
        <i x="1260" s="1"/>
        <i x="930" s="1"/>
        <i x="314" s="1"/>
        <i x="356" s="1"/>
        <i x="856" s="1"/>
        <i x="1242" s="1"/>
        <i x="1340" s="1"/>
        <i x="1465" s="1"/>
        <i x="80" s="1"/>
        <i x="1442" s="1"/>
        <i x="1176" s="1"/>
        <i x="20" s="1"/>
        <i x="1289" s="1"/>
        <i x="299" s="1"/>
        <i x="1388" s="1"/>
        <i x="760" s="1"/>
        <i x="651" s="1"/>
        <i x="1453" s="1"/>
        <i x="469" s="1"/>
        <i x="1305" s="1"/>
        <i x="836" s="1"/>
        <i x="620" s="1"/>
        <i x="739" s="1"/>
        <i x="328" s="1"/>
        <i x="1443" s="1"/>
        <i x="410" s="1"/>
        <i x="210" s="1"/>
        <i x="1" s="1"/>
        <i x="27" s="1"/>
        <i x="556" s="1"/>
        <i x="446" s="1"/>
        <i x="177" s="1"/>
        <i x="865" s="1"/>
        <i x="611" s="1"/>
        <i x="649" s="1"/>
        <i x="1385" s="1"/>
        <i x="1097" s="1"/>
        <i x="238" s="1"/>
        <i x="689" s="1"/>
        <i x="572" s="1"/>
        <i x="869" s="1"/>
        <i x="1190" s="1"/>
        <i x="1303" s="1"/>
        <i x="1252" s="1"/>
        <i x="357" s="1"/>
        <i x="155" s="1"/>
        <i x="723" s="1"/>
        <i x="1370" s="1"/>
        <i x="1164" s="1"/>
        <i x="1386" s="1"/>
        <i x="16" s="1"/>
        <i x="931" s="1"/>
        <i x="781" s="1"/>
        <i x="551" s="1"/>
        <i x="369" s="1"/>
        <i x="385" s="1"/>
        <i x="983" s="1"/>
        <i x="429" s="1"/>
        <i x="1429" s="1"/>
        <i x="543" s="1"/>
        <i x="561" s="1"/>
        <i x="986" s="1"/>
        <i x="526" s="1"/>
        <i x="1068" s="1"/>
        <i x="881" s="1"/>
        <i x="455" s="1"/>
        <i x="1024" s="1"/>
        <i x="958" s="1"/>
        <i x="688" s="1"/>
        <i x="168" s="1"/>
        <i x="1184" s="1"/>
        <i x="263" s="1"/>
        <i x="40" s="1"/>
        <i x="1373" s="1"/>
        <i x="1379" s="1"/>
        <i x="358" s="1"/>
        <i x="895" s="1"/>
        <i x="844" s="1"/>
        <i x="247" s="1"/>
        <i x="415" s="1"/>
        <i x="244" s="1"/>
        <i x="74" s="1"/>
        <i x="970" s="1"/>
        <i x="371" s="1"/>
        <i x="338" s="1"/>
        <i x="468" s="1"/>
        <i x="1025" s="1"/>
        <i x="1423" s="1"/>
        <i x="632" s="1"/>
        <i x="219" s="1"/>
        <i x="1312" s="1"/>
        <i x="1404" s="1"/>
        <i x="1432" s="1"/>
        <i x="281" s="1"/>
        <i x="770" s="1"/>
        <i x="992" s="1"/>
        <i x="765" s="1"/>
        <i x="18" s="1"/>
        <i x="744" s="1"/>
        <i x="243" s="1"/>
        <i x="213" s="1"/>
        <i x="34" s="1"/>
        <i x="3" s="1"/>
        <i x="1367" s="1"/>
        <i x="738" s="1"/>
        <i x="110" s="1"/>
        <i x="1207" s="1"/>
        <i x="819" s="1"/>
        <i x="713" s="1"/>
        <i x="904" s="1"/>
        <i x="1230" s="1"/>
        <i x="589" s="1"/>
        <i x="650" s="1"/>
        <i x="939" s="1"/>
        <i x="1369" s="1"/>
        <i x="297" s="1"/>
        <i x="480" s="1"/>
        <i x="952" s="1"/>
        <i x="1267" s="1"/>
        <i x="1172" s="1"/>
        <i x="1394" s="1"/>
        <i x="374" s="1"/>
        <i x="1007" s="1"/>
        <i x="239" s="1"/>
        <i x="1392" s="1"/>
        <i x="141" s="1"/>
        <i x="1042" s="1"/>
        <i x="1243" s="1"/>
        <i x="487" s="1"/>
        <i x="194" s="1"/>
        <i x="893" s="1"/>
        <i x="1038" s="1"/>
        <i x="507" s="1"/>
        <i x="1195" s="1"/>
        <i x="1099" s="1"/>
        <i x="191" s="1"/>
        <i x="69" s="1"/>
        <i x="678" s="1"/>
        <i x="694" s="1"/>
        <i x="1225" s="1"/>
        <i x="647" s="1"/>
        <i x="1204" s="1"/>
        <i x="985" s="1"/>
        <i x="350" s="1"/>
        <i x="1051" s="1"/>
        <i x="676" s="1"/>
        <i x="980" s="1"/>
        <i x="522" s="1"/>
        <i x="254" s="1"/>
        <i x="921" s="1"/>
        <i x="1071" s="1"/>
        <i x="382" s="1"/>
        <i x="702" s="1"/>
        <i x="518" s="1"/>
        <i x="266" s="1"/>
        <i x="101" s="1"/>
        <i x="29" s="1"/>
        <i x="899" s="1"/>
        <i x="284" s="1"/>
        <i x="818" s="1"/>
        <i x="1389" s="1"/>
        <i x="1439" s="1"/>
        <i x="1444" s="1"/>
        <i x="391" s="1"/>
        <i x="1196" s="1"/>
        <i x="616" s="1"/>
        <i x="610" s="1"/>
        <i x="710" s="1"/>
        <i x="708" s="1"/>
        <i x="84" s="1"/>
        <i x="1248" s="1"/>
        <i x="757" s="1"/>
        <i x="575" s="1"/>
        <i x="495" s="1"/>
        <i x="993" s="1"/>
        <i x="288" s="1"/>
        <i x="724" s="1"/>
        <i x="637" s="1"/>
        <i x="1146" s="1"/>
        <i x="1059" s="1"/>
        <i x="815" s="1"/>
        <i x="1192" s="1"/>
        <i x="420" s="1"/>
        <i x="541" s="1"/>
        <i x="1333" s="1"/>
        <i x="1395" s="1"/>
        <i x="1031" s="1"/>
        <i x="861" s="1"/>
        <i x="505" s="1"/>
        <i x="11" s="1"/>
        <i x="1464" s="1"/>
        <i x="32" s="1"/>
        <i x="734" s="1"/>
        <i x="1123" s="1"/>
        <i x="184" s="1"/>
        <i x="1045" s="1"/>
        <i x="978" s="1"/>
        <i x="406" s="1"/>
        <i x="665" s="1"/>
        <i x="148" s="1"/>
        <i x="304" s="1"/>
        <i x="13" s="1"/>
        <i x="24" s="1"/>
        <i x="892" s="1"/>
        <i x="156" s="1"/>
        <i x="196" s="1"/>
        <i x="947" s="1"/>
        <i x="971" s="1"/>
        <i x="1459" s="1"/>
        <i x="221" s="1"/>
        <i x="66" s="1"/>
        <i x="393" s="1"/>
        <i x="1327" s="1"/>
        <i x="490" s="1"/>
        <i x="533" s="1"/>
        <i x="1415" s="1"/>
        <i x="102" s="1"/>
        <i x="414" s="1"/>
        <i x="336" s="1"/>
        <i x="759" s="1"/>
        <i x="353" s="1"/>
        <i x="142" s="1"/>
        <i x="293" s="1"/>
        <i x="442" s="1"/>
        <i x="320" s="1"/>
        <i x="1290" s="1"/>
        <i x="666" s="1"/>
        <i x="841" s="1"/>
        <i x="1017" s="1"/>
        <i x="467" s="1"/>
        <i x="1337" s="1"/>
        <i x="1174" s="1"/>
        <i x="225" s="1"/>
        <i x="215" s="1"/>
        <i x="898" s="1"/>
        <i x="1015" s="1"/>
        <i x="344" s="1"/>
        <i x="96" s="1"/>
        <i x="977" s="1"/>
        <i x="195" s="1"/>
        <i x="831" s="1"/>
        <i x="0" s="1"/>
        <i x="1324" s="1"/>
        <i x="12" s="1"/>
        <i x="419" s="1"/>
        <i x="23" s="1"/>
        <i x="166" s="1"/>
        <i x="990" s="1"/>
        <i x="100" s="1"/>
        <i x="515" s="1"/>
        <i x="122" s="1"/>
        <i x="105" s="1"/>
        <i x="1282" s="1"/>
        <i x="1280" s="1"/>
        <i x="198" s="1"/>
        <i x="1401" s="1"/>
        <i x="337" s="1"/>
        <i x="662" s="1"/>
        <i x="1020" s="1"/>
        <i x="1288" s="1"/>
        <i x="1166" s="1"/>
        <i x="940" s="1"/>
        <i x="674" s="1"/>
        <i x="433" s="1"/>
        <i x="1362" s="1"/>
        <i x="42" s="1"/>
        <i x="33" s="1"/>
        <i x="278" s="1"/>
        <i x="466" s="1"/>
        <i x="53" s="1"/>
        <i x="124" s="1"/>
        <i x="866" s="1"/>
        <i x="400" s="1"/>
        <i x="264" s="1"/>
        <i x="1070" s="1"/>
        <i x="362" s="1"/>
        <i x="9" s="1"/>
        <i x="542" s="1"/>
        <i x="438" s="1"/>
        <i x="1436" s="1"/>
        <i x="45" s="1"/>
        <i x="235" s="1"/>
        <i x="1152" s="1"/>
        <i x="573" s="1"/>
        <i x="1236" s="1"/>
        <i x="1231" s="1"/>
        <i x="646" s="1"/>
        <i x="363" s="1"/>
        <i x="129" s="1"/>
        <i x="95" s="1"/>
        <i x="460" s="1"/>
        <i x="857" s="1"/>
        <i x="1153" s="1"/>
        <i x="188" s="1"/>
        <i x="1062" s="1"/>
        <i x="511" s="1"/>
        <i x="1107" s="1"/>
        <i x="222" s="1"/>
        <i x="286" s="1"/>
        <i x="1044" s="1"/>
        <i x="854" s="1"/>
        <i x="602" s="1"/>
        <i x="1307" s="1"/>
        <i x="837" s="1"/>
        <i x="932" s="1"/>
        <i x="1088" s="1"/>
        <i x="1400" s="1"/>
        <i x="377" s="1"/>
        <i x="146" s="1"/>
        <i x="1414" s="1"/>
        <i x="261" s="1"/>
        <i x="396" s="1"/>
        <i x="77" s="1"/>
        <i x="807" s="1"/>
        <i x="838" s="1"/>
        <i x="1390" s="1"/>
        <i x="170" s="1"/>
        <i x="812" s="1"/>
        <i x="1268" s="1"/>
        <i x="330" s="1"/>
        <i x="953" s="1"/>
        <i x="63" s="1"/>
        <i x="255" s="1"/>
        <i x="761" s="1"/>
        <i x="1353" s="1"/>
        <i x="98" s="1"/>
        <i x="803" s="1"/>
        <i x="149" s="1"/>
        <i x="691" s="1"/>
        <i x="695" s="1"/>
        <i x="428" s="1"/>
        <i x="814" s="1"/>
        <i x="503" s="1"/>
        <i x="816" s="1"/>
        <i x="179" s="1"/>
        <i x="334" s="1"/>
        <i x="387" s="1"/>
        <i x="1036" s="1"/>
        <i x="390" s="1"/>
        <i x="39" s="1"/>
        <i x="686" s="1"/>
        <i x="1210" s="1"/>
        <i x="1052" s="1"/>
        <i x="1262" s="1"/>
        <i x="1200" s="1"/>
        <i x="1145" s="1"/>
        <i x="595" s="1"/>
        <i x="1470" s="1"/>
        <i x="1256" s="1"/>
        <i x="711" s="1"/>
        <i x="906" s="1"/>
        <i x="150" s="1"/>
        <i x="1181" s="1"/>
        <i x="612" s="1"/>
        <i x="550" s="1"/>
        <i x="1064" s="1"/>
        <i x="277" s="1"/>
        <i x="352" s="1"/>
        <i x="564" s="1"/>
        <i x="134" s="1"/>
        <i x="1419" s="1"/>
        <i x="517" s="1"/>
        <i x="1209" s="1"/>
        <i x="1293" s="1"/>
        <i x="1010" s="1"/>
        <i x="887" s="1"/>
        <i x="407" s="1"/>
        <i x="1361" s="1"/>
        <i x="231" s="1"/>
        <i x="1220" s="1"/>
        <i x="804" s="1"/>
        <i x="1263" s="1"/>
        <i x="131" s="1"/>
        <i x="317" s="1"/>
        <i x="477" s="1"/>
        <i x="89" s="1"/>
        <i x="718" s="1"/>
        <i x="386" s="1"/>
        <i x="120" s="1"/>
        <i x="750" s="1"/>
        <i x="1420" s="1"/>
        <i x="180" s="1"/>
        <i x="399" s="1"/>
        <i x="682" s="1"/>
        <i x="479" s="1"/>
        <i x="966" s="1"/>
        <i x="1476" s="1"/>
        <i x="51" s="1"/>
        <i x="762" s="1"/>
        <i x="1245" s="1"/>
        <i x="716" s="1"/>
        <i x="536" s="1"/>
        <i x="1449" s="1"/>
        <i x="727" s="1"/>
        <i x="681" s="1"/>
        <i x="1368" s="1"/>
        <i x="1431" s="1"/>
        <i x="925" s="1"/>
        <i x="696" s="1"/>
        <i x="538" s="1"/>
        <i x="849" s="1"/>
        <i x="1326" s="1"/>
        <i x="1039" s="1"/>
        <i x="1308" s="1"/>
        <i x="440" s="1"/>
        <i x="489" s="1"/>
        <i x="1128" s="1"/>
        <i x="1198" s="1"/>
        <i x="941" s="1"/>
        <i x="345" s="1"/>
        <i x="272" s="1"/>
        <i x="471" s="1"/>
        <i x="140" s="1"/>
        <i x="1261" s="1"/>
        <i x="626" s="1"/>
        <i x="325" s="1"/>
        <i x="1294" s="1"/>
        <i x="1197" s="1"/>
        <i x="720" s="1"/>
        <i x="81" s="1"/>
        <i x="673" s="1"/>
        <i x="7" s="1"/>
        <i x="1272" s="1"/>
        <i x="1001" s="1"/>
        <i x="332" s="1"/>
        <i x="1050" s="1"/>
        <i x="1066" s="1"/>
        <i x="459" s="1"/>
        <i x="1425" s="1"/>
        <i x="1328" s="1"/>
        <i x="843" s="1"/>
        <i x="1426" s="1"/>
        <i x="1029" s="1"/>
        <i x="593" s="1"/>
        <i x="133" s="1"/>
        <i x="950" s="1"/>
        <i x="271" s="1"/>
        <i x="1160" s="1"/>
        <i x="206" s="1"/>
        <i x="520" s="1"/>
        <i x="327" s="1"/>
        <i x="1469" s="1"/>
        <i x="76" s="1"/>
        <i x="1234" s="1"/>
        <i x="1228" s="1"/>
        <i x="475" s="1"/>
        <i x="823" s="1"/>
        <i x="315" s="1"/>
        <i x="700" s="1"/>
        <i x="748" s="1"/>
        <i x="1281" s="1"/>
        <i x="670" s="1"/>
        <i x="1455" s="1"/>
        <i x="1205" s="1"/>
        <i x="273" s="1"/>
        <i x="1140" s="1"/>
        <i x="193" s="1"/>
        <i x="656" s="1"/>
        <i x="984" s="1"/>
        <i x="981" s="1"/>
        <i x="75" s="1"/>
        <i x="359" s="1"/>
        <i x="954" s="1"/>
        <i x="1134" s="1"/>
        <i x="252" s="1"/>
        <i x="607" s="1"/>
        <i x="1158" s="1"/>
        <i x="1109" s="1"/>
        <i x="1012" s="1"/>
        <i x="220" s="1"/>
        <i x="1141" s="1"/>
        <i x="1250" s="1"/>
        <i x="305" s="1"/>
        <i x="553" s="1"/>
        <i x="1061" s="1"/>
        <i x="540" s="1"/>
        <i x="911" s="1"/>
        <i x="159" s="1"/>
        <i x="462" s="1"/>
        <i x="963" s="1"/>
        <i x="1473" s="1"/>
        <i x="62" s="1"/>
        <i x="524" s="1"/>
        <i x="1091" s="1"/>
        <i x="701" s="1"/>
        <i x="1270" s="1"/>
        <i x="1027" s="1"/>
        <i x="675" s="1"/>
        <i x="99" s="1"/>
        <i x="549" s="1"/>
        <i x="1271" s="1"/>
        <i x="486" s="1"/>
        <i x="1477" s="1"/>
        <i x="383" s="1"/>
        <i x="366" s="1"/>
        <i x="355" s="1"/>
        <i x="677" s="1"/>
        <i x="600" s="1"/>
        <i x="1375" s="1"/>
        <i x="747" s="1"/>
        <i x="842" s="1"/>
        <i x="92" s="1"/>
        <i x="78" s="1"/>
        <i x="192" s="1"/>
        <i x="58" s="1"/>
        <i x="1057" s="1"/>
        <i x="43" s="1"/>
        <i x="653" s="1"/>
        <i x="308" s="1"/>
        <i x="1320" s="1"/>
        <i x="187" s="1"/>
        <i x="1208" s="1"/>
        <i x="71" s="1"/>
        <i x="946" s="1"/>
        <i x="510" s="1"/>
        <i x="621" s="1"/>
        <i x="97" s="1"/>
        <i x="1119" s="1"/>
        <i x="1258" s="1"/>
        <i x="2" s="1"/>
        <i x="719" s="1"/>
        <i x="203" s="1"/>
        <i x="253" s="1"/>
        <i x="174" s="1"/>
        <i x="928" s="1"/>
        <i x="309" s="1"/>
        <i x="378" s="1"/>
        <i x="70" s="1"/>
        <i x="128" s="1"/>
        <i x="1235" s="1"/>
        <i x="888" s="1"/>
        <i x="560" s="1"/>
        <i x="609" s="1"/>
        <i x="310" s="1"/>
        <i x="30" s="1"/>
        <i x="834" s="1"/>
        <i x="376" s="1"/>
        <i x="451" s="1"/>
        <i x="684" s="1"/>
        <i x="199" s="1"/>
        <i x="862" s="1"/>
        <i x="900" s="1"/>
        <i x="548" s="1"/>
        <i x="262" s="1"/>
        <i x="450" s="1"/>
        <i x="1169" s="1"/>
        <i x="853" s="1"/>
        <i x="1433" s="1"/>
        <i x="826" s="1"/>
        <i x="822" s="1"/>
        <i x="488" s="1"/>
        <i x="754" s="1"/>
        <i x="1216" s="1"/>
        <i x="1086" s="1"/>
        <i x="513" s="1"/>
        <i x="1217" s="1"/>
        <i x="591" s="1"/>
        <i x="828" s="1"/>
        <i x="349" s="1"/>
        <i x="347" s="1"/>
        <i x="1446" s="1"/>
        <i x="367" s="1"/>
        <i x="463" s="1"/>
        <i x="1273" s="1"/>
        <i x="1058" s="1"/>
        <i x="935" s="1"/>
        <i x="615" s="1"/>
        <i x="740" s="1"/>
        <i x="392" s="1"/>
        <i x="889" s="1"/>
        <i x="1372" s="1"/>
        <i x="171" s="1"/>
        <i x="956" s="1"/>
        <i x="772" s="1"/>
        <i x="444" s="1"/>
        <i x="1366" s="1"/>
        <i x="669" s="1"/>
        <i x="1163" s="1"/>
        <i x="704" s="1"/>
        <i x="1424" s="1"/>
        <i x="68" s="1"/>
        <i x="1092" s="1"/>
        <i x="982" s="1"/>
        <i x="811" s="1"/>
        <i x="127" s="1"/>
        <i x="343" s="1"/>
        <i x="968" s="1"/>
        <i x="927" s="1"/>
        <i x="1396" s="1"/>
        <i x="576" s="1"/>
        <i x="732" s="1"/>
        <i x="46" s="1"/>
        <i x="173" s="1"/>
        <i x="813" s="1"/>
        <i x="1239" s="1"/>
        <i x="1334" s="1"/>
        <i x="659" s="1"/>
        <i x="276" s="1"/>
        <i x="1382" s="1"/>
        <i x="394" s="1"/>
        <i x="388" s="1"/>
        <i x="581" s="1"/>
        <i x="427" s="1"/>
        <i x="516" s="1"/>
        <i x="169" s="1"/>
        <i x="1090" s="1"/>
        <i x="453" s="1"/>
        <i x="964" s="1"/>
        <i x="628" s="1"/>
        <i x="654" s="1"/>
        <i x="1448" s="1"/>
        <i x="663" s="1"/>
        <i x="282" s="1"/>
        <i x="1310" s="1"/>
        <i x="817" s="1"/>
        <i x="1264" s="1"/>
        <i x="851" s="1"/>
        <i x="339" s="1"/>
        <i x="279" s="1"/>
        <i x="1285" s="1"/>
        <i x="224" s="1"/>
        <i x="1387" s="1"/>
        <i x="15" s="1"/>
        <i x="465" s="1"/>
        <i x="151" s="1"/>
        <i x="922" s="1"/>
        <i x="1170" s="1"/>
        <i x="768" s="1"/>
        <i x="1223" s="1"/>
        <i x="1309" s="1"/>
        <i x="226" s="1"/>
        <i x="154" s="1"/>
        <i x="1115" s="1"/>
        <i x="926" s="1"/>
        <i x="876" s="1"/>
        <i x="618" s="1"/>
        <i x="1413" s="1"/>
        <i x="373" s="1"/>
        <i x="994" s="1"/>
        <i x="482" s="1"/>
        <i x="1451" s="1"/>
        <i x="566" s="1"/>
        <i x="820" s="1"/>
        <i x="1402" s="1"/>
        <i x="342" s="1"/>
        <i x="1116" s="1"/>
        <i x="381" s="1"/>
        <i x="1338" s="1"/>
        <i x="1397" s="1"/>
        <i x="126" s="1"/>
        <i x="454" s="1"/>
        <i x="496" s="1"/>
        <i x="323" s="1"/>
        <i x="562" s="1"/>
        <i x="207" s="1"/>
        <i x="717" s="1"/>
        <i x="802" s="1"/>
        <i x="48" s="1"/>
        <i x="1136" s="1"/>
        <i x="679" s="1"/>
        <i x="85" s="1"/>
        <i x="960" s="1"/>
        <i x="1120" s="1"/>
        <i x="348" s="1"/>
        <i x="183" s="1"/>
        <i x="498" s="1"/>
        <i x="1287" s="1"/>
        <i x="298" s="1"/>
        <i x="730" s="1"/>
        <i x="625" s="1"/>
        <i x="577" s="1"/>
        <i x="685" s="1"/>
        <i x="132" s="1"/>
        <i x="500" s="1"/>
        <i x="998" s="1"/>
        <i x="104" s="1"/>
        <i x="599" s="1"/>
        <i x="106" s="1"/>
        <i x="384" s="1"/>
        <i x="855" s="1"/>
        <i x="311" s="1"/>
        <i x="57" s="1"/>
        <i x="301" s="1"/>
        <i x="49" s="1"/>
        <i x="208" s="1"/>
        <i x="1221" s="1"/>
        <i x="118" s="1"/>
        <i x="975" s="1"/>
        <i x="1094" s="1"/>
        <i x="1005" s="1"/>
        <i x="534" s="1"/>
        <i x="789" s="1"/>
        <i x="641" s="1"/>
        <i x="1000" s="1"/>
        <i x="636" s="1"/>
        <i x="999" s="1"/>
        <i x="1117" s="1"/>
        <i x="1266" s="1"/>
        <i x="905" s="1"/>
        <i x="1182" s="1"/>
        <i x="539" s="1"/>
        <i x="38" s="1"/>
        <i x="606" s="1"/>
        <i x="699" s="1"/>
        <i x="360" s="1"/>
        <i x="1247" s="1"/>
        <i x="790" s="1"/>
        <i x="629" s="1"/>
        <i x="574" s="1"/>
        <i x="295" s="1"/>
        <i x="329" s="1"/>
        <i x="1292" s="1"/>
        <i x="829" s="1"/>
        <i x="1342" s="1"/>
        <i x="949" s="1"/>
        <i x="1450" s="1"/>
        <i x="86" s="1"/>
        <i x="483" s="1"/>
        <i x="109" s="1"/>
        <i x="416" s="1"/>
        <i x="67" s="1"/>
        <i x="839" s="1"/>
        <i x="251" s="1"/>
        <i x="797" s="1"/>
        <i x="668" s="1"/>
        <i x="257" s="1"/>
        <i x="227" s="1"/>
        <i x="318" s="1"/>
        <i x="1364" s="1"/>
        <i x="751" s="1"/>
        <i x="1479" s="1"/>
        <i x="1380" s="1"/>
        <i x="903" s="1"/>
        <i x="771" s="1"/>
        <i x="1179" s="1"/>
        <i x="1100" s="1"/>
        <i x="1376" s="1"/>
        <i x="703" s="1"/>
        <i x="501" s="1"/>
        <i x="938" s="1"/>
        <i x="41" s="1"/>
        <i x="136" s="1"/>
        <i x="1079" s="1"/>
        <i x="1251" s="1"/>
        <i x="1162" s="1"/>
        <i x="787" s="1"/>
        <i x="137" s="1"/>
        <i x="596" s="1"/>
        <i x="806" s="1"/>
        <i x="14" s="1"/>
        <i x="403" s="1"/>
        <i x="1108" s="1"/>
        <i x="1341" s="1"/>
        <i x="1403" s="1"/>
        <i x="1222" s="1"/>
        <i x="1279" s="1"/>
        <i x="882" s="1"/>
        <i x="398" s="1"/>
        <i x="784" s="1"/>
        <i x="1478" s="1"/>
        <i x="509" s="1"/>
        <i x="389" s="1"/>
        <i x="1283" s="1"/>
        <i x="422" s="1"/>
        <i x="521" s="1"/>
        <i x="144" s="1"/>
        <i x="260" s="1"/>
        <i x="1224" s="1"/>
        <i x="476" s="1"/>
        <i x="56" s="1"/>
        <i x="163" s="1"/>
        <i x="886" s="1"/>
        <i x="1212" s="1"/>
        <i x="1211" s="1"/>
        <i x="1019" s="1"/>
        <i x="1040" s="1"/>
        <i x="512" s="1"/>
        <i x="919" s="1"/>
        <i x="883" s="1"/>
        <i x="830" s="1"/>
        <i x="1085" s="1"/>
        <i x="1254" s="1"/>
        <i x="1454" s="1"/>
        <i x="1278" s="1"/>
        <i x="119" s="1"/>
        <i x="1011" s="1"/>
        <i x="645" s="1"/>
        <i x="1114" s="1"/>
        <i x="766" s="1"/>
        <i x="1438" s="1"/>
        <i x="878" s="1"/>
        <i x="346" s="1"/>
        <i x="1306" s="1"/>
        <i x="563" s="1"/>
        <i x="764" s="1"/>
        <i x="725" s="1"/>
        <i x="1138" s="1"/>
        <i x="721" s="1"/>
        <i x="858" s="1"/>
        <i x="996" s="1"/>
        <i x="55" s="1"/>
        <i x="1297" s="1"/>
        <i x="873" s="1"/>
        <i x="1076" s="1"/>
        <i x="113" s="1"/>
        <i x="1002" s="1"/>
        <i x="1156" s="1"/>
        <i x="447" s="1"/>
        <i x="1302" s="1"/>
        <i x="590" s="1"/>
        <i x="65" s="1"/>
        <i x="1291" s="1"/>
        <i x="61" s="1"/>
        <i x="1096" s="1"/>
        <i x="248" s="1"/>
        <i x="623" s="1"/>
        <i x="178" s="1"/>
        <i x="8" s="1"/>
        <i x="1022" s="1"/>
        <i x="1165" s="1"/>
        <i x="1121" s="1"/>
        <i x="683" s="1"/>
        <i x="28" s="1"/>
        <i x="316" s="1"/>
        <i x="664" s="1"/>
        <i x="37" s="1"/>
        <i x="630" s="1"/>
        <i x="64" s="1"/>
        <i x="214" s="1"/>
        <i x="1072" s="1"/>
        <i x="948" s="1"/>
        <i x="143" s="1"/>
        <i x="1298" s="1"/>
        <i x="945" s="1"/>
        <i x="1322" s="1"/>
        <i x="614" s="1"/>
        <i x="1435" s="1"/>
        <i x="1249" s="1"/>
        <i x="519" s="1"/>
        <i x="863" s="1"/>
        <i x="1344" s="1"/>
        <i x="852" s="1"/>
        <i x="1047" s="1"/>
        <i x="901" s="1"/>
        <i x="752" s="1"/>
        <i x="456" s="1"/>
        <i x="1416" s="1"/>
        <i x="176" s="1"/>
        <i x="644" s="1"/>
        <i x="698" s="1"/>
        <i x="111" s="1"/>
        <i x="88" s="1"/>
        <i x="783" s="1"/>
        <i x="910" s="1"/>
        <i x="897" s="1"/>
        <i x="1191" s="1"/>
        <i x="473" s="1"/>
        <i x="121" s="1"/>
        <i x="139" s="1"/>
        <i x="833" s="1"/>
        <i x="796" s="1"/>
        <i x="1336" s="1"/>
        <i x="331" s="1"/>
        <i x="894" s="1"/>
        <i x="1318" s="1"/>
        <i x="705" s="1"/>
        <i x="1357" s="1"/>
        <i x="672" s="1"/>
        <i x="827" s="1"/>
        <i x="116" s="1"/>
        <i x="1381" s="1"/>
        <i x="1315" s="1"/>
        <i x="448" s="1"/>
        <i x="1378" s="1"/>
        <i x="714" s="1"/>
        <i x="1430" s="1"/>
        <i x="426" s="1"/>
        <i x="731" s="1"/>
        <i x="182" s="1"/>
        <i x="112" s="1"/>
        <i x="1286" s="1"/>
        <i x="1314" s="1"/>
        <i x="6" s="1"/>
        <i x="285" s="1"/>
        <i x="1102" s="1"/>
        <i x="91" s="1"/>
        <i x="430" s="1"/>
        <i x="871" s="1"/>
        <i x="209" s="1"/>
        <i x="1241" s="1"/>
        <i x="643" s="1"/>
        <i x="1126" s="1"/>
        <i x="1300" s="1"/>
        <i x="824" s="1"/>
        <i x="22" s="1"/>
        <i x="1350" s="1"/>
        <i x="73" s="1"/>
        <i x="1331" s="1"/>
        <i x="1329" s="1"/>
        <i x="997" s="1"/>
        <i x="232" s="1"/>
        <i x="726" s="1"/>
        <i x="1304" s="1"/>
        <i x="909" s="1"/>
        <i x="776" s="1"/>
        <i x="258" s="1"/>
        <i x="364" s="1"/>
        <i x="1422" s="1"/>
        <i x="185" s="1"/>
        <i x="379" s="1"/>
        <i x="135" s="1"/>
        <i x="26" s="1"/>
        <i x="652" s="1"/>
        <i x="1183" s="1"/>
        <i x="729" s="1"/>
        <i x="988" s="1"/>
        <i x="657" s="1"/>
        <i x="1093" s="1"/>
        <i x="1408" s="1"/>
        <i x="237" s="1"/>
        <i x="537" s="1"/>
        <i x="535" s="1"/>
        <i x="1346" s="1"/>
        <i x="799" s="1"/>
        <i x="175" s="1"/>
        <i x="1125" s="1"/>
        <i x="1105" s="1"/>
        <i x="230" s="1"/>
        <i x="474" s="1"/>
        <i x="728" s="1"/>
        <i x="867" s="1"/>
        <i x="1023" s="1"/>
        <i x="1321" s="1"/>
        <i x="1135" s="1"/>
        <i x="914" s="1"/>
        <i x="1055" s="1"/>
        <i x="801" s="1"/>
        <i x="933" s="1"/>
        <i x="1034" s="1"/>
        <i x="289" s="1"/>
        <i x="1244" s="1"/>
        <i x="1355" s="1"/>
        <i x="1214" s="1"/>
        <i x="746" s="1"/>
        <i x="1240" s="1"/>
        <i x="1127" s="1"/>
        <i x="604" s="1"/>
        <i x="1080" s="1"/>
        <i x="687" s="1"/>
        <i x="35" s="1"/>
        <i x="115" s="1"/>
        <i x="1358" s="1"/>
        <i x="404" s="1"/>
        <i x="755" s="1"/>
        <i x="82" s="1"/>
        <i x="418" s="1"/>
        <i x="918" s="1"/>
        <i x="955" s="1"/>
        <i x="292" s="1"/>
        <i x="569" s="1"/>
        <i x="774" s="1"/>
        <i x="795" s="1"/>
        <i x="1259" s="1"/>
        <i x="565" s="1"/>
        <i x="622" s="1"/>
        <i x="1133" s="1"/>
        <i x="17" s="1"/>
        <i x="424" s="1"/>
        <i x="1277" s="1"/>
        <i x="190" s="1"/>
        <i x="773" s="1"/>
        <i x="690" s="1"/>
        <i x="778" s="1"/>
        <i x="722" s="1"/>
        <i x="72" s="1"/>
        <i x="642" s="1"/>
        <i x="1238" s="1"/>
        <i x="1255" s="1"/>
        <i x="1461" s="1"/>
        <i x="1143" s="1"/>
        <i x="1077" s="1"/>
        <i x="313" s="1"/>
        <i x="786" s="1"/>
        <i x="1101" s="1"/>
        <i x="216" s="1"/>
        <i x="661" s="1"/>
        <i x="1215" s="1"/>
        <i x="1110" s="1"/>
        <i x="432" s="1"/>
        <i x="439" s="1"/>
        <i x="779" s="1"/>
        <i x="504" s="1"/>
        <i x="648" s="1"/>
        <i x="165" s="1"/>
        <i x="246" s="1"/>
        <i x="1185" s="1"/>
        <i x="706" s="1"/>
        <i x="1175" s="1"/>
        <i x="749" s="1"/>
        <i x="544" s="1"/>
        <i x="1345" s="1"/>
        <i x="967" s="1"/>
        <i x="528" s="1"/>
        <i x="361" s="1"/>
        <i x="1132" s="1"/>
        <i x="1150" s="1"/>
        <i x="1103" s="1"/>
        <i x="1177" s="1"/>
        <i x="431" s="1"/>
        <i x="354" s="1"/>
        <i x="421" s="1"/>
        <i x="530" s="1"/>
        <i x="1188" s="1"/>
        <i x="745" s="1"/>
        <i x="497" s="1"/>
        <i x="164" s="1"/>
        <i x="923" s="1"/>
        <i x="294" s="1"/>
        <i x="715" s="1"/>
        <i x="1421" s="1"/>
        <i x="1201" s="1"/>
        <i x="167" s="1"/>
        <i x="250" s="1"/>
        <i x="1035" s="1"/>
        <i x="249" s="1"/>
        <i x="1393" s="1"/>
        <i x="635" s="1"/>
        <i x="1180" s="1"/>
        <i x="1018" s="1"/>
        <i x="859" s="1"/>
        <i x="808" s="1"/>
        <i x="944" s="1"/>
        <i x="552" s="1"/>
        <i x="241" s="1"/>
        <i x="594" s="1"/>
        <i x="437" s="1"/>
        <i x="872" s="1"/>
        <i x="274" s="1"/>
        <i x="152" s="1"/>
        <i x="1083" s="1"/>
        <i x="10" s="1"/>
        <i x="514" s="1"/>
        <i x="326" s="1"/>
        <i x="181" s="1"/>
        <i x="1232" s="1"/>
        <i x="1173" s="1"/>
        <i x="491" s="1"/>
        <i x="1006" s="1"/>
        <i x="1014" s="1"/>
        <i x="917" s="1"/>
        <i x="617" s="1"/>
        <i x="825" s="1"/>
        <i x="832" s="1"/>
        <i x="697" s="1"/>
        <i x="1412" s="1"/>
        <i x="1405" s="1"/>
        <i x="321" s="1"/>
        <i x="1084" s="1"/>
        <i x="54" s="1"/>
        <i x="1330" s="1"/>
        <i x="969" s="1"/>
        <i x="1130" s="1"/>
        <i x="847" s="1"/>
        <i x="1028" s="1"/>
        <i x="567" s="1"/>
        <i x="603" s="1"/>
        <i x="395" s="1"/>
        <i x="1033" s="1"/>
        <i x="1363" s="1"/>
        <i x="1409" s="1"/>
        <i x="965" s="1"/>
        <i x="1043" s="1"/>
        <i x="707" s="1"/>
        <i x="1122" s="1"/>
        <i x="402" s="1"/>
        <i x="597" s="1"/>
        <i x="1139" s="1"/>
        <i x="583" s="1"/>
        <i x="991" s="1"/>
        <i x="1154" s="1"/>
        <i x="1069" s="1"/>
        <i x="1301" s="1"/>
        <i x="608" s="1"/>
        <i x="934" s="1"/>
        <i x="891" s="1"/>
        <i x="31" s="1"/>
        <i x="667" s="1"/>
        <i x="1246" s="1"/>
        <i x="130" s="1"/>
        <i x="860" s="1"/>
        <i x="792" s="1"/>
        <i x="692" s="1"/>
        <i x="1008" s="1"/>
        <i x="1074" s="1"/>
        <i x="1118" s="1"/>
        <i x="880" s="1"/>
        <i x="733" s="1"/>
        <i x="1218" s="1"/>
        <i x="976" s="1"/>
        <i x="256" s="1"/>
        <i x="1016" s="1"/>
        <i x="1037" s="1"/>
        <i x="269" s="1"/>
        <i x="4" s="1"/>
        <i x="798" s="1"/>
        <i x="1106" s="1"/>
        <i x="443" s="1"/>
        <i x="94" s="1"/>
        <i x="218" s="1"/>
        <i x="525" s="1"/>
        <i x="558" s="1"/>
        <i x="1189" s="1"/>
        <i x="1311" s="1"/>
        <i x="1411" s="1"/>
        <i x="995" s="1"/>
        <i x="1458" s="1"/>
        <i x="145" s="1"/>
        <i x="1168" s="1"/>
        <i x="920" s="1"/>
        <i x="1187" s="1"/>
        <i x="1021" s="1"/>
        <i x="423" s="1"/>
        <i x="913" s="1"/>
        <i x="1013" s="1"/>
        <i x="1026" s="1"/>
        <i x="1206" s="1"/>
        <i x="1065" s="1"/>
        <i x="265" s="1"/>
        <i x="1471" s="1"/>
        <i x="810" s="1"/>
        <i x="147" s="1"/>
        <i x="397" s="1"/>
        <i x="1347" s="1"/>
        <i x="1319" s="1"/>
        <i x="1032" s="1"/>
        <i x="775" s="1"/>
        <i x="401" s="1"/>
        <i x="499" s="1"/>
        <i x="1082" s="1"/>
        <i x="405" s="1"/>
        <i x="1003" s="1"/>
        <i x="742" s="1"/>
        <i x="1131" s="1"/>
        <i x="1295" s="1"/>
        <i x="1104" s="1"/>
        <i x="1466" s="1"/>
        <i x="1124" s="1"/>
        <i x="217" s="1"/>
        <i x="306" s="1"/>
        <i x="1112" s="1"/>
        <i x="951" s="1"/>
        <i x="640" s="1"/>
        <i x="1457" s="1"/>
        <i x="777" s="1"/>
        <i x="962" s="1"/>
        <i x="763" s="1"/>
        <i x="1171" s="1"/>
        <i x="769" s="1"/>
        <i x="52" s="1"/>
        <i x="93" s="1"/>
        <i x="1349" s="1"/>
        <i x="1199" s="1"/>
        <i x="461" s="1"/>
        <i x="333" s="1"/>
        <i x="233" s="1"/>
        <i x="627" s="1"/>
        <i x="158" s="1"/>
        <i x="554" s="1"/>
        <i x="924" s="1"/>
        <i x="296" s="1"/>
        <i x="117" s="1"/>
        <i x="1365" s="1"/>
        <i x="1060" s="1"/>
        <i x="619" s="1"/>
        <i x="915" s="1"/>
        <i x="557" s="1"/>
        <i x="1159" s="1"/>
        <i x="435" s="1"/>
        <i x="1467" s="1"/>
        <i x="884" s="1"/>
        <i x="1445" s="1"/>
        <i x="1475" s="1"/>
        <i x="445" s="1"/>
        <i x="936" s="1"/>
        <i x="50" s="1"/>
        <i x="929" s="1"/>
        <i x="1460" s="1"/>
        <i x="1371" s="1"/>
        <i x="840" s="1"/>
        <i x="638" s="1"/>
        <i x="639" s="1"/>
        <i x="457" s="1"/>
        <i x="493" s="1"/>
        <i x="1054" s="1"/>
        <i x="1359" s="1"/>
        <i x="592" s="1"/>
        <i x="879" s="1"/>
        <i x="912" s="1"/>
        <i x="223" s="1"/>
        <i x="197" s="1"/>
        <i x="756" s="1"/>
        <i x="1049" s="1"/>
        <i x="114" s="1"/>
        <i x="108" s="1"/>
        <i x="767" s="1"/>
        <i x="1030" s="1"/>
        <i x="1391" s="1"/>
        <i x="1226" s="1"/>
        <i x="1194" s="1"/>
        <i x="508" s="1"/>
        <i x="1351" s="1"/>
        <i x="780" s="1"/>
        <i x="737" s="1"/>
        <i x="79" s="1"/>
        <i x="417" s="1"/>
        <i x="1113" s="1"/>
        <i x="805" s="1"/>
        <i x="303" s="1"/>
        <i x="1418" s="1"/>
        <i x="979" s="1"/>
        <i x="753" s="1"/>
        <i x="908" s="1"/>
        <i x="351" s="1"/>
        <i x="87" s="1"/>
        <i x="19" s="1"/>
        <i x="568" s="1"/>
        <i x="846" s="1"/>
        <i x="942" s="1"/>
        <i x="275" s="1"/>
        <i x="794" s="1"/>
        <i x="1356" s="1"/>
        <i x="1452" s="1"/>
        <i x="312" s="1"/>
        <i x="335" s="1"/>
        <i x="571" s="1"/>
        <i x="709" s="1"/>
        <i x="1410" s="1"/>
        <i x="44" s="1"/>
        <i x="160" s="1"/>
        <i x="1299" s="1"/>
        <i x="671" s="1"/>
        <i x="1468" s="1"/>
        <i x="458" s="1"/>
        <i x="370" s="1"/>
        <i x="1383" s="1"/>
        <i x="1472" s="1"/>
        <i x="449" s="1"/>
        <i x="1323" s="1"/>
        <i x="1348" s="1"/>
        <i x="21" s="1"/>
        <i x="523" s="1"/>
        <i x="280" s="1"/>
        <i x="259" s="1"/>
        <i x="60" s="1"/>
        <i x="1147" s="1"/>
        <i x="532" s="1"/>
        <i x="989" s="1"/>
        <i x="161" s="1"/>
        <i x="1269" s="1"/>
        <i x="1296" s="1"/>
        <i x="211" s="1"/>
        <i x="481" s="1"/>
        <i x="1456" s="1"/>
        <i x="1474" s="1"/>
        <i x="1360" s="1"/>
        <i x="1265" s="1"/>
        <i x="1325" s="1"/>
        <i x="1229" s="1"/>
        <i x="570" s="1"/>
        <i x="1417" s="1"/>
        <i x="283" s="1"/>
        <i x="660" s="1"/>
        <i x="1137" s="1"/>
        <i x="605" s="1"/>
        <i x="1155" s="1"/>
        <i x="204" s="1"/>
        <i x="1095" s="1"/>
        <i x="1151" s="1"/>
        <i x="1144" s="1"/>
        <i x="850" s="1"/>
        <i x="658" s="1"/>
        <i x="1149" s="1"/>
        <i x="1087" s="1"/>
        <i x="1343" s="1"/>
        <i x="531" s="1"/>
        <i x="492" s="1"/>
        <i x="582" s="1"/>
        <i x="153" s="1"/>
        <i x="368" s="1"/>
        <i x="1202" s="1"/>
        <i x="712" s="1"/>
        <i x="633" s="1"/>
        <i x="559" s="1"/>
        <i x="1186" s="1"/>
        <i x="1275" s="1"/>
        <i x="937" s="1"/>
        <i x="1428" s="1"/>
        <i x="441" s="1"/>
        <i x="494" s="1"/>
        <i x="1399" s="1"/>
        <i x="324" s="1"/>
        <i x="5" s="1"/>
        <i x="125" s="1"/>
        <i x="236" s="1"/>
        <i x="484" s="1"/>
        <i x="845" s="1"/>
        <i x="693" s="1"/>
        <i x="987" s="1"/>
        <i x="943" s="1"/>
        <i x="655" s="1"/>
        <i x="472" s="1"/>
        <i x="1257" s="1"/>
        <i x="800" s="1"/>
        <i x="875" s="1"/>
        <i x="1089" s="1"/>
        <i x="1142" s="1"/>
        <i x="229" s="1"/>
        <i x="972" s="1"/>
        <i x="1111" s="1"/>
        <i x="584" s="1"/>
        <i x="579" s="1"/>
        <i x="809" s="1"/>
        <i x="189" s="1"/>
        <i x="322" s="1"/>
        <i x="1352" s="1"/>
        <i x="1398" s="1"/>
        <i x="1317" s="1"/>
        <i x="1313" s="1"/>
        <i x="1129" s="1"/>
        <i x="1316" s="1"/>
        <i x="916" s="1"/>
        <i x="1167" s="1"/>
        <i x="527" s="1"/>
        <i x="1237" s="1"/>
        <i x="634" s="1"/>
        <i x="793" s="1"/>
        <i x="107" s="1"/>
        <i x="1377" s="1"/>
        <i x="874" s="1"/>
        <i x="1009" s="1"/>
        <i x="1462" s="1"/>
        <i x="138" s="1"/>
        <i x="2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4A9669FD-C627-4633-AFA1-952393B7350F}" cache="Slicer_OrderID" caption="OrderID" rowHeight="241300"/>
  <slicer name="purchases type" xr10:uid="{700E5263-70F7-4C61-997A-FEBACCF015FF}" cache="Slicer_purchases_type" caption="purchases type" rowHeight="241300"/>
  <slicer name="Region" xr10:uid="{D240DAB7-DA39-4AE1-A786-99C71C07D6E3}" cache="Slicer_Region" caption="Region" startItem="1" rowHeight="241300"/>
  <slicer name="PaymentMethod" xr10:uid="{63D52598-60FD-4B29-A961-EB25E08A3328}" cache="Slicer_PaymentMethod" caption="PaymentMethod" startItem="2" rowHeight="241300"/>
  <slicer name="Region 1" xr10:uid="{8DCE9A47-78D8-4E4A-A6B6-C5BE9C2A1ECB}" cache="Slicer_Region1" caption="Region" rowHeight="241300"/>
  <slicer name="UnitPrice" xr10:uid="{0D089962-9F01-40D4-942F-BE3FF3B166BB}" cache="Slicer_UnitPrice" caption="UnitPri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7B4F6A-4DEA-4EE4-9537-DFAA4A8B99BE}" name="Table1" displayName="Table1" ref="A1:J1501" totalsRowShown="0">
  <autoFilter ref="A1:J1501" xr:uid="{8B7B4F6A-4DEA-4EE4-9537-DFAA4A8B99BE}"/>
  <tableColumns count="10">
    <tableColumn id="1" xr3:uid="{5D652E0C-06B2-440B-9B43-CD37BC0EBA56}" name="OrderID"/>
    <tableColumn id="2" xr3:uid="{E8522700-5914-47FA-B932-B4A7D4A0E1C0}" name="CustomerID"/>
    <tableColumn id="3" xr3:uid="{C00A0F09-52E9-4A47-8B47-1726EC02A698}" name="OrderDate" dataDxfId="0"/>
    <tableColumn id="4" xr3:uid="{4A64EB21-7016-42BC-885D-9E92CFEB21D1}" name="Category"/>
    <tableColumn id="5" xr3:uid="{C2FBC2DB-54D4-4DCE-BAF0-8526C674180C}" name="Region"/>
    <tableColumn id="6" xr3:uid="{D348BE7C-F349-49C7-942D-C0113BF11F22}" name="Quantity"/>
    <tableColumn id="7" xr3:uid="{086842F3-5EC9-4247-A266-FEF053DD2C1E}" name="UnitPrice"/>
    <tableColumn id="8" xr3:uid="{40F51926-7DD9-48F6-A647-C449E9CA8B36}" name="Revenue"/>
    <tableColumn id="9" xr3:uid="{DA6E8AA7-4F08-44B9-A77E-65B18F94ABBF}" name="PaymentMethod"/>
    <tableColumn id="10" xr3:uid="{BAEC6AFD-D727-4B8D-8D6A-96D1F8B31F6C}" name="purchases type">
      <calculatedColumnFormula>IF(COUNTIF($B:$B,B2)&gt;1,"Repeat Customer","New Customer")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A62C-DFA1-4B55-9712-2F2C6C4FDAC6}">
  <dimension ref="A3:J15"/>
  <sheetViews>
    <sheetView workbookViewId="0">
      <selection activeCell="F19" sqref="F19:F20"/>
    </sheetView>
  </sheetViews>
  <sheetFormatPr defaultRowHeight="15" x14ac:dyDescent="0.25"/>
  <cols>
    <col min="1" max="1" width="14.7109375" bestFit="1" customWidth="1"/>
    <col min="2" max="2" width="16.28515625" bestFit="1" customWidth="1"/>
    <col min="3" max="3" width="16.42578125" bestFit="1" customWidth="1"/>
    <col min="4" max="4" width="11.28515625" bestFit="1" customWidth="1"/>
    <col min="6" max="6" width="13.140625" bestFit="1" customWidth="1"/>
    <col min="7" max="7" width="16" bestFit="1" customWidth="1"/>
    <col min="9" max="9" width="13.140625" bestFit="1" customWidth="1"/>
    <col min="10" max="10" width="16" bestFit="1" customWidth="1"/>
  </cols>
  <sheetData>
    <row r="3" spans="1:10" x14ac:dyDescent="0.25">
      <c r="A3" s="2" t="s">
        <v>327</v>
      </c>
      <c r="B3" s="2" t="s">
        <v>328</v>
      </c>
      <c r="F3" s="2" t="s">
        <v>322</v>
      </c>
      <c r="G3" t="s">
        <v>324</v>
      </c>
      <c r="I3" s="2" t="s">
        <v>322</v>
      </c>
      <c r="J3" t="s">
        <v>325</v>
      </c>
    </row>
    <row r="4" spans="1:10" x14ac:dyDescent="0.25">
      <c r="A4" s="2" t="s">
        <v>322</v>
      </c>
      <c r="B4" t="s">
        <v>329</v>
      </c>
      <c r="C4" t="s">
        <v>330</v>
      </c>
      <c r="D4" t="s">
        <v>323</v>
      </c>
      <c r="F4" s="3" t="s">
        <v>19</v>
      </c>
      <c r="G4">
        <v>482526.12000000017</v>
      </c>
      <c r="I4" s="3" t="s">
        <v>12</v>
      </c>
      <c r="J4">
        <v>90964.520000000091</v>
      </c>
    </row>
    <row r="5" spans="1:10" x14ac:dyDescent="0.25">
      <c r="A5" s="3">
        <v>1</v>
      </c>
      <c r="B5">
        <v>42089</v>
      </c>
      <c r="C5">
        <v>1436425</v>
      </c>
      <c r="D5">
        <v>1478514</v>
      </c>
      <c r="F5" s="3" t="s">
        <v>11</v>
      </c>
      <c r="G5">
        <v>544442.20000000007</v>
      </c>
      <c r="I5" s="3" t="s">
        <v>22</v>
      </c>
      <c r="J5">
        <v>98975.989999999991</v>
      </c>
    </row>
    <row r="6" spans="1:10" x14ac:dyDescent="0.25">
      <c r="A6" s="3">
        <v>2</v>
      </c>
      <c r="B6">
        <v>22163</v>
      </c>
      <c r="C6">
        <v>1655332</v>
      </c>
      <c r="D6">
        <v>1677495</v>
      </c>
      <c r="F6" s="3" t="s">
        <v>25</v>
      </c>
      <c r="G6">
        <v>549225.4099999998</v>
      </c>
      <c r="I6" s="3" t="s">
        <v>14</v>
      </c>
      <c r="J6">
        <v>96901.909999999931</v>
      </c>
    </row>
    <row r="7" spans="1:10" x14ac:dyDescent="0.25">
      <c r="A7" s="3">
        <v>3</v>
      </c>
      <c r="B7">
        <v>11124</v>
      </c>
      <c r="C7">
        <v>1759439</v>
      </c>
      <c r="D7">
        <v>1770563</v>
      </c>
      <c r="F7" s="3" t="s">
        <v>31</v>
      </c>
      <c r="G7">
        <v>541985.99999999977</v>
      </c>
      <c r="I7" s="3" t="s">
        <v>32</v>
      </c>
      <c r="J7">
        <v>95504.780000000101</v>
      </c>
    </row>
    <row r="8" spans="1:10" x14ac:dyDescent="0.25">
      <c r="A8" s="3">
        <v>4</v>
      </c>
      <c r="B8">
        <v>21985</v>
      </c>
      <c r="C8">
        <v>1393146</v>
      </c>
      <c r="D8">
        <v>1415131</v>
      </c>
      <c r="F8" s="3" t="s">
        <v>323</v>
      </c>
      <c r="G8">
        <v>2118179.7299999995</v>
      </c>
      <c r="I8" s="3" t="s">
        <v>323</v>
      </c>
      <c r="J8">
        <v>382347.20000000007</v>
      </c>
    </row>
    <row r="9" spans="1:10" x14ac:dyDescent="0.25">
      <c r="A9" s="3">
        <v>5</v>
      </c>
      <c r="C9">
        <v>1568830</v>
      </c>
      <c r="D9">
        <v>1568830</v>
      </c>
    </row>
    <row r="10" spans="1:10" x14ac:dyDescent="0.25">
      <c r="A10" s="3">
        <v>6</v>
      </c>
      <c r="C10">
        <v>1808826</v>
      </c>
      <c r="D10">
        <v>1808826</v>
      </c>
      <c r="F10" s="2" t="s">
        <v>322</v>
      </c>
      <c r="G10" t="s">
        <v>325</v>
      </c>
      <c r="I10" s="2" t="s">
        <v>322</v>
      </c>
      <c r="J10" t="s">
        <v>326</v>
      </c>
    </row>
    <row r="11" spans="1:10" x14ac:dyDescent="0.25">
      <c r="A11" s="3">
        <v>7</v>
      </c>
      <c r="B11">
        <v>11390</v>
      </c>
      <c r="C11">
        <v>1625667</v>
      </c>
      <c r="D11">
        <v>1637057</v>
      </c>
      <c r="F11" s="3" t="s">
        <v>19</v>
      </c>
      <c r="G11">
        <v>90954.820000000094</v>
      </c>
      <c r="I11" s="3" t="s">
        <v>19</v>
      </c>
      <c r="J11">
        <v>354</v>
      </c>
    </row>
    <row r="12" spans="1:10" x14ac:dyDescent="0.25">
      <c r="A12" s="3">
        <v>8</v>
      </c>
      <c r="B12">
        <v>20134</v>
      </c>
      <c r="C12">
        <v>1662528</v>
      </c>
      <c r="D12">
        <v>1682662</v>
      </c>
      <c r="F12" s="3" t="s">
        <v>11</v>
      </c>
      <c r="G12">
        <v>95540.760000000009</v>
      </c>
      <c r="I12" s="3" t="s">
        <v>11</v>
      </c>
      <c r="J12">
        <v>376</v>
      </c>
    </row>
    <row r="13" spans="1:10" x14ac:dyDescent="0.25">
      <c r="A13" s="3">
        <v>9</v>
      </c>
      <c r="B13">
        <v>20883</v>
      </c>
      <c r="C13">
        <v>1542453</v>
      </c>
      <c r="D13">
        <v>1563336</v>
      </c>
      <c r="F13" s="3" t="s">
        <v>25</v>
      </c>
      <c r="G13">
        <v>98618.770000000019</v>
      </c>
      <c r="I13" s="3" t="s">
        <v>25</v>
      </c>
      <c r="J13">
        <v>382</v>
      </c>
    </row>
    <row r="14" spans="1:10" x14ac:dyDescent="0.25">
      <c r="A14" s="3">
        <v>10</v>
      </c>
      <c r="C14">
        <v>1523336</v>
      </c>
      <c r="D14">
        <v>1523336</v>
      </c>
      <c r="F14" s="3" t="s">
        <v>31</v>
      </c>
      <c r="G14">
        <v>97232.849999999991</v>
      </c>
      <c r="I14" s="3" t="s">
        <v>31</v>
      </c>
      <c r="J14">
        <v>388</v>
      </c>
    </row>
    <row r="15" spans="1:10" x14ac:dyDescent="0.25">
      <c r="A15" s="3" t="s">
        <v>323</v>
      </c>
      <c r="B15">
        <v>149768</v>
      </c>
      <c r="C15">
        <v>15975982</v>
      </c>
      <c r="D15">
        <v>16125750</v>
      </c>
      <c r="F15" s="3" t="s">
        <v>323</v>
      </c>
      <c r="G15">
        <v>382347.20000000007</v>
      </c>
      <c r="I15" s="3" t="s">
        <v>323</v>
      </c>
      <c r="J15">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BEAD-1FC1-4F77-BDD6-21E8700E06AD}">
  <dimension ref="A1:P1501"/>
  <sheetViews>
    <sheetView topLeftCell="D1" workbookViewId="0">
      <selection activeCell="M14" sqref="M14"/>
    </sheetView>
  </sheetViews>
  <sheetFormatPr defaultRowHeight="15" x14ac:dyDescent="0.25"/>
  <cols>
    <col min="1" max="1" width="10.140625" customWidth="1"/>
    <col min="2" max="2" width="13.5703125" customWidth="1"/>
    <col min="3" max="3" width="17" customWidth="1"/>
    <col min="4" max="4" width="11" customWidth="1"/>
    <col min="5" max="5" width="9.28515625" customWidth="1"/>
    <col min="6" max="6" width="10.85546875" customWidth="1"/>
    <col min="7" max="7" width="11.42578125" customWidth="1"/>
    <col min="8" max="8" width="11" customWidth="1"/>
    <col min="9" max="9" width="20.42578125" customWidth="1"/>
    <col min="10" max="10" width="19.5703125" customWidth="1"/>
    <col min="12" max="12" width="22" customWidth="1"/>
    <col min="13" max="13" width="13.5703125" style="9" customWidth="1"/>
    <col min="16" max="16" width="16.85546875" customWidth="1"/>
  </cols>
  <sheetData>
    <row r="1" spans="1:16" x14ac:dyDescent="0.25">
      <c r="A1" t="s">
        <v>0</v>
      </c>
      <c r="B1" t="s">
        <v>1</v>
      </c>
      <c r="C1" t="s">
        <v>2</v>
      </c>
      <c r="D1" t="s">
        <v>3</v>
      </c>
      <c r="E1" t="s">
        <v>4</v>
      </c>
      <c r="F1" t="s">
        <v>5</v>
      </c>
      <c r="G1" t="s">
        <v>6</v>
      </c>
      <c r="H1" t="s">
        <v>7</v>
      </c>
      <c r="I1" t="s">
        <v>8</v>
      </c>
      <c r="J1" t="s">
        <v>321</v>
      </c>
    </row>
    <row r="2" spans="1:16" x14ac:dyDescent="0.25">
      <c r="A2">
        <v>10445</v>
      </c>
      <c r="B2" t="s">
        <v>240</v>
      </c>
      <c r="C2" s="1">
        <v>45965</v>
      </c>
      <c r="D2" t="s">
        <v>16</v>
      </c>
      <c r="E2" t="s">
        <v>11</v>
      </c>
      <c r="F2">
        <v>7</v>
      </c>
      <c r="G2">
        <v>425.26</v>
      </c>
      <c r="H2">
        <v>2976.82</v>
      </c>
      <c r="I2" t="s">
        <v>14</v>
      </c>
      <c r="J2" t="str">
        <f t="shared" ref="J2:J65" si="0">IF(COUNTIF($B:$B,B2)&gt;1,"Repeat Customer","New Customer")</f>
        <v>Repeat Customer</v>
      </c>
    </row>
    <row r="3" spans="1:16" x14ac:dyDescent="0.25">
      <c r="A3">
        <v>10478</v>
      </c>
      <c r="B3" t="s">
        <v>240</v>
      </c>
      <c r="C3" s="1">
        <v>46010</v>
      </c>
      <c r="D3" t="s">
        <v>18</v>
      </c>
      <c r="E3" t="s">
        <v>11</v>
      </c>
      <c r="F3">
        <v>10</v>
      </c>
      <c r="G3">
        <v>198.84</v>
      </c>
      <c r="H3">
        <v>1988.4</v>
      </c>
      <c r="I3" t="s">
        <v>14</v>
      </c>
      <c r="J3" t="str">
        <f t="shared" si="0"/>
        <v>Repeat Customer</v>
      </c>
    </row>
    <row r="4" spans="1:16" x14ac:dyDescent="0.25">
      <c r="A4">
        <v>10727</v>
      </c>
      <c r="B4" t="s">
        <v>240</v>
      </c>
      <c r="C4" s="1">
        <v>45945</v>
      </c>
      <c r="D4" t="s">
        <v>10</v>
      </c>
      <c r="E4" t="s">
        <v>11</v>
      </c>
      <c r="F4">
        <v>9</v>
      </c>
      <c r="G4">
        <v>192.63</v>
      </c>
      <c r="H4">
        <v>1733.67</v>
      </c>
      <c r="I4" t="s">
        <v>22</v>
      </c>
      <c r="J4" t="str">
        <f t="shared" si="0"/>
        <v>Repeat Customer</v>
      </c>
    </row>
    <row r="5" spans="1:16" x14ac:dyDescent="0.25">
      <c r="A5">
        <v>11168</v>
      </c>
      <c r="B5" t="s">
        <v>240</v>
      </c>
      <c r="C5" s="1">
        <v>45353</v>
      </c>
      <c r="D5" t="s">
        <v>16</v>
      </c>
      <c r="E5" t="s">
        <v>31</v>
      </c>
      <c r="F5">
        <v>8</v>
      </c>
      <c r="G5">
        <v>140.28</v>
      </c>
      <c r="H5">
        <v>1122.24</v>
      </c>
      <c r="I5" t="s">
        <v>22</v>
      </c>
      <c r="J5" t="str">
        <f t="shared" si="0"/>
        <v>Repeat Customer</v>
      </c>
      <c r="L5" s="10" t="s">
        <v>331</v>
      </c>
      <c r="M5" s="10" t="s">
        <v>332</v>
      </c>
    </row>
    <row r="6" spans="1:16" x14ac:dyDescent="0.25">
      <c r="A6">
        <v>11351</v>
      </c>
      <c r="B6" t="s">
        <v>240</v>
      </c>
      <c r="C6" s="1">
        <v>45546</v>
      </c>
      <c r="D6" t="s">
        <v>18</v>
      </c>
      <c r="E6" t="s">
        <v>19</v>
      </c>
      <c r="F6">
        <v>5</v>
      </c>
      <c r="G6">
        <v>27.85</v>
      </c>
      <c r="H6">
        <v>139.25</v>
      </c>
      <c r="I6" t="s">
        <v>32</v>
      </c>
      <c r="J6" t="str">
        <f t="shared" si="0"/>
        <v>Repeat Customer</v>
      </c>
      <c r="L6" s="11" t="s">
        <v>333</v>
      </c>
      <c r="M6" s="12">
        <f>SUM(H2:H1501)</f>
        <v>2118179.7299999986</v>
      </c>
    </row>
    <row r="7" spans="1:16" ht="15" customHeight="1" x14ac:dyDescent="0.25">
      <c r="A7">
        <v>11434</v>
      </c>
      <c r="B7" t="s">
        <v>240</v>
      </c>
      <c r="C7" s="1">
        <v>45521</v>
      </c>
      <c r="D7" t="s">
        <v>21</v>
      </c>
      <c r="E7" t="s">
        <v>25</v>
      </c>
      <c r="F7">
        <v>1</v>
      </c>
      <c r="G7">
        <v>117.2</v>
      </c>
      <c r="H7">
        <v>117.2</v>
      </c>
      <c r="I7" t="s">
        <v>22</v>
      </c>
      <c r="J7" t="str">
        <f t="shared" si="0"/>
        <v>Repeat Customer</v>
      </c>
      <c r="L7" s="11" t="s">
        <v>334</v>
      </c>
      <c r="M7" s="13">
        <f>SUM(F2:F1501)</f>
        <v>8244</v>
      </c>
    </row>
    <row r="8" spans="1:16" ht="15" customHeight="1" x14ac:dyDescent="0.25">
      <c r="A8">
        <v>10018</v>
      </c>
      <c r="B8" t="s">
        <v>38</v>
      </c>
      <c r="C8" s="1">
        <v>45561</v>
      </c>
      <c r="D8" t="s">
        <v>18</v>
      </c>
      <c r="E8" t="s">
        <v>11</v>
      </c>
      <c r="F8">
        <v>9</v>
      </c>
      <c r="G8">
        <v>382.17</v>
      </c>
      <c r="H8">
        <v>3439.53</v>
      </c>
      <c r="I8" t="s">
        <v>22</v>
      </c>
      <c r="J8" t="str">
        <f t="shared" si="0"/>
        <v>Repeat Customer</v>
      </c>
      <c r="L8" s="11" t="s">
        <v>335</v>
      </c>
      <c r="M8" s="14">
        <f>AVERAGE(H2:H1501)</f>
        <v>1412.119819999999</v>
      </c>
    </row>
    <row r="9" spans="1:16" ht="15" customHeight="1" x14ac:dyDescent="0.25">
      <c r="A9">
        <v>10112</v>
      </c>
      <c r="B9" t="s">
        <v>38</v>
      </c>
      <c r="C9" s="1">
        <v>45710</v>
      </c>
      <c r="D9" t="s">
        <v>21</v>
      </c>
      <c r="E9" t="s">
        <v>19</v>
      </c>
      <c r="F9">
        <v>8</v>
      </c>
      <c r="G9">
        <v>346.24</v>
      </c>
      <c r="H9">
        <v>2769.92</v>
      </c>
      <c r="I9" t="s">
        <v>12</v>
      </c>
      <c r="J9" t="str">
        <f t="shared" si="0"/>
        <v>Repeat Customer</v>
      </c>
      <c r="L9" s="11" t="s">
        <v>337</v>
      </c>
      <c r="M9" s="14">
        <v>4</v>
      </c>
    </row>
    <row r="10" spans="1:16" ht="15" customHeight="1" x14ac:dyDescent="0.25">
      <c r="A10">
        <v>10131</v>
      </c>
      <c r="B10" t="s">
        <v>38</v>
      </c>
      <c r="C10" s="1">
        <v>45581</v>
      </c>
      <c r="D10" t="s">
        <v>18</v>
      </c>
      <c r="E10" t="s">
        <v>31</v>
      </c>
      <c r="F10">
        <v>5</v>
      </c>
      <c r="G10">
        <v>419.55</v>
      </c>
      <c r="H10">
        <v>2097.75</v>
      </c>
      <c r="I10" t="s">
        <v>14</v>
      </c>
      <c r="J10" t="str">
        <f t="shared" si="0"/>
        <v>Repeat Customer</v>
      </c>
      <c r="L10" s="11" t="s">
        <v>336</v>
      </c>
      <c r="M10" s="13">
        <v>5</v>
      </c>
    </row>
    <row r="11" spans="1:16" ht="14.25" customHeight="1" x14ac:dyDescent="0.25">
      <c r="A11">
        <v>10796</v>
      </c>
      <c r="B11" t="s">
        <v>38</v>
      </c>
      <c r="C11" s="1">
        <v>45929</v>
      </c>
      <c r="D11" t="s">
        <v>21</v>
      </c>
      <c r="E11" t="s">
        <v>31</v>
      </c>
      <c r="F11">
        <v>5</v>
      </c>
      <c r="G11">
        <v>11.04</v>
      </c>
      <c r="H11">
        <v>55.2</v>
      </c>
      <c r="I11" t="s">
        <v>12</v>
      </c>
      <c r="J11" t="str">
        <f t="shared" si="0"/>
        <v>Repeat Customer</v>
      </c>
    </row>
    <row r="12" spans="1:16" x14ac:dyDescent="0.25">
      <c r="A12">
        <v>11184</v>
      </c>
      <c r="B12" t="s">
        <v>38</v>
      </c>
      <c r="C12" s="1">
        <v>45729</v>
      </c>
      <c r="D12" t="s">
        <v>16</v>
      </c>
      <c r="E12" t="s">
        <v>31</v>
      </c>
      <c r="F12">
        <v>1</v>
      </c>
      <c r="G12">
        <v>427.66</v>
      </c>
      <c r="H12">
        <v>427.66</v>
      </c>
      <c r="I12" t="s">
        <v>32</v>
      </c>
      <c r="J12" t="str">
        <f t="shared" si="0"/>
        <v>Repeat Customer</v>
      </c>
    </row>
    <row r="13" spans="1:16" x14ac:dyDescent="0.25">
      <c r="A13">
        <v>11207</v>
      </c>
      <c r="B13" t="s">
        <v>38</v>
      </c>
      <c r="C13" s="1">
        <v>45946</v>
      </c>
      <c r="D13" t="s">
        <v>21</v>
      </c>
      <c r="E13" t="s">
        <v>25</v>
      </c>
      <c r="F13">
        <v>4</v>
      </c>
      <c r="G13">
        <v>348.14</v>
      </c>
      <c r="H13">
        <v>1392.56</v>
      </c>
      <c r="I13" t="s">
        <v>14</v>
      </c>
      <c r="J13" t="str">
        <f t="shared" si="0"/>
        <v>Repeat Customer</v>
      </c>
    </row>
    <row r="14" spans="1:16" x14ac:dyDescent="0.25">
      <c r="A14">
        <v>10537</v>
      </c>
      <c r="B14" t="s">
        <v>261</v>
      </c>
      <c r="C14" s="1">
        <v>45933</v>
      </c>
      <c r="D14" t="s">
        <v>16</v>
      </c>
      <c r="E14" t="s">
        <v>19</v>
      </c>
      <c r="F14">
        <v>4</v>
      </c>
      <c r="G14">
        <v>117</v>
      </c>
      <c r="H14">
        <v>468</v>
      </c>
      <c r="I14" t="s">
        <v>14</v>
      </c>
      <c r="J14" t="str">
        <f t="shared" si="0"/>
        <v>Repeat Customer</v>
      </c>
      <c r="M14"/>
      <c r="O14" s="4"/>
      <c r="P14" s="5"/>
    </row>
    <row r="15" spans="1:16" x14ac:dyDescent="0.25">
      <c r="A15">
        <v>10910</v>
      </c>
      <c r="B15" t="s">
        <v>261</v>
      </c>
      <c r="C15" s="1">
        <v>45863</v>
      </c>
      <c r="D15" t="s">
        <v>18</v>
      </c>
      <c r="E15" t="s">
        <v>11</v>
      </c>
      <c r="F15">
        <v>4</v>
      </c>
      <c r="G15">
        <v>99.99</v>
      </c>
      <c r="H15">
        <v>399.96</v>
      </c>
      <c r="I15" t="s">
        <v>22</v>
      </c>
      <c r="J15" t="str">
        <f t="shared" si="0"/>
        <v>Repeat Customer</v>
      </c>
      <c r="N15" s="4"/>
      <c r="O15" s="6"/>
    </row>
    <row r="16" spans="1:16" x14ac:dyDescent="0.25">
      <c r="A16">
        <v>11174</v>
      </c>
      <c r="B16" t="s">
        <v>261</v>
      </c>
      <c r="C16" s="1">
        <v>45301</v>
      </c>
      <c r="D16" t="s">
        <v>21</v>
      </c>
      <c r="E16" t="s">
        <v>31</v>
      </c>
      <c r="F16">
        <v>3</v>
      </c>
      <c r="G16">
        <v>209.52</v>
      </c>
      <c r="H16">
        <v>628.55999999999995</v>
      </c>
      <c r="I16" t="s">
        <v>12</v>
      </c>
      <c r="J16" t="str">
        <f t="shared" si="0"/>
        <v>Repeat Customer</v>
      </c>
      <c r="O16" s="4"/>
      <c r="P16" s="5"/>
    </row>
    <row r="17" spans="1:16" x14ac:dyDescent="0.25">
      <c r="A17">
        <v>10184</v>
      </c>
      <c r="B17" t="s">
        <v>153</v>
      </c>
      <c r="C17" s="1">
        <v>45477</v>
      </c>
      <c r="D17" t="s">
        <v>21</v>
      </c>
      <c r="E17" t="s">
        <v>11</v>
      </c>
      <c r="F17">
        <v>3</v>
      </c>
      <c r="G17">
        <v>285.33</v>
      </c>
      <c r="H17">
        <v>855.99</v>
      </c>
      <c r="I17" t="s">
        <v>14</v>
      </c>
      <c r="J17" t="str">
        <f t="shared" si="0"/>
        <v>Repeat Customer</v>
      </c>
      <c r="O17" s="4"/>
      <c r="P17" s="4"/>
    </row>
    <row r="18" spans="1:16" x14ac:dyDescent="0.25">
      <c r="A18">
        <v>10192</v>
      </c>
      <c r="B18" t="s">
        <v>153</v>
      </c>
      <c r="C18" s="1">
        <v>45801</v>
      </c>
      <c r="D18" t="s">
        <v>21</v>
      </c>
      <c r="E18" t="s">
        <v>25</v>
      </c>
      <c r="F18">
        <v>7</v>
      </c>
      <c r="G18">
        <v>91.97</v>
      </c>
      <c r="H18">
        <v>643.79</v>
      </c>
      <c r="I18" t="s">
        <v>22</v>
      </c>
      <c r="J18" t="str">
        <f t="shared" si="0"/>
        <v>Repeat Customer</v>
      </c>
      <c r="O18" s="4"/>
    </row>
    <row r="19" spans="1:16" x14ac:dyDescent="0.25">
      <c r="A19">
        <v>10444</v>
      </c>
      <c r="B19" t="s">
        <v>153</v>
      </c>
      <c r="C19" s="1">
        <v>45711</v>
      </c>
      <c r="D19" t="s">
        <v>16</v>
      </c>
      <c r="E19" t="s">
        <v>11</v>
      </c>
      <c r="F19">
        <v>1</v>
      </c>
      <c r="G19">
        <v>120.33</v>
      </c>
      <c r="H19">
        <v>120.33</v>
      </c>
      <c r="I19" t="s">
        <v>22</v>
      </c>
      <c r="J19" t="str">
        <f t="shared" si="0"/>
        <v>Repeat Customer</v>
      </c>
    </row>
    <row r="20" spans="1:16" x14ac:dyDescent="0.25">
      <c r="A20">
        <v>11375</v>
      </c>
      <c r="B20" t="s">
        <v>153</v>
      </c>
      <c r="C20" s="1">
        <v>45727</v>
      </c>
      <c r="D20" t="s">
        <v>10</v>
      </c>
      <c r="E20" t="s">
        <v>11</v>
      </c>
      <c r="F20">
        <v>9</v>
      </c>
      <c r="G20">
        <v>376.09</v>
      </c>
      <c r="H20">
        <v>3384.81</v>
      </c>
      <c r="I20" t="s">
        <v>32</v>
      </c>
      <c r="J20" t="str">
        <f t="shared" si="0"/>
        <v>Repeat Customer</v>
      </c>
    </row>
    <row r="21" spans="1:16" x14ac:dyDescent="0.25">
      <c r="A21">
        <v>10144</v>
      </c>
      <c r="B21" t="s">
        <v>129</v>
      </c>
      <c r="C21" s="1">
        <v>45768</v>
      </c>
      <c r="D21" t="s">
        <v>10</v>
      </c>
      <c r="E21" t="s">
        <v>11</v>
      </c>
      <c r="F21">
        <v>5</v>
      </c>
      <c r="G21">
        <v>340.42</v>
      </c>
      <c r="H21">
        <v>1702.1</v>
      </c>
      <c r="I21" t="s">
        <v>32</v>
      </c>
      <c r="J21" t="str">
        <f t="shared" si="0"/>
        <v>Repeat Customer</v>
      </c>
    </row>
    <row r="22" spans="1:16" x14ac:dyDescent="0.25">
      <c r="A22">
        <v>10296</v>
      </c>
      <c r="B22" t="s">
        <v>129</v>
      </c>
      <c r="C22" s="1">
        <v>45597</v>
      </c>
      <c r="D22" t="s">
        <v>16</v>
      </c>
      <c r="E22" t="s">
        <v>19</v>
      </c>
      <c r="F22">
        <v>10</v>
      </c>
      <c r="G22">
        <v>303.38</v>
      </c>
      <c r="H22">
        <v>3033.8</v>
      </c>
      <c r="I22" t="s">
        <v>32</v>
      </c>
      <c r="J22" t="str">
        <f t="shared" si="0"/>
        <v>Repeat Customer</v>
      </c>
    </row>
    <row r="23" spans="1:16" x14ac:dyDescent="0.25">
      <c r="A23">
        <v>10392</v>
      </c>
      <c r="B23" t="s">
        <v>129</v>
      </c>
      <c r="C23" s="1">
        <v>45788</v>
      </c>
      <c r="D23" t="s">
        <v>21</v>
      </c>
      <c r="E23" t="s">
        <v>31</v>
      </c>
      <c r="F23">
        <v>3</v>
      </c>
      <c r="G23">
        <v>101.59</v>
      </c>
      <c r="H23">
        <v>304.77</v>
      </c>
      <c r="I23" t="s">
        <v>32</v>
      </c>
      <c r="J23" t="str">
        <f t="shared" si="0"/>
        <v>Repeat Customer</v>
      </c>
    </row>
    <row r="24" spans="1:16" x14ac:dyDescent="0.25">
      <c r="A24">
        <v>10554</v>
      </c>
      <c r="B24" t="s">
        <v>129</v>
      </c>
      <c r="C24" s="1">
        <v>45433</v>
      </c>
      <c r="D24" t="s">
        <v>21</v>
      </c>
      <c r="E24" t="s">
        <v>19</v>
      </c>
      <c r="F24">
        <v>3</v>
      </c>
      <c r="G24">
        <v>167.69</v>
      </c>
      <c r="H24">
        <v>503.07</v>
      </c>
      <c r="I24" t="s">
        <v>12</v>
      </c>
      <c r="J24" t="str">
        <f t="shared" si="0"/>
        <v>Repeat Customer</v>
      </c>
    </row>
    <row r="25" spans="1:16" x14ac:dyDescent="0.25">
      <c r="A25">
        <v>10704</v>
      </c>
      <c r="B25" t="s">
        <v>129</v>
      </c>
      <c r="C25" s="1">
        <v>45732</v>
      </c>
      <c r="D25" t="s">
        <v>24</v>
      </c>
      <c r="E25" t="s">
        <v>19</v>
      </c>
      <c r="F25">
        <v>5</v>
      </c>
      <c r="G25">
        <v>300.52</v>
      </c>
      <c r="H25">
        <v>1502.6</v>
      </c>
      <c r="I25" t="s">
        <v>14</v>
      </c>
      <c r="J25" t="str">
        <f t="shared" si="0"/>
        <v>Repeat Customer</v>
      </c>
    </row>
    <row r="26" spans="1:16" x14ac:dyDescent="0.25">
      <c r="A26">
        <v>11101</v>
      </c>
      <c r="B26" t="s">
        <v>129</v>
      </c>
      <c r="C26" s="1">
        <v>45397</v>
      </c>
      <c r="D26" t="s">
        <v>21</v>
      </c>
      <c r="E26" t="s">
        <v>19</v>
      </c>
      <c r="F26">
        <v>7</v>
      </c>
      <c r="G26">
        <v>489.85</v>
      </c>
      <c r="H26">
        <v>3428.95</v>
      </c>
      <c r="I26" t="s">
        <v>12</v>
      </c>
      <c r="J26" t="str">
        <f t="shared" si="0"/>
        <v>Repeat Customer</v>
      </c>
    </row>
    <row r="27" spans="1:16" x14ac:dyDescent="0.25">
      <c r="A27">
        <v>11236</v>
      </c>
      <c r="B27" t="s">
        <v>129</v>
      </c>
      <c r="C27" s="1">
        <v>45803</v>
      </c>
      <c r="D27" t="s">
        <v>21</v>
      </c>
      <c r="E27" t="s">
        <v>31</v>
      </c>
      <c r="F27">
        <v>6</v>
      </c>
      <c r="G27">
        <v>173.21</v>
      </c>
      <c r="H27">
        <v>1039.26</v>
      </c>
      <c r="I27" t="s">
        <v>32</v>
      </c>
      <c r="J27" t="str">
        <f t="shared" si="0"/>
        <v>Repeat Customer</v>
      </c>
    </row>
    <row r="28" spans="1:16" x14ac:dyDescent="0.25">
      <c r="A28">
        <v>11383</v>
      </c>
      <c r="B28" t="s">
        <v>129</v>
      </c>
      <c r="C28" s="1">
        <v>45395</v>
      </c>
      <c r="D28" t="s">
        <v>24</v>
      </c>
      <c r="E28" t="s">
        <v>25</v>
      </c>
      <c r="F28">
        <v>7</v>
      </c>
      <c r="G28">
        <v>248.56</v>
      </c>
      <c r="H28">
        <v>1739.92</v>
      </c>
      <c r="I28" t="s">
        <v>32</v>
      </c>
      <c r="J28" t="str">
        <f t="shared" si="0"/>
        <v>Repeat Customer</v>
      </c>
    </row>
    <row r="29" spans="1:16" x14ac:dyDescent="0.25">
      <c r="A29">
        <v>11414</v>
      </c>
      <c r="B29" t="s">
        <v>129</v>
      </c>
      <c r="C29" s="1">
        <v>45817</v>
      </c>
      <c r="D29" t="s">
        <v>18</v>
      </c>
      <c r="E29" t="s">
        <v>19</v>
      </c>
      <c r="F29">
        <v>8</v>
      </c>
      <c r="G29">
        <v>254.39</v>
      </c>
      <c r="H29">
        <v>2035.12</v>
      </c>
      <c r="I29" t="s">
        <v>22</v>
      </c>
      <c r="J29" t="str">
        <f t="shared" si="0"/>
        <v>Repeat Customer</v>
      </c>
    </row>
    <row r="30" spans="1:16" x14ac:dyDescent="0.25">
      <c r="A30">
        <v>10702</v>
      </c>
      <c r="B30" t="s">
        <v>288</v>
      </c>
      <c r="C30" s="1">
        <v>45292</v>
      </c>
      <c r="D30" t="s">
        <v>10</v>
      </c>
      <c r="E30" t="s">
        <v>19</v>
      </c>
      <c r="F30">
        <v>9</v>
      </c>
      <c r="G30">
        <v>408.61</v>
      </c>
      <c r="H30">
        <v>3677.49</v>
      </c>
      <c r="I30" t="s">
        <v>22</v>
      </c>
      <c r="J30" t="str">
        <f t="shared" si="0"/>
        <v>Repeat Customer</v>
      </c>
    </row>
    <row r="31" spans="1:16" x14ac:dyDescent="0.25">
      <c r="A31">
        <v>11209</v>
      </c>
      <c r="B31" t="s">
        <v>288</v>
      </c>
      <c r="C31" s="1">
        <v>45367</v>
      </c>
      <c r="D31" t="s">
        <v>24</v>
      </c>
      <c r="E31" t="s">
        <v>25</v>
      </c>
      <c r="F31">
        <v>6</v>
      </c>
      <c r="G31">
        <v>19.86</v>
      </c>
      <c r="H31">
        <v>119.16</v>
      </c>
      <c r="I31" t="s">
        <v>22</v>
      </c>
      <c r="J31" t="str">
        <f t="shared" si="0"/>
        <v>Repeat Customer</v>
      </c>
    </row>
    <row r="32" spans="1:16" x14ac:dyDescent="0.25">
      <c r="A32">
        <v>11257</v>
      </c>
      <c r="B32" t="s">
        <v>288</v>
      </c>
      <c r="C32" s="1">
        <v>45548</v>
      </c>
      <c r="D32" t="s">
        <v>10</v>
      </c>
      <c r="E32" t="s">
        <v>19</v>
      </c>
      <c r="F32">
        <v>2</v>
      </c>
      <c r="G32">
        <v>356</v>
      </c>
      <c r="H32">
        <v>712</v>
      </c>
      <c r="I32" t="s">
        <v>32</v>
      </c>
      <c r="J32" t="str">
        <f t="shared" si="0"/>
        <v>Repeat Customer</v>
      </c>
    </row>
    <row r="33" spans="1:10" x14ac:dyDescent="0.25">
      <c r="A33">
        <v>11362</v>
      </c>
      <c r="B33" t="s">
        <v>288</v>
      </c>
      <c r="C33" s="1">
        <v>45392</v>
      </c>
      <c r="D33" t="s">
        <v>10</v>
      </c>
      <c r="E33" t="s">
        <v>31</v>
      </c>
      <c r="F33">
        <v>7</v>
      </c>
      <c r="G33">
        <v>489.85</v>
      </c>
      <c r="H33">
        <v>3428.95</v>
      </c>
      <c r="I33" t="s">
        <v>12</v>
      </c>
      <c r="J33" t="str">
        <f t="shared" si="0"/>
        <v>Repeat Customer</v>
      </c>
    </row>
    <row r="34" spans="1:10" x14ac:dyDescent="0.25">
      <c r="A34">
        <v>11455</v>
      </c>
      <c r="B34" t="s">
        <v>288</v>
      </c>
      <c r="C34" s="1">
        <v>45697</v>
      </c>
      <c r="D34" t="s">
        <v>21</v>
      </c>
      <c r="E34" t="s">
        <v>19</v>
      </c>
      <c r="F34">
        <v>7</v>
      </c>
      <c r="G34">
        <v>341.55</v>
      </c>
      <c r="H34">
        <v>2390.85</v>
      </c>
      <c r="I34" t="s">
        <v>22</v>
      </c>
      <c r="J34" t="str">
        <f t="shared" si="0"/>
        <v>Repeat Customer</v>
      </c>
    </row>
    <row r="35" spans="1:10" x14ac:dyDescent="0.25">
      <c r="A35">
        <v>10583</v>
      </c>
      <c r="B35" t="s">
        <v>271</v>
      </c>
      <c r="C35" s="1">
        <v>45827</v>
      </c>
      <c r="D35" t="s">
        <v>10</v>
      </c>
      <c r="E35" t="s">
        <v>11</v>
      </c>
      <c r="F35">
        <v>2</v>
      </c>
      <c r="G35">
        <v>17.510000000000002</v>
      </c>
      <c r="H35">
        <v>35.020000000000003</v>
      </c>
      <c r="I35" t="s">
        <v>12</v>
      </c>
      <c r="J35" t="str">
        <f t="shared" si="0"/>
        <v>Repeat Customer</v>
      </c>
    </row>
    <row r="36" spans="1:10" x14ac:dyDescent="0.25">
      <c r="A36">
        <v>10678</v>
      </c>
      <c r="B36" t="s">
        <v>271</v>
      </c>
      <c r="C36" s="1">
        <v>45982</v>
      </c>
      <c r="D36" t="s">
        <v>24</v>
      </c>
      <c r="E36" t="s">
        <v>19</v>
      </c>
      <c r="F36">
        <v>4</v>
      </c>
      <c r="G36">
        <v>192.82</v>
      </c>
      <c r="H36">
        <v>771.28</v>
      </c>
      <c r="I36" t="s">
        <v>22</v>
      </c>
      <c r="J36" t="str">
        <f t="shared" si="0"/>
        <v>Repeat Customer</v>
      </c>
    </row>
    <row r="37" spans="1:10" x14ac:dyDescent="0.25">
      <c r="A37">
        <v>11198</v>
      </c>
      <c r="B37" t="s">
        <v>271</v>
      </c>
      <c r="C37" s="1">
        <v>45901</v>
      </c>
      <c r="D37" t="s">
        <v>10</v>
      </c>
      <c r="E37" t="s">
        <v>25</v>
      </c>
      <c r="F37">
        <v>2</v>
      </c>
      <c r="G37">
        <v>298.48</v>
      </c>
      <c r="H37">
        <v>596.96</v>
      </c>
      <c r="I37" t="s">
        <v>22</v>
      </c>
      <c r="J37" t="str">
        <f t="shared" si="0"/>
        <v>Repeat Customer</v>
      </c>
    </row>
    <row r="38" spans="1:10" x14ac:dyDescent="0.25">
      <c r="A38">
        <v>11452</v>
      </c>
      <c r="B38" t="s">
        <v>271</v>
      </c>
      <c r="C38" s="1">
        <v>45874</v>
      </c>
      <c r="D38" t="s">
        <v>10</v>
      </c>
      <c r="E38" t="s">
        <v>31</v>
      </c>
      <c r="F38">
        <v>7</v>
      </c>
      <c r="G38">
        <v>79.11</v>
      </c>
      <c r="H38">
        <v>553.77</v>
      </c>
      <c r="I38" t="s">
        <v>14</v>
      </c>
      <c r="J38" t="str">
        <f t="shared" si="0"/>
        <v>Repeat Customer</v>
      </c>
    </row>
    <row r="39" spans="1:10" x14ac:dyDescent="0.25">
      <c r="A39">
        <v>10299</v>
      </c>
      <c r="B39" t="s">
        <v>197</v>
      </c>
      <c r="C39" s="1">
        <v>45637</v>
      </c>
      <c r="D39" t="s">
        <v>10</v>
      </c>
      <c r="E39" t="s">
        <v>25</v>
      </c>
      <c r="F39">
        <v>5</v>
      </c>
      <c r="G39">
        <v>286.05</v>
      </c>
      <c r="H39">
        <v>1430.25</v>
      </c>
      <c r="I39" t="s">
        <v>32</v>
      </c>
      <c r="J39" t="str">
        <f t="shared" si="0"/>
        <v>Repeat Customer</v>
      </c>
    </row>
    <row r="40" spans="1:10" x14ac:dyDescent="0.25">
      <c r="A40">
        <v>10426</v>
      </c>
      <c r="B40" t="s">
        <v>197</v>
      </c>
      <c r="C40" s="1">
        <v>45560</v>
      </c>
      <c r="D40" t="s">
        <v>24</v>
      </c>
      <c r="E40" t="s">
        <v>31</v>
      </c>
      <c r="F40">
        <v>4</v>
      </c>
      <c r="G40">
        <v>24.71</v>
      </c>
      <c r="H40">
        <v>98.84</v>
      </c>
      <c r="I40" t="s">
        <v>22</v>
      </c>
      <c r="J40" t="str">
        <f t="shared" si="0"/>
        <v>Repeat Customer</v>
      </c>
    </row>
    <row r="41" spans="1:10" x14ac:dyDescent="0.25">
      <c r="A41">
        <v>11096</v>
      </c>
      <c r="B41" t="s">
        <v>197</v>
      </c>
      <c r="C41" s="1">
        <v>45487</v>
      </c>
      <c r="D41" t="s">
        <v>10</v>
      </c>
      <c r="E41" t="s">
        <v>11</v>
      </c>
      <c r="F41">
        <v>2</v>
      </c>
      <c r="G41">
        <v>408.9</v>
      </c>
      <c r="H41">
        <v>817.8</v>
      </c>
      <c r="I41" t="s">
        <v>14</v>
      </c>
      <c r="J41" t="str">
        <f t="shared" si="0"/>
        <v>Repeat Customer</v>
      </c>
    </row>
    <row r="42" spans="1:10" x14ac:dyDescent="0.25">
      <c r="A42">
        <v>11265</v>
      </c>
      <c r="B42" t="s">
        <v>197</v>
      </c>
      <c r="C42" s="1">
        <v>45637</v>
      </c>
      <c r="D42" t="s">
        <v>24</v>
      </c>
      <c r="E42" t="s">
        <v>25</v>
      </c>
      <c r="F42">
        <v>4</v>
      </c>
      <c r="G42">
        <v>341.58</v>
      </c>
      <c r="H42">
        <v>1366.32</v>
      </c>
      <c r="I42" t="s">
        <v>12</v>
      </c>
      <c r="J42" t="str">
        <f t="shared" si="0"/>
        <v>Repeat Customer</v>
      </c>
    </row>
    <row r="43" spans="1:10" x14ac:dyDescent="0.25">
      <c r="A43">
        <v>11471</v>
      </c>
      <c r="B43" t="s">
        <v>197</v>
      </c>
      <c r="C43" s="1">
        <v>45438</v>
      </c>
      <c r="D43" t="s">
        <v>24</v>
      </c>
      <c r="E43" t="s">
        <v>31</v>
      </c>
      <c r="F43">
        <v>5</v>
      </c>
      <c r="G43">
        <v>275.83</v>
      </c>
      <c r="H43">
        <v>1379.15</v>
      </c>
      <c r="I43" t="s">
        <v>12</v>
      </c>
      <c r="J43" t="str">
        <f t="shared" si="0"/>
        <v>Repeat Customer</v>
      </c>
    </row>
    <row r="44" spans="1:10" x14ac:dyDescent="0.25">
      <c r="A44">
        <v>10336</v>
      </c>
      <c r="B44" t="s">
        <v>212</v>
      </c>
      <c r="C44" s="1">
        <v>45559</v>
      </c>
      <c r="D44" t="s">
        <v>18</v>
      </c>
      <c r="E44" t="s">
        <v>31</v>
      </c>
      <c r="F44">
        <v>9</v>
      </c>
      <c r="G44">
        <v>467.71</v>
      </c>
      <c r="H44">
        <v>4209.3900000000003</v>
      </c>
      <c r="I44" t="s">
        <v>22</v>
      </c>
      <c r="J44" t="str">
        <f t="shared" si="0"/>
        <v>Repeat Customer</v>
      </c>
    </row>
    <row r="45" spans="1:10" x14ac:dyDescent="0.25">
      <c r="A45">
        <v>10343</v>
      </c>
      <c r="B45" t="s">
        <v>212</v>
      </c>
      <c r="C45" s="1">
        <v>45298</v>
      </c>
      <c r="D45" t="s">
        <v>24</v>
      </c>
      <c r="E45" t="s">
        <v>11</v>
      </c>
      <c r="F45">
        <v>9</v>
      </c>
      <c r="G45">
        <v>278.06</v>
      </c>
      <c r="H45">
        <v>2502.54</v>
      </c>
      <c r="I45" t="s">
        <v>22</v>
      </c>
      <c r="J45" t="str">
        <f t="shared" si="0"/>
        <v>Repeat Customer</v>
      </c>
    </row>
    <row r="46" spans="1:10" x14ac:dyDescent="0.25">
      <c r="A46">
        <v>10906</v>
      </c>
      <c r="B46" t="s">
        <v>212</v>
      </c>
      <c r="C46" s="1">
        <v>45790</v>
      </c>
      <c r="D46" t="s">
        <v>10</v>
      </c>
      <c r="E46" t="s">
        <v>11</v>
      </c>
      <c r="F46">
        <v>2</v>
      </c>
      <c r="G46">
        <v>8.14</v>
      </c>
      <c r="H46">
        <v>16.28</v>
      </c>
      <c r="I46" t="s">
        <v>22</v>
      </c>
      <c r="J46" t="str">
        <f t="shared" si="0"/>
        <v>Repeat Customer</v>
      </c>
    </row>
    <row r="47" spans="1:10" x14ac:dyDescent="0.25">
      <c r="A47">
        <v>10541</v>
      </c>
      <c r="B47" t="s">
        <v>263</v>
      </c>
      <c r="C47" s="1">
        <v>45525</v>
      </c>
      <c r="D47" t="s">
        <v>10</v>
      </c>
      <c r="E47" t="s">
        <v>25</v>
      </c>
      <c r="F47">
        <v>4</v>
      </c>
      <c r="G47">
        <v>364.95</v>
      </c>
      <c r="H47">
        <v>1459.8</v>
      </c>
      <c r="I47" t="s">
        <v>12</v>
      </c>
      <c r="J47" t="str">
        <f t="shared" si="0"/>
        <v>Repeat Customer</v>
      </c>
    </row>
    <row r="48" spans="1:10" x14ac:dyDescent="0.25">
      <c r="A48">
        <v>10763</v>
      </c>
      <c r="B48" t="s">
        <v>263</v>
      </c>
      <c r="C48" s="1">
        <v>45677</v>
      </c>
      <c r="D48" t="s">
        <v>18</v>
      </c>
      <c r="E48" t="s">
        <v>11</v>
      </c>
      <c r="F48">
        <v>10</v>
      </c>
      <c r="G48">
        <v>453.49</v>
      </c>
      <c r="H48">
        <v>4534.8999999999996</v>
      </c>
      <c r="I48" t="s">
        <v>22</v>
      </c>
      <c r="J48" t="str">
        <f t="shared" si="0"/>
        <v>Repeat Customer</v>
      </c>
    </row>
    <row r="49" spans="1:10" x14ac:dyDescent="0.25">
      <c r="A49">
        <v>10766</v>
      </c>
      <c r="B49" t="s">
        <v>263</v>
      </c>
      <c r="C49" s="1">
        <v>45591</v>
      </c>
      <c r="D49" t="s">
        <v>21</v>
      </c>
      <c r="E49" t="s">
        <v>11</v>
      </c>
      <c r="F49">
        <v>7</v>
      </c>
      <c r="G49">
        <v>119.43</v>
      </c>
      <c r="H49">
        <v>836.01</v>
      </c>
      <c r="I49" t="s">
        <v>22</v>
      </c>
      <c r="J49" t="str">
        <f t="shared" si="0"/>
        <v>Repeat Customer</v>
      </c>
    </row>
    <row r="50" spans="1:10" x14ac:dyDescent="0.25">
      <c r="A50">
        <v>10769</v>
      </c>
      <c r="B50" t="s">
        <v>263</v>
      </c>
      <c r="C50" s="1">
        <v>45647</v>
      </c>
      <c r="D50" t="s">
        <v>16</v>
      </c>
      <c r="E50" t="s">
        <v>25</v>
      </c>
      <c r="F50">
        <v>6</v>
      </c>
      <c r="G50">
        <v>180.91</v>
      </c>
      <c r="H50">
        <v>1085.46</v>
      </c>
      <c r="I50" t="s">
        <v>22</v>
      </c>
      <c r="J50" t="str">
        <f t="shared" si="0"/>
        <v>Repeat Customer</v>
      </c>
    </row>
    <row r="51" spans="1:10" x14ac:dyDescent="0.25">
      <c r="A51">
        <v>10887</v>
      </c>
      <c r="B51" t="s">
        <v>263</v>
      </c>
      <c r="C51" s="1">
        <v>45801</v>
      </c>
      <c r="D51" t="s">
        <v>24</v>
      </c>
      <c r="E51" t="s">
        <v>11</v>
      </c>
      <c r="F51">
        <v>3</v>
      </c>
      <c r="G51">
        <v>328.17</v>
      </c>
      <c r="H51">
        <v>984.51</v>
      </c>
      <c r="I51" t="s">
        <v>32</v>
      </c>
      <c r="J51" t="str">
        <f t="shared" si="0"/>
        <v>Repeat Customer</v>
      </c>
    </row>
    <row r="52" spans="1:10" x14ac:dyDescent="0.25">
      <c r="A52">
        <v>10984</v>
      </c>
      <c r="B52" t="s">
        <v>263</v>
      </c>
      <c r="C52" s="1">
        <v>45787</v>
      </c>
      <c r="D52" t="s">
        <v>24</v>
      </c>
      <c r="E52" t="s">
        <v>11</v>
      </c>
      <c r="F52">
        <v>7</v>
      </c>
      <c r="G52">
        <v>26.05</v>
      </c>
      <c r="H52">
        <v>182.35</v>
      </c>
      <c r="I52" t="s">
        <v>12</v>
      </c>
      <c r="J52" t="str">
        <f t="shared" si="0"/>
        <v>Repeat Customer</v>
      </c>
    </row>
    <row r="53" spans="1:10" x14ac:dyDescent="0.25">
      <c r="A53">
        <v>11024</v>
      </c>
      <c r="B53" t="s">
        <v>263</v>
      </c>
      <c r="C53" s="1">
        <v>45934</v>
      </c>
      <c r="D53" t="s">
        <v>18</v>
      </c>
      <c r="E53" t="s">
        <v>31</v>
      </c>
      <c r="F53">
        <v>9</v>
      </c>
      <c r="G53">
        <v>432.04</v>
      </c>
      <c r="H53">
        <v>3888.36</v>
      </c>
      <c r="I53" t="s">
        <v>14</v>
      </c>
      <c r="J53" t="str">
        <f t="shared" si="0"/>
        <v>Repeat Customer</v>
      </c>
    </row>
    <row r="54" spans="1:10" x14ac:dyDescent="0.25">
      <c r="A54">
        <v>11164</v>
      </c>
      <c r="B54" t="s">
        <v>263</v>
      </c>
      <c r="C54" s="1">
        <v>45567</v>
      </c>
      <c r="D54" t="s">
        <v>24</v>
      </c>
      <c r="E54" t="s">
        <v>25</v>
      </c>
      <c r="F54">
        <v>9</v>
      </c>
      <c r="G54">
        <v>481.92</v>
      </c>
      <c r="H54">
        <v>4337.28</v>
      </c>
      <c r="I54" t="s">
        <v>14</v>
      </c>
      <c r="J54" t="str">
        <f t="shared" si="0"/>
        <v>Repeat Customer</v>
      </c>
    </row>
    <row r="55" spans="1:10" x14ac:dyDescent="0.25">
      <c r="A55">
        <v>11274</v>
      </c>
      <c r="B55" t="s">
        <v>263</v>
      </c>
      <c r="C55" s="1">
        <v>45915</v>
      </c>
      <c r="D55" t="s">
        <v>18</v>
      </c>
      <c r="E55" t="s">
        <v>25</v>
      </c>
      <c r="F55">
        <v>10</v>
      </c>
      <c r="G55">
        <v>227.21</v>
      </c>
      <c r="H55">
        <v>2272.1</v>
      </c>
      <c r="I55" t="s">
        <v>12</v>
      </c>
      <c r="J55" t="str">
        <f t="shared" si="0"/>
        <v>Repeat Customer</v>
      </c>
    </row>
    <row r="56" spans="1:10" x14ac:dyDescent="0.25">
      <c r="A56">
        <v>10485</v>
      </c>
      <c r="B56" t="s">
        <v>247</v>
      </c>
      <c r="C56" s="1">
        <v>45618</v>
      </c>
      <c r="D56" t="s">
        <v>24</v>
      </c>
      <c r="E56" t="s">
        <v>19</v>
      </c>
      <c r="F56">
        <v>5</v>
      </c>
      <c r="G56">
        <v>476.07</v>
      </c>
      <c r="H56">
        <v>2380.35</v>
      </c>
      <c r="I56" t="s">
        <v>14</v>
      </c>
      <c r="J56" t="str">
        <f t="shared" si="0"/>
        <v>Repeat Customer</v>
      </c>
    </row>
    <row r="57" spans="1:10" x14ac:dyDescent="0.25">
      <c r="A57">
        <v>10507</v>
      </c>
      <c r="B57" t="s">
        <v>247</v>
      </c>
      <c r="C57" s="1">
        <v>45637</v>
      </c>
      <c r="D57" t="s">
        <v>21</v>
      </c>
      <c r="E57" t="s">
        <v>11</v>
      </c>
      <c r="F57">
        <v>5</v>
      </c>
      <c r="G57">
        <v>158.91999999999999</v>
      </c>
      <c r="H57">
        <v>794.6</v>
      </c>
      <c r="I57" t="s">
        <v>14</v>
      </c>
      <c r="J57" t="str">
        <f t="shared" si="0"/>
        <v>Repeat Customer</v>
      </c>
    </row>
    <row r="58" spans="1:10" x14ac:dyDescent="0.25">
      <c r="A58">
        <v>10687</v>
      </c>
      <c r="B58" t="s">
        <v>247</v>
      </c>
      <c r="C58" s="1">
        <v>45713</v>
      </c>
      <c r="D58" t="s">
        <v>18</v>
      </c>
      <c r="E58" t="s">
        <v>25</v>
      </c>
      <c r="F58">
        <v>2</v>
      </c>
      <c r="G58">
        <v>178.79</v>
      </c>
      <c r="H58">
        <v>357.58</v>
      </c>
      <c r="I58" t="s">
        <v>14</v>
      </c>
      <c r="J58" t="str">
        <f t="shared" si="0"/>
        <v>Repeat Customer</v>
      </c>
    </row>
    <row r="59" spans="1:10" x14ac:dyDescent="0.25">
      <c r="A59">
        <v>10723</v>
      </c>
      <c r="B59" t="s">
        <v>247</v>
      </c>
      <c r="C59" s="1">
        <v>45997</v>
      </c>
      <c r="D59" t="s">
        <v>10</v>
      </c>
      <c r="E59" t="s">
        <v>19</v>
      </c>
      <c r="F59">
        <v>7</v>
      </c>
      <c r="G59">
        <v>182.29</v>
      </c>
      <c r="H59">
        <v>1276.03</v>
      </c>
      <c r="I59" t="s">
        <v>12</v>
      </c>
      <c r="J59" t="str">
        <f t="shared" si="0"/>
        <v>Repeat Customer</v>
      </c>
    </row>
    <row r="60" spans="1:10" x14ac:dyDescent="0.25">
      <c r="A60">
        <v>11015</v>
      </c>
      <c r="B60" t="s">
        <v>247</v>
      </c>
      <c r="C60" s="1">
        <v>45843</v>
      </c>
      <c r="D60" t="s">
        <v>21</v>
      </c>
      <c r="E60" t="s">
        <v>31</v>
      </c>
      <c r="F60">
        <v>6</v>
      </c>
      <c r="G60">
        <v>23.5</v>
      </c>
      <c r="H60">
        <v>141</v>
      </c>
      <c r="I60" t="s">
        <v>22</v>
      </c>
      <c r="J60" t="str">
        <f t="shared" si="0"/>
        <v>Repeat Customer</v>
      </c>
    </row>
    <row r="61" spans="1:10" x14ac:dyDescent="0.25">
      <c r="A61">
        <v>11016</v>
      </c>
      <c r="B61" t="s">
        <v>247</v>
      </c>
      <c r="C61" s="1">
        <v>46004</v>
      </c>
      <c r="D61" t="s">
        <v>16</v>
      </c>
      <c r="E61" t="s">
        <v>31</v>
      </c>
      <c r="F61">
        <v>8</v>
      </c>
      <c r="G61">
        <v>296.05</v>
      </c>
      <c r="H61">
        <v>2368.4</v>
      </c>
      <c r="I61" t="s">
        <v>32</v>
      </c>
      <c r="J61" t="str">
        <f t="shared" si="0"/>
        <v>Repeat Customer</v>
      </c>
    </row>
    <row r="62" spans="1:10" x14ac:dyDescent="0.25">
      <c r="A62">
        <v>11051</v>
      </c>
      <c r="B62" t="s">
        <v>247</v>
      </c>
      <c r="C62" s="1">
        <v>45315</v>
      </c>
      <c r="D62" t="s">
        <v>10</v>
      </c>
      <c r="E62" t="s">
        <v>11</v>
      </c>
      <c r="F62">
        <v>9</v>
      </c>
      <c r="G62">
        <v>325.32</v>
      </c>
      <c r="H62">
        <v>2927.88</v>
      </c>
      <c r="I62" t="s">
        <v>32</v>
      </c>
      <c r="J62" t="str">
        <f t="shared" si="0"/>
        <v>Repeat Customer</v>
      </c>
    </row>
    <row r="63" spans="1:10" x14ac:dyDescent="0.25">
      <c r="A63">
        <v>11105</v>
      </c>
      <c r="B63" t="s">
        <v>247</v>
      </c>
      <c r="C63" s="1">
        <v>45457</v>
      </c>
      <c r="D63" t="s">
        <v>21</v>
      </c>
      <c r="E63" t="s">
        <v>19</v>
      </c>
      <c r="F63">
        <v>5</v>
      </c>
      <c r="G63">
        <v>364.47</v>
      </c>
      <c r="H63">
        <v>1822.35</v>
      </c>
      <c r="I63" t="s">
        <v>32</v>
      </c>
      <c r="J63" t="str">
        <f t="shared" si="0"/>
        <v>Repeat Customer</v>
      </c>
    </row>
    <row r="64" spans="1:10" x14ac:dyDescent="0.25">
      <c r="A64">
        <v>11213</v>
      </c>
      <c r="B64" t="s">
        <v>247</v>
      </c>
      <c r="C64" s="1">
        <v>45985</v>
      </c>
      <c r="D64" t="s">
        <v>24</v>
      </c>
      <c r="E64" t="s">
        <v>19</v>
      </c>
      <c r="F64">
        <v>3</v>
      </c>
      <c r="G64">
        <v>192.57</v>
      </c>
      <c r="H64">
        <v>577.71</v>
      </c>
      <c r="I64" t="s">
        <v>14</v>
      </c>
      <c r="J64" t="str">
        <f t="shared" si="0"/>
        <v>Repeat Customer</v>
      </c>
    </row>
    <row r="65" spans="1:10" x14ac:dyDescent="0.25">
      <c r="A65">
        <v>11346</v>
      </c>
      <c r="B65" t="s">
        <v>247</v>
      </c>
      <c r="C65" s="1">
        <v>45695</v>
      </c>
      <c r="D65" t="s">
        <v>18</v>
      </c>
      <c r="E65" t="s">
        <v>31</v>
      </c>
      <c r="F65">
        <v>9</v>
      </c>
      <c r="G65">
        <v>409.64</v>
      </c>
      <c r="H65">
        <v>3686.76</v>
      </c>
      <c r="I65" t="s">
        <v>12</v>
      </c>
      <c r="J65" t="str">
        <f t="shared" si="0"/>
        <v>Repeat Customer</v>
      </c>
    </row>
    <row r="66" spans="1:10" x14ac:dyDescent="0.25">
      <c r="A66">
        <v>10317</v>
      </c>
      <c r="B66" t="s">
        <v>207</v>
      </c>
      <c r="C66" s="1">
        <v>45597</v>
      </c>
      <c r="D66" t="s">
        <v>18</v>
      </c>
      <c r="E66" t="s">
        <v>31</v>
      </c>
      <c r="F66">
        <v>8</v>
      </c>
      <c r="G66">
        <v>338.38</v>
      </c>
      <c r="H66">
        <v>2707.04</v>
      </c>
      <c r="I66" t="s">
        <v>32</v>
      </c>
      <c r="J66" t="str">
        <f t="shared" ref="J66:J129" si="1">IF(COUNTIF($B:$B,B66)&gt;1,"Repeat Customer","New Customer")</f>
        <v>Repeat Customer</v>
      </c>
    </row>
    <row r="67" spans="1:10" x14ac:dyDescent="0.25">
      <c r="A67">
        <v>10459</v>
      </c>
      <c r="B67" t="s">
        <v>207</v>
      </c>
      <c r="C67" s="1">
        <v>45358</v>
      </c>
      <c r="D67" t="s">
        <v>21</v>
      </c>
      <c r="E67" t="s">
        <v>25</v>
      </c>
      <c r="F67">
        <v>4</v>
      </c>
      <c r="G67">
        <v>451.74</v>
      </c>
      <c r="H67">
        <v>1806.96</v>
      </c>
      <c r="I67" t="s">
        <v>12</v>
      </c>
      <c r="J67" t="str">
        <f t="shared" si="1"/>
        <v>Repeat Customer</v>
      </c>
    </row>
    <row r="68" spans="1:10" x14ac:dyDescent="0.25">
      <c r="A68">
        <v>10744</v>
      </c>
      <c r="B68" t="s">
        <v>207</v>
      </c>
      <c r="C68" s="1">
        <v>45998</v>
      </c>
      <c r="D68" t="s">
        <v>18</v>
      </c>
      <c r="E68" t="s">
        <v>25</v>
      </c>
      <c r="F68">
        <v>5</v>
      </c>
      <c r="G68">
        <v>459.96</v>
      </c>
      <c r="H68">
        <v>2299.8000000000002</v>
      </c>
      <c r="I68" t="s">
        <v>12</v>
      </c>
      <c r="J68" t="str">
        <f t="shared" si="1"/>
        <v>Repeat Customer</v>
      </c>
    </row>
    <row r="69" spans="1:10" x14ac:dyDescent="0.25">
      <c r="A69">
        <v>11130</v>
      </c>
      <c r="B69" t="s">
        <v>207</v>
      </c>
      <c r="C69" s="1">
        <v>45320</v>
      </c>
      <c r="D69" t="s">
        <v>10</v>
      </c>
      <c r="E69" t="s">
        <v>19</v>
      </c>
      <c r="F69">
        <v>9</v>
      </c>
      <c r="G69">
        <v>298.29000000000002</v>
      </c>
      <c r="H69">
        <v>2684.61</v>
      </c>
      <c r="I69" t="s">
        <v>32</v>
      </c>
      <c r="J69" t="str">
        <f t="shared" si="1"/>
        <v>Repeat Customer</v>
      </c>
    </row>
    <row r="70" spans="1:10" x14ac:dyDescent="0.25">
      <c r="A70">
        <v>10378</v>
      </c>
      <c r="B70" t="s">
        <v>223</v>
      </c>
      <c r="C70" s="1">
        <v>45786</v>
      </c>
      <c r="D70" t="s">
        <v>24</v>
      </c>
      <c r="E70" t="s">
        <v>11</v>
      </c>
      <c r="F70">
        <v>2</v>
      </c>
      <c r="G70">
        <v>151.24</v>
      </c>
      <c r="H70">
        <v>302.48</v>
      </c>
      <c r="I70" t="s">
        <v>14</v>
      </c>
      <c r="J70" t="str">
        <f t="shared" si="1"/>
        <v>Repeat Customer</v>
      </c>
    </row>
    <row r="71" spans="1:10" x14ac:dyDescent="0.25">
      <c r="A71">
        <v>10603</v>
      </c>
      <c r="B71" t="s">
        <v>223</v>
      </c>
      <c r="C71" s="1">
        <v>45762</v>
      </c>
      <c r="D71" t="s">
        <v>24</v>
      </c>
      <c r="E71" t="s">
        <v>11</v>
      </c>
      <c r="F71">
        <v>6</v>
      </c>
      <c r="G71">
        <v>23.75</v>
      </c>
      <c r="H71">
        <v>142.5</v>
      </c>
      <c r="I71" t="s">
        <v>14</v>
      </c>
      <c r="J71" t="str">
        <f t="shared" si="1"/>
        <v>Repeat Customer</v>
      </c>
    </row>
    <row r="72" spans="1:10" x14ac:dyDescent="0.25">
      <c r="A72">
        <v>11279</v>
      </c>
      <c r="B72" t="s">
        <v>223</v>
      </c>
      <c r="C72" s="1">
        <v>45526</v>
      </c>
      <c r="D72" t="s">
        <v>10</v>
      </c>
      <c r="E72" t="s">
        <v>11</v>
      </c>
      <c r="F72">
        <v>6</v>
      </c>
      <c r="G72">
        <v>174.65</v>
      </c>
      <c r="H72">
        <v>1047.9000000000001</v>
      </c>
      <c r="I72" t="s">
        <v>14</v>
      </c>
      <c r="J72" t="str">
        <f t="shared" si="1"/>
        <v>Repeat Customer</v>
      </c>
    </row>
    <row r="73" spans="1:10" x14ac:dyDescent="0.25">
      <c r="A73">
        <v>11466</v>
      </c>
      <c r="B73" t="s">
        <v>223</v>
      </c>
      <c r="C73" s="1">
        <v>45893</v>
      </c>
      <c r="D73" t="s">
        <v>24</v>
      </c>
      <c r="E73" t="s">
        <v>19</v>
      </c>
      <c r="F73">
        <v>7</v>
      </c>
      <c r="G73">
        <v>241.09</v>
      </c>
      <c r="H73">
        <v>1687.63</v>
      </c>
      <c r="I73" t="s">
        <v>14</v>
      </c>
      <c r="J73" t="str">
        <f t="shared" si="1"/>
        <v>Repeat Customer</v>
      </c>
    </row>
    <row r="74" spans="1:10" x14ac:dyDescent="0.25">
      <c r="A74">
        <v>10279</v>
      </c>
      <c r="B74" t="s">
        <v>191</v>
      </c>
      <c r="C74" s="1">
        <v>45903</v>
      </c>
      <c r="D74" t="s">
        <v>18</v>
      </c>
      <c r="E74" t="s">
        <v>25</v>
      </c>
      <c r="F74">
        <v>8</v>
      </c>
      <c r="G74">
        <v>136.44</v>
      </c>
      <c r="H74">
        <v>1091.52</v>
      </c>
      <c r="I74" t="s">
        <v>12</v>
      </c>
      <c r="J74" t="str">
        <f t="shared" si="1"/>
        <v>Repeat Customer</v>
      </c>
    </row>
    <row r="75" spans="1:10" x14ac:dyDescent="0.25">
      <c r="A75">
        <v>10421</v>
      </c>
      <c r="B75" t="s">
        <v>191</v>
      </c>
      <c r="C75" s="1">
        <v>45966</v>
      </c>
      <c r="D75" t="s">
        <v>18</v>
      </c>
      <c r="E75" t="s">
        <v>25</v>
      </c>
      <c r="F75">
        <v>5</v>
      </c>
      <c r="G75">
        <v>106.7</v>
      </c>
      <c r="H75">
        <v>533.5</v>
      </c>
      <c r="I75" t="s">
        <v>32</v>
      </c>
      <c r="J75" t="str">
        <f t="shared" si="1"/>
        <v>Repeat Customer</v>
      </c>
    </row>
    <row r="76" spans="1:10" x14ac:dyDescent="0.25">
      <c r="A76">
        <v>10695</v>
      </c>
      <c r="B76" t="s">
        <v>191</v>
      </c>
      <c r="C76" s="1">
        <v>45698</v>
      </c>
      <c r="D76" t="s">
        <v>24</v>
      </c>
      <c r="E76" t="s">
        <v>11</v>
      </c>
      <c r="F76">
        <v>9</v>
      </c>
      <c r="G76">
        <v>383.67</v>
      </c>
      <c r="H76">
        <v>3453.03</v>
      </c>
      <c r="I76" t="s">
        <v>22</v>
      </c>
      <c r="J76" t="str">
        <f t="shared" si="1"/>
        <v>Repeat Customer</v>
      </c>
    </row>
    <row r="77" spans="1:10" x14ac:dyDescent="0.25">
      <c r="A77">
        <v>10864</v>
      </c>
      <c r="B77" t="s">
        <v>191</v>
      </c>
      <c r="C77" s="1">
        <v>45585</v>
      </c>
      <c r="D77" t="s">
        <v>18</v>
      </c>
      <c r="E77" t="s">
        <v>11</v>
      </c>
      <c r="F77">
        <v>8</v>
      </c>
      <c r="G77">
        <v>45.84</v>
      </c>
      <c r="H77">
        <v>366.72</v>
      </c>
      <c r="I77" t="s">
        <v>22</v>
      </c>
      <c r="J77" t="str">
        <f t="shared" si="1"/>
        <v>Repeat Customer</v>
      </c>
    </row>
    <row r="78" spans="1:10" x14ac:dyDescent="0.25">
      <c r="A78">
        <v>11197</v>
      </c>
      <c r="B78" t="s">
        <v>191</v>
      </c>
      <c r="C78" s="1">
        <v>45756</v>
      </c>
      <c r="D78" t="s">
        <v>10</v>
      </c>
      <c r="E78" t="s">
        <v>11</v>
      </c>
      <c r="F78">
        <v>9</v>
      </c>
      <c r="G78">
        <v>167.46</v>
      </c>
      <c r="H78">
        <v>1507.14</v>
      </c>
      <c r="I78" t="s">
        <v>12</v>
      </c>
      <c r="J78" t="str">
        <f t="shared" si="1"/>
        <v>Repeat Customer</v>
      </c>
    </row>
    <row r="79" spans="1:10" x14ac:dyDescent="0.25">
      <c r="A79">
        <v>10183</v>
      </c>
      <c r="B79" t="s">
        <v>152</v>
      </c>
      <c r="C79" s="1">
        <v>45476</v>
      </c>
      <c r="D79" t="s">
        <v>16</v>
      </c>
      <c r="E79" t="s">
        <v>19</v>
      </c>
      <c r="F79">
        <v>5</v>
      </c>
      <c r="G79">
        <v>352.84</v>
      </c>
      <c r="H79">
        <v>1764.2</v>
      </c>
      <c r="I79" t="s">
        <v>22</v>
      </c>
      <c r="J79" t="str">
        <f t="shared" si="1"/>
        <v>Repeat Customer</v>
      </c>
    </row>
    <row r="80" spans="1:10" x14ac:dyDescent="0.25">
      <c r="A80">
        <v>10260</v>
      </c>
      <c r="B80" t="s">
        <v>152</v>
      </c>
      <c r="C80" s="1">
        <v>45375</v>
      </c>
      <c r="D80" t="s">
        <v>18</v>
      </c>
      <c r="E80" t="s">
        <v>19</v>
      </c>
      <c r="F80">
        <v>1</v>
      </c>
      <c r="G80">
        <v>474.53</v>
      </c>
      <c r="H80">
        <v>474.53</v>
      </c>
      <c r="I80" t="s">
        <v>14</v>
      </c>
      <c r="J80" t="str">
        <f t="shared" si="1"/>
        <v>Repeat Customer</v>
      </c>
    </row>
    <row r="81" spans="1:10" x14ac:dyDescent="0.25">
      <c r="A81">
        <v>10667</v>
      </c>
      <c r="B81" t="s">
        <v>152</v>
      </c>
      <c r="C81" s="1">
        <v>45785</v>
      </c>
      <c r="D81" t="s">
        <v>21</v>
      </c>
      <c r="E81" t="s">
        <v>25</v>
      </c>
      <c r="F81">
        <v>2</v>
      </c>
      <c r="G81">
        <v>132.62</v>
      </c>
      <c r="H81">
        <v>265.24</v>
      </c>
      <c r="I81" t="s">
        <v>14</v>
      </c>
      <c r="J81" t="str">
        <f t="shared" si="1"/>
        <v>Repeat Customer</v>
      </c>
    </row>
    <row r="82" spans="1:10" x14ac:dyDescent="0.25">
      <c r="A82">
        <v>10987</v>
      </c>
      <c r="B82" t="s">
        <v>152</v>
      </c>
      <c r="C82" s="1">
        <v>45384</v>
      </c>
      <c r="D82" t="s">
        <v>16</v>
      </c>
      <c r="E82" t="s">
        <v>19</v>
      </c>
      <c r="F82">
        <v>3</v>
      </c>
      <c r="G82">
        <v>423.7</v>
      </c>
      <c r="H82">
        <v>1271.0999999999999</v>
      </c>
      <c r="I82" t="s">
        <v>22</v>
      </c>
      <c r="J82" t="str">
        <f t="shared" si="1"/>
        <v>Repeat Customer</v>
      </c>
    </row>
    <row r="83" spans="1:10" x14ac:dyDescent="0.25">
      <c r="A83">
        <v>11144</v>
      </c>
      <c r="B83" t="s">
        <v>152</v>
      </c>
      <c r="C83" s="1">
        <v>45438</v>
      </c>
      <c r="D83" t="s">
        <v>21</v>
      </c>
      <c r="E83" t="s">
        <v>11</v>
      </c>
      <c r="F83">
        <v>3</v>
      </c>
      <c r="G83">
        <v>392.98</v>
      </c>
      <c r="H83">
        <v>1178.94</v>
      </c>
      <c r="I83" t="s">
        <v>22</v>
      </c>
      <c r="J83" t="str">
        <f t="shared" si="1"/>
        <v>Repeat Customer</v>
      </c>
    </row>
    <row r="84" spans="1:10" x14ac:dyDescent="0.25">
      <c r="A84">
        <v>11189</v>
      </c>
      <c r="B84" t="s">
        <v>152</v>
      </c>
      <c r="C84" s="1">
        <v>45783</v>
      </c>
      <c r="D84" t="s">
        <v>18</v>
      </c>
      <c r="E84" t="s">
        <v>19</v>
      </c>
      <c r="F84">
        <v>7</v>
      </c>
      <c r="G84">
        <v>404.99</v>
      </c>
      <c r="H84">
        <v>2834.93</v>
      </c>
      <c r="I84" t="s">
        <v>22</v>
      </c>
      <c r="J84" t="str">
        <f t="shared" si="1"/>
        <v>Repeat Customer</v>
      </c>
    </row>
    <row r="85" spans="1:10" x14ac:dyDescent="0.25">
      <c r="A85">
        <v>10185</v>
      </c>
      <c r="B85" t="s">
        <v>154</v>
      </c>
      <c r="C85" s="1">
        <v>45385</v>
      </c>
      <c r="D85" t="s">
        <v>21</v>
      </c>
      <c r="E85" t="s">
        <v>31</v>
      </c>
      <c r="F85">
        <v>9</v>
      </c>
      <c r="G85">
        <v>111.49</v>
      </c>
      <c r="H85">
        <v>1003.41</v>
      </c>
      <c r="I85" t="s">
        <v>22</v>
      </c>
      <c r="J85" t="str">
        <f t="shared" si="1"/>
        <v>Repeat Customer</v>
      </c>
    </row>
    <row r="86" spans="1:10" x14ac:dyDescent="0.25">
      <c r="A86">
        <v>10456</v>
      </c>
      <c r="B86" t="s">
        <v>154</v>
      </c>
      <c r="C86" s="1">
        <v>45706</v>
      </c>
      <c r="D86" t="s">
        <v>18</v>
      </c>
      <c r="E86" t="s">
        <v>25</v>
      </c>
      <c r="F86">
        <v>8</v>
      </c>
      <c r="G86">
        <v>280.2</v>
      </c>
      <c r="H86">
        <v>2241.6</v>
      </c>
      <c r="I86" t="s">
        <v>12</v>
      </c>
      <c r="J86" t="str">
        <f t="shared" si="1"/>
        <v>Repeat Customer</v>
      </c>
    </row>
    <row r="87" spans="1:10" x14ac:dyDescent="0.25">
      <c r="A87">
        <v>10487</v>
      </c>
      <c r="B87" t="s">
        <v>154</v>
      </c>
      <c r="C87" s="1">
        <v>45733</v>
      </c>
      <c r="D87" t="s">
        <v>21</v>
      </c>
      <c r="E87" t="s">
        <v>25</v>
      </c>
      <c r="F87">
        <v>3</v>
      </c>
      <c r="G87">
        <v>305.62</v>
      </c>
      <c r="H87">
        <v>916.86</v>
      </c>
      <c r="I87" t="s">
        <v>12</v>
      </c>
      <c r="J87" t="str">
        <f t="shared" si="1"/>
        <v>Repeat Customer</v>
      </c>
    </row>
    <row r="88" spans="1:10" x14ac:dyDescent="0.25">
      <c r="A88">
        <v>11002</v>
      </c>
      <c r="B88" t="s">
        <v>154</v>
      </c>
      <c r="C88" s="1">
        <v>45393</v>
      </c>
      <c r="D88" t="s">
        <v>21</v>
      </c>
      <c r="E88" t="s">
        <v>11</v>
      </c>
      <c r="F88">
        <v>1</v>
      </c>
      <c r="G88">
        <v>416</v>
      </c>
      <c r="H88">
        <v>416</v>
      </c>
      <c r="I88" t="s">
        <v>14</v>
      </c>
      <c r="J88" t="str">
        <f t="shared" si="1"/>
        <v>Repeat Customer</v>
      </c>
    </row>
    <row r="89" spans="1:10" x14ac:dyDescent="0.25">
      <c r="A89">
        <v>11122</v>
      </c>
      <c r="B89" t="s">
        <v>154</v>
      </c>
      <c r="C89" s="1">
        <v>45745</v>
      </c>
      <c r="D89" t="s">
        <v>18</v>
      </c>
      <c r="E89" t="s">
        <v>11</v>
      </c>
      <c r="F89">
        <v>3</v>
      </c>
      <c r="G89">
        <v>386.23</v>
      </c>
      <c r="H89">
        <v>1158.69</v>
      </c>
      <c r="I89" t="s">
        <v>12</v>
      </c>
      <c r="J89" t="str">
        <f t="shared" si="1"/>
        <v>Repeat Customer</v>
      </c>
    </row>
    <row r="90" spans="1:10" x14ac:dyDescent="0.25">
      <c r="A90">
        <v>10319</v>
      </c>
      <c r="B90" t="s">
        <v>208</v>
      </c>
      <c r="C90" s="1">
        <v>45968</v>
      </c>
      <c r="D90" t="s">
        <v>24</v>
      </c>
      <c r="E90" t="s">
        <v>25</v>
      </c>
      <c r="F90">
        <v>7</v>
      </c>
      <c r="G90">
        <v>309.39</v>
      </c>
      <c r="H90">
        <v>2165.73</v>
      </c>
      <c r="I90" t="s">
        <v>14</v>
      </c>
      <c r="J90" t="str">
        <f t="shared" si="1"/>
        <v>Repeat Customer</v>
      </c>
    </row>
    <row r="91" spans="1:10" x14ac:dyDescent="0.25">
      <c r="A91">
        <v>10512</v>
      </c>
      <c r="B91" t="s">
        <v>208</v>
      </c>
      <c r="C91" s="1">
        <v>45759</v>
      </c>
      <c r="D91" t="s">
        <v>10</v>
      </c>
      <c r="E91" t="s">
        <v>19</v>
      </c>
      <c r="F91">
        <v>1</v>
      </c>
      <c r="G91">
        <v>459.43</v>
      </c>
      <c r="H91">
        <v>459.43</v>
      </c>
      <c r="I91" t="s">
        <v>22</v>
      </c>
      <c r="J91" t="str">
        <f t="shared" si="1"/>
        <v>Repeat Customer</v>
      </c>
    </row>
    <row r="92" spans="1:10" x14ac:dyDescent="0.25">
      <c r="A92">
        <v>10732</v>
      </c>
      <c r="B92" t="s">
        <v>208</v>
      </c>
      <c r="C92" s="1">
        <v>45876</v>
      </c>
      <c r="D92" t="s">
        <v>18</v>
      </c>
      <c r="E92" t="s">
        <v>19</v>
      </c>
      <c r="F92">
        <v>7</v>
      </c>
      <c r="G92">
        <v>330.67</v>
      </c>
      <c r="H92">
        <v>2314.69</v>
      </c>
      <c r="I92" t="s">
        <v>12</v>
      </c>
      <c r="J92" t="str">
        <f t="shared" si="1"/>
        <v>Repeat Customer</v>
      </c>
    </row>
    <row r="93" spans="1:10" x14ac:dyDescent="0.25">
      <c r="A93">
        <v>10800</v>
      </c>
      <c r="B93" t="s">
        <v>208</v>
      </c>
      <c r="C93" s="1">
        <v>45975</v>
      </c>
      <c r="D93" t="s">
        <v>16</v>
      </c>
      <c r="E93" t="s">
        <v>19</v>
      </c>
      <c r="F93">
        <v>10</v>
      </c>
      <c r="G93">
        <v>419.82</v>
      </c>
      <c r="H93">
        <v>4198.2</v>
      </c>
      <c r="I93" t="s">
        <v>12</v>
      </c>
      <c r="J93" t="str">
        <f t="shared" si="1"/>
        <v>Repeat Customer</v>
      </c>
    </row>
    <row r="94" spans="1:10" x14ac:dyDescent="0.25">
      <c r="A94">
        <v>11007</v>
      </c>
      <c r="B94" t="s">
        <v>208</v>
      </c>
      <c r="C94" s="1">
        <v>45473</v>
      </c>
      <c r="D94" t="s">
        <v>16</v>
      </c>
      <c r="E94" t="s">
        <v>25</v>
      </c>
      <c r="F94">
        <v>9</v>
      </c>
      <c r="G94">
        <v>331.41</v>
      </c>
      <c r="H94">
        <v>2982.69</v>
      </c>
      <c r="I94" t="s">
        <v>32</v>
      </c>
      <c r="J94" t="str">
        <f t="shared" si="1"/>
        <v>Repeat Customer</v>
      </c>
    </row>
    <row r="95" spans="1:10" x14ac:dyDescent="0.25">
      <c r="A95">
        <v>11462</v>
      </c>
      <c r="B95" t="s">
        <v>208</v>
      </c>
      <c r="C95" s="1">
        <v>45538</v>
      </c>
      <c r="D95" t="s">
        <v>18</v>
      </c>
      <c r="E95" t="s">
        <v>11</v>
      </c>
      <c r="F95">
        <v>5</v>
      </c>
      <c r="G95">
        <v>47.09</v>
      </c>
      <c r="H95">
        <v>235.45</v>
      </c>
      <c r="I95" t="s">
        <v>32</v>
      </c>
      <c r="J95" t="str">
        <f t="shared" si="1"/>
        <v>Repeat Customer</v>
      </c>
    </row>
    <row r="96" spans="1:10" x14ac:dyDescent="0.25">
      <c r="A96">
        <v>10659</v>
      </c>
      <c r="B96" t="s">
        <v>281</v>
      </c>
      <c r="C96" s="1">
        <v>45905</v>
      </c>
      <c r="D96" t="s">
        <v>10</v>
      </c>
      <c r="E96" t="s">
        <v>25</v>
      </c>
      <c r="F96">
        <v>9</v>
      </c>
      <c r="G96">
        <v>260.33</v>
      </c>
      <c r="H96">
        <v>2342.9699999999998</v>
      </c>
      <c r="I96" t="s">
        <v>12</v>
      </c>
      <c r="J96" t="str">
        <f t="shared" si="1"/>
        <v>Repeat Customer</v>
      </c>
    </row>
    <row r="97" spans="1:10" x14ac:dyDescent="0.25">
      <c r="A97">
        <v>11350</v>
      </c>
      <c r="B97" t="s">
        <v>281</v>
      </c>
      <c r="C97" s="1">
        <v>45378</v>
      </c>
      <c r="D97" t="s">
        <v>16</v>
      </c>
      <c r="E97" t="s">
        <v>25</v>
      </c>
      <c r="F97">
        <v>2</v>
      </c>
      <c r="G97">
        <v>255.54</v>
      </c>
      <c r="H97">
        <v>511.08</v>
      </c>
      <c r="I97" t="s">
        <v>32</v>
      </c>
      <c r="J97" t="str">
        <f t="shared" si="1"/>
        <v>Repeat Customer</v>
      </c>
    </row>
    <row r="98" spans="1:10" x14ac:dyDescent="0.25">
      <c r="A98">
        <v>10623</v>
      </c>
      <c r="B98" t="s">
        <v>277</v>
      </c>
      <c r="C98" s="1">
        <v>45856</v>
      </c>
      <c r="D98" t="s">
        <v>18</v>
      </c>
      <c r="E98" t="s">
        <v>31</v>
      </c>
      <c r="F98">
        <v>5</v>
      </c>
      <c r="G98">
        <v>274.02</v>
      </c>
      <c r="H98">
        <v>1370.1</v>
      </c>
      <c r="I98" t="s">
        <v>14</v>
      </c>
      <c r="J98" t="str">
        <f t="shared" si="1"/>
        <v>Repeat Customer</v>
      </c>
    </row>
    <row r="99" spans="1:10" x14ac:dyDescent="0.25">
      <c r="A99">
        <v>10896</v>
      </c>
      <c r="B99" t="s">
        <v>277</v>
      </c>
      <c r="C99" s="1">
        <v>45639</v>
      </c>
      <c r="D99" t="s">
        <v>24</v>
      </c>
      <c r="E99" t="s">
        <v>31</v>
      </c>
      <c r="F99">
        <v>1</v>
      </c>
      <c r="G99">
        <v>172.17</v>
      </c>
      <c r="H99">
        <v>172.17</v>
      </c>
      <c r="I99" t="s">
        <v>12</v>
      </c>
      <c r="J99" t="str">
        <f t="shared" si="1"/>
        <v>Repeat Customer</v>
      </c>
    </row>
    <row r="100" spans="1:10" x14ac:dyDescent="0.25">
      <c r="A100">
        <v>11494</v>
      </c>
      <c r="B100" t="s">
        <v>277</v>
      </c>
      <c r="C100" s="1">
        <v>45515</v>
      </c>
      <c r="D100" t="s">
        <v>18</v>
      </c>
      <c r="E100" t="s">
        <v>25</v>
      </c>
      <c r="F100">
        <v>4</v>
      </c>
      <c r="G100">
        <v>212.99</v>
      </c>
      <c r="H100">
        <v>851.96</v>
      </c>
      <c r="I100" t="s">
        <v>32</v>
      </c>
      <c r="J100" t="str">
        <f t="shared" si="1"/>
        <v>Repeat Customer</v>
      </c>
    </row>
    <row r="101" spans="1:10" x14ac:dyDescent="0.25">
      <c r="A101">
        <v>10745</v>
      </c>
      <c r="B101" t="s">
        <v>294</v>
      </c>
      <c r="C101" s="1">
        <v>45763</v>
      </c>
      <c r="D101" t="s">
        <v>16</v>
      </c>
      <c r="E101" t="s">
        <v>19</v>
      </c>
      <c r="F101">
        <v>6</v>
      </c>
      <c r="G101">
        <v>82.27</v>
      </c>
      <c r="H101">
        <v>493.62</v>
      </c>
      <c r="I101" t="s">
        <v>14</v>
      </c>
      <c r="J101" t="str">
        <f t="shared" si="1"/>
        <v>Repeat Customer</v>
      </c>
    </row>
    <row r="102" spans="1:10" x14ac:dyDescent="0.25">
      <c r="A102">
        <v>10748</v>
      </c>
      <c r="B102" t="s">
        <v>294</v>
      </c>
      <c r="C102" s="1">
        <v>45882</v>
      </c>
      <c r="D102" t="s">
        <v>24</v>
      </c>
      <c r="E102" t="s">
        <v>19</v>
      </c>
      <c r="F102">
        <v>7</v>
      </c>
      <c r="G102">
        <v>43.85</v>
      </c>
      <c r="H102">
        <v>306.95</v>
      </c>
      <c r="I102" t="s">
        <v>22</v>
      </c>
      <c r="J102" t="str">
        <f t="shared" si="1"/>
        <v>Repeat Customer</v>
      </c>
    </row>
    <row r="103" spans="1:10" x14ac:dyDescent="0.25">
      <c r="A103">
        <v>10085</v>
      </c>
      <c r="B103" t="s">
        <v>90</v>
      </c>
      <c r="C103" s="1">
        <v>45323</v>
      </c>
      <c r="D103" t="s">
        <v>24</v>
      </c>
      <c r="E103" t="s">
        <v>25</v>
      </c>
      <c r="F103">
        <v>4</v>
      </c>
      <c r="G103">
        <v>103.68</v>
      </c>
      <c r="H103">
        <v>414.72</v>
      </c>
      <c r="I103" t="s">
        <v>14</v>
      </c>
      <c r="J103" t="str">
        <f t="shared" si="1"/>
        <v>Repeat Customer</v>
      </c>
    </row>
    <row r="104" spans="1:10" x14ac:dyDescent="0.25">
      <c r="A104">
        <v>10768</v>
      </c>
      <c r="B104" t="s">
        <v>90</v>
      </c>
      <c r="C104" s="1">
        <v>45545</v>
      </c>
      <c r="D104" t="s">
        <v>21</v>
      </c>
      <c r="E104" t="s">
        <v>31</v>
      </c>
      <c r="F104">
        <v>9</v>
      </c>
      <c r="G104">
        <v>155.94</v>
      </c>
      <c r="H104">
        <v>1403.46</v>
      </c>
      <c r="I104" t="s">
        <v>14</v>
      </c>
      <c r="J104" t="str">
        <f t="shared" si="1"/>
        <v>Repeat Customer</v>
      </c>
    </row>
    <row r="105" spans="1:10" x14ac:dyDescent="0.25">
      <c r="A105">
        <v>11349</v>
      </c>
      <c r="B105" t="s">
        <v>90</v>
      </c>
      <c r="C105" s="1">
        <v>45423</v>
      </c>
      <c r="D105" t="s">
        <v>10</v>
      </c>
      <c r="E105" t="s">
        <v>11</v>
      </c>
      <c r="F105">
        <v>10</v>
      </c>
      <c r="G105">
        <v>107.08</v>
      </c>
      <c r="H105">
        <v>1070.8</v>
      </c>
      <c r="I105" t="s">
        <v>22</v>
      </c>
      <c r="J105" t="str">
        <f t="shared" si="1"/>
        <v>Repeat Customer</v>
      </c>
    </row>
    <row r="106" spans="1:10" x14ac:dyDescent="0.25">
      <c r="A106">
        <v>11475</v>
      </c>
      <c r="B106" t="s">
        <v>90</v>
      </c>
      <c r="C106" s="1">
        <v>45664</v>
      </c>
      <c r="D106" t="s">
        <v>18</v>
      </c>
      <c r="E106" t="s">
        <v>25</v>
      </c>
      <c r="F106">
        <v>5</v>
      </c>
      <c r="G106">
        <v>203.46</v>
      </c>
      <c r="H106">
        <v>1017.3</v>
      </c>
      <c r="I106" t="s">
        <v>32</v>
      </c>
      <c r="J106" t="str">
        <f t="shared" si="1"/>
        <v>Repeat Customer</v>
      </c>
    </row>
    <row r="107" spans="1:10" x14ac:dyDescent="0.25">
      <c r="A107">
        <v>10051</v>
      </c>
      <c r="B107" t="s">
        <v>63</v>
      </c>
      <c r="C107" s="1">
        <v>45607</v>
      </c>
      <c r="D107" t="s">
        <v>24</v>
      </c>
      <c r="E107" t="s">
        <v>19</v>
      </c>
      <c r="F107">
        <v>6</v>
      </c>
      <c r="G107">
        <v>450</v>
      </c>
      <c r="H107">
        <v>2700</v>
      </c>
      <c r="I107" t="s">
        <v>14</v>
      </c>
      <c r="J107" t="str">
        <f t="shared" si="1"/>
        <v>Repeat Customer</v>
      </c>
    </row>
    <row r="108" spans="1:10" x14ac:dyDescent="0.25">
      <c r="A108">
        <v>10241</v>
      </c>
      <c r="B108" t="s">
        <v>63</v>
      </c>
      <c r="C108" s="1">
        <v>45653</v>
      </c>
      <c r="D108" t="s">
        <v>16</v>
      </c>
      <c r="E108" t="s">
        <v>11</v>
      </c>
      <c r="F108">
        <v>10</v>
      </c>
      <c r="G108">
        <v>499.08</v>
      </c>
      <c r="H108">
        <v>4990.8</v>
      </c>
      <c r="I108" t="s">
        <v>12</v>
      </c>
      <c r="J108" t="str">
        <f t="shared" si="1"/>
        <v>Repeat Customer</v>
      </c>
    </row>
    <row r="109" spans="1:10" x14ac:dyDescent="0.25">
      <c r="A109">
        <v>10611</v>
      </c>
      <c r="B109" t="s">
        <v>63</v>
      </c>
      <c r="C109" s="1">
        <v>45297</v>
      </c>
      <c r="D109" t="s">
        <v>18</v>
      </c>
      <c r="E109" t="s">
        <v>11</v>
      </c>
      <c r="F109">
        <v>10</v>
      </c>
      <c r="G109">
        <v>300.33999999999997</v>
      </c>
      <c r="H109">
        <v>3003.4</v>
      </c>
      <c r="I109" t="s">
        <v>22</v>
      </c>
      <c r="J109" t="str">
        <f t="shared" si="1"/>
        <v>Repeat Customer</v>
      </c>
    </row>
    <row r="110" spans="1:10" x14ac:dyDescent="0.25">
      <c r="A110">
        <v>10784</v>
      </c>
      <c r="B110" t="s">
        <v>63</v>
      </c>
      <c r="C110" s="1">
        <v>45914</v>
      </c>
      <c r="D110" t="s">
        <v>21</v>
      </c>
      <c r="E110" t="s">
        <v>11</v>
      </c>
      <c r="F110">
        <v>7</v>
      </c>
      <c r="G110">
        <v>361.5</v>
      </c>
      <c r="H110">
        <v>2530.5</v>
      </c>
      <c r="I110" t="s">
        <v>12</v>
      </c>
      <c r="J110" t="str">
        <f t="shared" si="1"/>
        <v>Repeat Customer</v>
      </c>
    </row>
    <row r="111" spans="1:10" x14ac:dyDescent="0.25">
      <c r="A111">
        <v>11167</v>
      </c>
      <c r="B111" t="s">
        <v>63</v>
      </c>
      <c r="C111" s="1">
        <v>45293</v>
      </c>
      <c r="D111" t="s">
        <v>18</v>
      </c>
      <c r="E111" t="s">
        <v>19</v>
      </c>
      <c r="F111">
        <v>8</v>
      </c>
      <c r="G111">
        <v>480.75</v>
      </c>
      <c r="H111">
        <v>3846</v>
      </c>
      <c r="I111" t="s">
        <v>14</v>
      </c>
      <c r="J111" t="str">
        <f t="shared" si="1"/>
        <v>Repeat Customer</v>
      </c>
    </row>
    <row r="112" spans="1:10" x14ac:dyDescent="0.25">
      <c r="A112">
        <v>11406</v>
      </c>
      <c r="B112" t="s">
        <v>63</v>
      </c>
      <c r="C112" s="1">
        <v>45892</v>
      </c>
      <c r="D112" t="s">
        <v>21</v>
      </c>
      <c r="E112" t="s">
        <v>11</v>
      </c>
      <c r="F112">
        <v>4</v>
      </c>
      <c r="G112">
        <v>100.5</v>
      </c>
      <c r="H112">
        <v>402</v>
      </c>
      <c r="I112" t="s">
        <v>12</v>
      </c>
      <c r="J112" t="str">
        <f t="shared" si="1"/>
        <v>Repeat Customer</v>
      </c>
    </row>
    <row r="113" spans="1:10" x14ac:dyDescent="0.25">
      <c r="A113">
        <v>10171</v>
      </c>
      <c r="B113" t="s">
        <v>146</v>
      </c>
      <c r="C113" s="1">
        <v>45966</v>
      </c>
      <c r="D113" t="s">
        <v>24</v>
      </c>
      <c r="E113" t="s">
        <v>11</v>
      </c>
      <c r="F113">
        <v>9</v>
      </c>
      <c r="G113">
        <v>154.31</v>
      </c>
      <c r="H113">
        <v>1388.79</v>
      </c>
      <c r="I113" t="s">
        <v>32</v>
      </c>
      <c r="J113" t="str">
        <f t="shared" si="1"/>
        <v>Repeat Customer</v>
      </c>
    </row>
    <row r="114" spans="1:10" x14ac:dyDescent="0.25">
      <c r="A114">
        <v>10215</v>
      </c>
      <c r="B114" t="s">
        <v>146</v>
      </c>
      <c r="C114" s="1">
        <v>45712</v>
      </c>
      <c r="D114" t="s">
        <v>10</v>
      </c>
      <c r="E114" t="s">
        <v>31</v>
      </c>
      <c r="F114">
        <v>6</v>
      </c>
      <c r="G114">
        <v>339.8</v>
      </c>
      <c r="H114">
        <v>2038.8</v>
      </c>
      <c r="I114" t="s">
        <v>22</v>
      </c>
      <c r="J114" t="str">
        <f t="shared" si="1"/>
        <v>Repeat Customer</v>
      </c>
    </row>
    <row r="115" spans="1:10" x14ac:dyDescent="0.25">
      <c r="A115">
        <v>10232</v>
      </c>
      <c r="B115" t="s">
        <v>146</v>
      </c>
      <c r="C115" s="1">
        <v>45652</v>
      </c>
      <c r="D115" t="s">
        <v>10</v>
      </c>
      <c r="E115" t="s">
        <v>31</v>
      </c>
      <c r="F115">
        <v>9</v>
      </c>
      <c r="G115">
        <v>172.58</v>
      </c>
      <c r="H115">
        <v>1553.22</v>
      </c>
      <c r="I115" t="s">
        <v>32</v>
      </c>
      <c r="J115" t="str">
        <f t="shared" si="1"/>
        <v>Repeat Customer</v>
      </c>
    </row>
    <row r="116" spans="1:10" x14ac:dyDescent="0.25">
      <c r="A116">
        <v>10321</v>
      </c>
      <c r="B116" t="s">
        <v>146</v>
      </c>
      <c r="C116" s="1">
        <v>45703</v>
      </c>
      <c r="D116" t="s">
        <v>10</v>
      </c>
      <c r="E116" t="s">
        <v>11</v>
      </c>
      <c r="F116">
        <v>8</v>
      </c>
      <c r="G116">
        <v>121</v>
      </c>
      <c r="H116">
        <v>968</v>
      </c>
      <c r="I116" t="s">
        <v>14</v>
      </c>
      <c r="J116" t="str">
        <f t="shared" si="1"/>
        <v>Repeat Customer</v>
      </c>
    </row>
    <row r="117" spans="1:10" x14ac:dyDescent="0.25">
      <c r="A117">
        <v>10437</v>
      </c>
      <c r="B117" t="s">
        <v>146</v>
      </c>
      <c r="C117" s="1">
        <v>45304</v>
      </c>
      <c r="D117" t="s">
        <v>16</v>
      </c>
      <c r="E117" t="s">
        <v>31</v>
      </c>
      <c r="F117">
        <v>4</v>
      </c>
      <c r="G117">
        <v>27.76</v>
      </c>
      <c r="H117">
        <v>111.04</v>
      </c>
      <c r="I117" t="s">
        <v>14</v>
      </c>
      <c r="J117" t="str">
        <f t="shared" si="1"/>
        <v>Repeat Customer</v>
      </c>
    </row>
    <row r="118" spans="1:10" x14ac:dyDescent="0.25">
      <c r="A118">
        <v>10759</v>
      </c>
      <c r="B118" t="s">
        <v>146</v>
      </c>
      <c r="C118" s="1">
        <v>45531</v>
      </c>
      <c r="D118" t="s">
        <v>10</v>
      </c>
      <c r="E118" t="s">
        <v>11</v>
      </c>
      <c r="F118">
        <v>4</v>
      </c>
      <c r="G118">
        <v>344.25</v>
      </c>
      <c r="H118">
        <v>1377</v>
      </c>
      <c r="I118" t="s">
        <v>12</v>
      </c>
      <c r="J118" t="str">
        <f t="shared" si="1"/>
        <v>Repeat Customer</v>
      </c>
    </row>
    <row r="119" spans="1:10" x14ac:dyDescent="0.25">
      <c r="A119">
        <v>11252</v>
      </c>
      <c r="B119" t="s">
        <v>146</v>
      </c>
      <c r="C119" s="1">
        <v>45537</v>
      </c>
      <c r="D119" t="s">
        <v>18</v>
      </c>
      <c r="E119" t="s">
        <v>19</v>
      </c>
      <c r="F119">
        <v>3</v>
      </c>
      <c r="G119">
        <v>140.52000000000001</v>
      </c>
      <c r="H119">
        <v>421.56</v>
      </c>
      <c r="I119" t="s">
        <v>12</v>
      </c>
      <c r="J119" t="str">
        <f t="shared" si="1"/>
        <v>Repeat Customer</v>
      </c>
    </row>
    <row r="120" spans="1:10" x14ac:dyDescent="0.25">
      <c r="A120">
        <v>11408</v>
      </c>
      <c r="B120" t="s">
        <v>146</v>
      </c>
      <c r="C120" s="1">
        <v>45422</v>
      </c>
      <c r="D120" t="s">
        <v>16</v>
      </c>
      <c r="E120" t="s">
        <v>19</v>
      </c>
      <c r="F120">
        <v>4</v>
      </c>
      <c r="G120">
        <v>212.02</v>
      </c>
      <c r="H120">
        <v>848.08</v>
      </c>
      <c r="I120" t="s">
        <v>22</v>
      </c>
      <c r="J120" t="str">
        <f t="shared" si="1"/>
        <v>Repeat Customer</v>
      </c>
    </row>
    <row r="121" spans="1:10" x14ac:dyDescent="0.25">
      <c r="A121">
        <v>11433</v>
      </c>
      <c r="B121" t="s">
        <v>146</v>
      </c>
      <c r="C121" s="1">
        <v>45397</v>
      </c>
      <c r="D121" t="s">
        <v>18</v>
      </c>
      <c r="E121" t="s">
        <v>31</v>
      </c>
      <c r="F121">
        <v>9</v>
      </c>
      <c r="G121">
        <v>151.88999999999999</v>
      </c>
      <c r="H121">
        <v>1367.01</v>
      </c>
      <c r="I121" t="s">
        <v>14</v>
      </c>
      <c r="J121" t="str">
        <f t="shared" si="1"/>
        <v>Repeat Customer</v>
      </c>
    </row>
    <row r="122" spans="1:10" x14ac:dyDescent="0.25">
      <c r="A122">
        <v>10068</v>
      </c>
      <c r="B122" t="s">
        <v>77</v>
      </c>
      <c r="C122" s="1">
        <v>45542</v>
      </c>
      <c r="D122" t="s">
        <v>24</v>
      </c>
      <c r="E122" t="s">
        <v>31</v>
      </c>
      <c r="F122">
        <v>8</v>
      </c>
      <c r="G122">
        <v>307.58</v>
      </c>
      <c r="H122">
        <v>2460.64</v>
      </c>
      <c r="I122" t="s">
        <v>32</v>
      </c>
      <c r="J122" t="str">
        <f t="shared" si="1"/>
        <v>Repeat Customer</v>
      </c>
    </row>
    <row r="123" spans="1:10" x14ac:dyDescent="0.25">
      <c r="A123">
        <v>10190</v>
      </c>
      <c r="B123" t="s">
        <v>77</v>
      </c>
      <c r="C123" s="1">
        <v>45517</v>
      </c>
      <c r="D123" t="s">
        <v>24</v>
      </c>
      <c r="E123" t="s">
        <v>11</v>
      </c>
      <c r="F123">
        <v>7</v>
      </c>
      <c r="G123">
        <v>492.3</v>
      </c>
      <c r="H123">
        <v>3446.1</v>
      </c>
      <c r="I123" t="s">
        <v>14</v>
      </c>
      <c r="J123" t="str">
        <f t="shared" si="1"/>
        <v>Repeat Customer</v>
      </c>
    </row>
    <row r="124" spans="1:10" x14ac:dyDescent="0.25">
      <c r="A124">
        <v>10810</v>
      </c>
      <c r="B124" t="s">
        <v>77</v>
      </c>
      <c r="C124" s="1">
        <v>45633</v>
      </c>
      <c r="D124" t="s">
        <v>10</v>
      </c>
      <c r="E124" t="s">
        <v>11</v>
      </c>
      <c r="F124">
        <v>6</v>
      </c>
      <c r="G124">
        <v>282.41000000000003</v>
      </c>
      <c r="H124">
        <v>1694.46</v>
      </c>
      <c r="I124" t="s">
        <v>14</v>
      </c>
      <c r="J124" t="str">
        <f t="shared" si="1"/>
        <v>Repeat Customer</v>
      </c>
    </row>
    <row r="125" spans="1:10" x14ac:dyDescent="0.25">
      <c r="A125">
        <v>11411</v>
      </c>
      <c r="B125" t="s">
        <v>77</v>
      </c>
      <c r="C125" s="1">
        <v>45871</v>
      </c>
      <c r="D125" t="s">
        <v>10</v>
      </c>
      <c r="E125" t="s">
        <v>31</v>
      </c>
      <c r="F125">
        <v>1</v>
      </c>
      <c r="G125">
        <v>398.22</v>
      </c>
      <c r="H125">
        <v>398.22</v>
      </c>
      <c r="I125" t="s">
        <v>32</v>
      </c>
      <c r="J125" t="str">
        <f t="shared" si="1"/>
        <v>Repeat Customer</v>
      </c>
    </row>
    <row r="126" spans="1:10" x14ac:dyDescent="0.25">
      <c r="A126">
        <v>11463</v>
      </c>
      <c r="B126" t="s">
        <v>77</v>
      </c>
      <c r="C126" s="1">
        <v>45341</v>
      </c>
      <c r="D126" t="s">
        <v>16</v>
      </c>
      <c r="E126" t="s">
        <v>11</v>
      </c>
      <c r="F126">
        <v>6</v>
      </c>
      <c r="G126">
        <v>51.14</v>
      </c>
      <c r="H126">
        <v>306.83999999999997</v>
      </c>
      <c r="I126" t="s">
        <v>22</v>
      </c>
      <c r="J126" t="str">
        <f t="shared" si="1"/>
        <v>Repeat Customer</v>
      </c>
    </row>
    <row r="127" spans="1:10" x14ac:dyDescent="0.25">
      <c r="A127">
        <v>10015</v>
      </c>
      <c r="B127" t="s">
        <v>35</v>
      </c>
      <c r="C127" s="1">
        <v>45404</v>
      </c>
      <c r="D127" t="s">
        <v>21</v>
      </c>
      <c r="E127" t="s">
        <v>11</v>
      </c>
      <c r="F127">
        <v>3</v>
      </c>
      <c r="G127">
        <v>315.58999999999997</v>
      </c>
      <c r="H127">
        <v>946.77</v>
      </c>
      <c r="I127" t="s">
        <v>32</v>
      </c>
      <c r="J127" t="str">
        <f t="shared" si="1"/>
        <v>Repeat Customer</v>
      </c>
    </row>
    <row r="128" spans="1:10" x14ac:dyDescent="0.25">
      <c r="A128">
        <v>10236</v>
      </c>
      <c r="B128" t="s">
        <v>35</v>
      </c>
      <c r="C128" s="1">
        <v>45963</v>
      </c>
      <c r="D128" t="s">
        <v>16</v>
      </c>
      <c r="E128" t="s">
        <v>31</v>
      </c>
      <c r="F128">
        <v>6</v>
      </c>
      <c r="G128">
        <v>140.24</v>
      </c>
      <c r="H128">
        <v>841.44</v>
      </c>
      <c r="I128" t="s">
        <v>32</v>
      </c>
      <c r="J128" t="str">
        <f t="shared" si="1"/>
        <v>Repeat Customer</v>
      </c>
    </row>
    <row r="129" spans="1:10" x14ac:dyDescent="0.25">
      <c r="A129">
        <v>10544</v>
      </c>
      <c r="B129" t="s">
        <v>35</v>
      </c>
      <c r="C129" s="1">
        <v>45998</v>
      </c>
      <c r="D129" t="s">
        <v>21</v>
      </c>
      <c r="E129" t="s">
        <v>11</v>
      </c>
      <c r="F129">
        <v>2</v>
      </c>
      <c r="G129">
        <v>211.3</v>
      </c>
      <c r="H129">
        <v>422.6</v>
      </c>
      <c r="I129" t="s">
        <v>22</v>
      </c>
      <c r="J129" t="str">
        <f t="shared" si="1"/>
        <v>Repeat Customer</v>
      </c>
    </row>
    <row r="130" spans="1:10" x14ac:dyDescent="0.25">
      <c r="A130">
        <v>11132</v>
      </c>
      <c r="B130" t="s">
        <v>35</v>
      </c>
      <c r="C130" s="1">
        <v>45958</v>
      </c>
      <c r="D130" t="s">
        <v>18</v>
      </c>
      <c r="E130" t="s">
        <v>11</v>
      </c>
      <c r="F130">
        <v>2</v>
      </c>
      <c r="G130">
        <v>227.12</v>
      </c>
      <c r="H130">
        <v>454.24</v>
      </c>
      <c r="I130" t="s">
        <v>32</v>
      </c>
      <c r="J130" t="str">
        <f t="shared" ref="J130:J193" si="2">IF(COUNTIF($B:$B,B130)&gt;1,"Repeat Customer","New Customer")</f>
        <v>Repeat Customer</v>
      </c>
    </row>
    <row r="131" spans="1:10" x14ac:dyDescent="0.25">
      <c r="A131">
        <v>11186</v>
      </c>
      <c r="B131" t="s">
        <v>35</v>
      </c>
      <c r="C131" s="1">
        <v>45576</v>
      </c>
      <c r="D131" t="s">
        <v>16</v>
      </c>
      <c r="E131" t="s">
        <v>11</v>
      </c>
      <c r="F131">
        <v>7</v>
      </c>
      <c r="G131">
        <v>268.54000000000002</v>
      </c>
      <c r="H131">
        <v>1879.78</v>
      </c>
      <c r="I131" t="s">
        <v>32</v>
      </c>
      <c r="J131" t="str">
        <f t="shared" si="2"/>
        <v>Repeat Customer</v>
      </c>
    </row>
    <row r="132" spans="1:10" x14ac:dyDescent="0.25">
      <c r="A132">
        <v>11365</v>
      </c>
      <c r="B132" t="s">
        <v>35</v>
      </c>
      <c r="C132" s="1">
        <v>45466</v>
      </c>
      <c r="D132" t="s">
        <v>21</v>
      </c>
      <c r="E132" t="s">
        <v>25</v>
      </c>
      <c r="F132">
        <v>6</v>
      </c>
      <c r="G132">
        <v>473.52</v>
      </c>
      <c r="H132">
        <v>2841.12</v>
      </c>
      <c r="I132" t="s">
        <v>22</v>
      </c>
      <c r="J132" t="str">
        <f t="shared" si="2"/>
        <v>Repeat Customer</v>
      </c>
    </row>
    <row r="133" spans="1:10" x14ac:dyDescent="0.25">
      <c r="A133">
        <v>11401</v>
      </c>
      <c r="B133" t="s">
        <v>35</v>
      </c>
      <c r="C133" s="1">
        <v>45478</v>
      </c>
      <c r="D133" t="s">
        <v>16</v>
      </c>
      <c r="E133" t="s">
        <v>25</v>
      </c>
      <c r="F133">
        <v>1</v>
      </c>
      <c r="G133">
        <v>5.27</v>
      </c>
      <c r="H133">
        <v>5.27</v>
      </c>
      <c r="I133" t="s">
        <v>22</v>
      </c>
      <c r="J133" t="str">
        <f t="shared" si="2"/>
        <v>Repeat Customer</v>
      </c>
    </row>
    <row r="134" spans="1:10" x14ac:dyDescent="0.25">
      <c r="A134">
        <v>10032</v>
      </c>
      <c r="B134" t="s">
        <v>50</v>
      </c>
      <c r="C134" s="1">
        <v>45959</v>
      </c>
      <c r="D134" t="s">
        <v>24</v>
      </c>
      <c r="E134" t="s">
        <v>25</v>
      </c>
      <c r="F134">
        <v>9</v>
      </c>
      <c r="G134">
        <v>418.83</v>
      </c>
      <c r="H134">
        <v>3769.47</v>
      </c>
      <c r="I134" t="s">
        <v>14</v>
      </c>
      <c r="J134" t="str">
        <f t="shared" si="2"/>
        <v>Repeat Customer</v>
      </c>
    </row>
    <row r="135" spans="1:10" x14ac:dyDescent="0.25">
      <c r="A135">
        <v>10266</v>
      </c>
      <c r="B135" t="s">
        <v>50</v>
      </c>
      <c r="C135" s="1">
        <v>45589</v>
      </c>
      <c r="D135" t="s">
        <v>21</v>
      </c>
      <c r="E135" t="s">
        <v>25</v>
      </c>
      <c r="F135">
        <v>7</v>
      </c>
      <c r="G135">
        <v>432.76</v>
      </c>
      <c r="H135">
        <v>3029.32</v>
      </c>
      <c r="I135" t="s">
        <v>14</v>
      </c>
      <c r="J135" t="str">
        <f t="shared" si="2"/>
        <v>Repeat Customer</v>
      </c>
    </row>
    <row r="136" spans="1:10" x14ac:dyDescent="0.25">
      <c r="A136">
        <v>10799</v>
      </c>
      <c r="B136" t="s">
        <v>50</v>
      </c>
      <c r="C136" s="1">
        <v>45481</v>
      </c>
      <c r="D136" t="s">
        <v>16</v>
      </c>
      <c r="E136" t="s">
        <v>11</v>
      </c>
      <c r="F136">
        <v>3</v>
      </c>
      <c r="G136">
        <v>32.26</v>
      </c>
      <c r="H136">
        <v>96.78</v>
      </c>
      <c r="I136" t="s">
        <v>14</v>
      </c>
      <c r="J136" t="str">
        <f t="shared" si="2"/>
        <v>Repeat Customer</v>
      </c>
    </row>
    <row r="137" spans="1:10" x14ac:dyDescent="0.25">
      <c r="A137">
        <v>10801</v>
      </c>
      <c r="B137" t="s">
        <v>50</v>
      </c>
      <c r="C137" s="1">
        <v>45403</v>
      </c>
      <c r="D137" t="s">
        <v>10</v>
      </c>
      <c r="E137" t="s">
        <v>19</v>
      </c>
      <c r="F137">
        <v>7</v>
      </c>
      <c r="G137">
        <v>496.9</v>
      </c>
      <c r="H137">
        <v>3478.3</v>
      </c>
      <c r="I137" t="s">
        <v>14</v>
      </c>
      <c r="J137" t="str">
        <f t="shared" si="2"/>
        <v>Repeat Customer</v>
      </c>
    </row>
    <row r="138" spans="1:10" x14ac:dyDescent="0.25">
      <c r="A138">
        <v>10830</v>
      </c>
      <c r="B138" t="s">
        <v>50</v>
      </c>
      <c r="C138" s="1">
        <v>45425</v>
      </c>
      <c r="D138" t="s">
        <v>24</v>
      </c>
      <c r="E138" t="s">
        <v>11</v>
      </c>
      <c r="F138">
        <v>1</v>
      </c>
      <c r="G138">
        <v>238.01</v>
      </c>
      <c r="H138">
        <v>238.01</v>
      </c>
      <c r="I138" t="s">
        <v>32</v>
      </c>
      <c r="J138" t="str">
        <f t="shared" si="2"/>
        <v>Repeat Customer</v>
      </c>
    </row>
    <row r="139" spans="1:10" x14ac:dyDescent="0.25">
      <c r="A139">
        <v>10180</v>
      </c>
      <c r="B139" t="s">
        <v>150</v>
      </c>
      <c r="C139" s="1">
        <v>45586</v>
      </c>
      <c r="D139" t="s">
        <v>24</v>
      </c>
      <c r="E139" t="s">
        <v>25</v>
      </c>
      <c r="F139">
        <v>10</v>
      </c>
      <c r="G139">
        <v>159.66</v>
      </c>
      <c r="H139">
        <v>1596.6</v>
      </c>
      <c r="I139" t="s">
        <v>14</v>
      </c>
      <c r="J139" t="str">
        <f t="shared" si="2"/>
        <v>Repeat Customer</v>
      </c>
    </row>
    <row r="140" spans="1:10" x14ac:dyDescent="0.25">
      <c r="A140">
        <v>10915</v>
      </c>
      <c r="B140" t="s">
        <v>150</v>
      </c>
      <c r="C140" s="1">
        <v>45842</v>
      </c>
      <c r="D140" t="s">
        <v>24</v>
      </c>
      <c r="E140" t="s">
        <v>31</v>
      </c>
      <c r="F140">
        <v>3</v>
      </c>
      <c r="G140">
        <v>83.23</v>
      </c>
      <c r="H140">
        <v>249.69</v>
      </c>
      <c r="I140" t="s">
        <v>12</v>
      </c>
      <c r="J140" t="str">
        <f t="shared" si="2"/>
        <v>Repeat Customer</v>
      </c>
    </row>
    <row r="141" spans="1:10" x14ac:dyDescent="0.25">
      <c r="A141">
        <v>10354</v>
      </c>
      <c r="B141" t="s">
        <v>217</v>
      </c>
      <c r="C141" s="1">
        <v>45392</v>
      </c>
      <c r="D141" t="s">
        <v>24</v>
      </c>
      <c r="E141" t="s">
        <v>19</v>
      </c>
      <c r="F141">
        <v>7</v>
      </c>
      <c r="G141">
        <v>119.91</v>
      </c>
      <c r="H141">
        <v>839.37</v>
      </c>
      <c r="I141" t="s">
        <v>32</v>
      </c>
      <c r="J141" t="str">
        <f t="shared" si="2"/>
        <v>Repeat Customer</v>
      </c>
    </row>
    <row r="142" spans="1:10" x14ac:dyDescent="0.25">
      <c r="A142">
        <v>10490</v>
      </c>
      <c r="B142" t="s">
        <v>217</v>
      </c>
      <c r="C142" s="1">
        <v>45661</v>
      </c>
      <c r="D142" t="s">
        <v>16</v>
      </c>
      <c r="E142" t="s">
        <v>31</v>
      </c>
      <c r="F142">
        <v>1</v>
      </c>
      <c r="G142">
        <v>216.66</v>
      </c>
      <c r="H142">
        <v>216.66</v>
      </c>
      <c r="I142" t="s">
        <v>14</v>
      </c>
      <c r="J142" t="str">
        <f t="shared" si="2"/>
        <v>Repeat Customer</v>
      </c>
    </row>
    <row r="143" spans="1:10" x14ac:dyDescent="0.25">
      <c r="A143">
        <v>10531</v>
      </c>
      <c r="B143" t="s">
        <v>217</v>
      </c>
      <c r="C143" s="1">
        <v>45446</v>
      </c>
      <c r="D143" t="s">
        <v>16</v>
      </c>
      <c r="E143" t="s">
        <v>31</v>
      </c>
      <c r="F143">
        <v>3</v>
      </c>
      <c r="G143">
        <v>496.21</v>
      </c>
      <c r="H143">
        <v>1488.63</v>
      </c>
      <c r="I143" t="s">
        <v>32</v>
      </c>
      <c r="J143" t="str">
        <f t="shared" si="2"/>
        <v>Repeat Customer</v>
      </c>
    </row>
    <row r="144" spans="1:10" x14ac:dyDescent="0.25">
      <c r="A144">
        <v>10569</v>
      </c>
      <c r="B144" t="s">
        <v>217</v>
      </c>
      <c r="C144" s="1">
        <v>45520</v>
      </c>
      <c r="D144" t="s">
        <v>18</v>
      </c>
      <c r="E144" t="s">
        <v>31</v>
      </c>
      <c r="F144">
        <v>8</v>
      </c>
      <c r="G144">
        <v>169.33</v>
      </c>
      <c r="H144">
        <v>1354.64</v>
      </c>
      <c r="I144" t="s">
        <v>22</v>
      </c>
      <c r="J144" t="str">
        <f t="shared" si="2"/>
        <v>Repeat Customer</v>
      </c>
    </row>
    <row r="145" spans="1:10" x14ac:dyDescent="0.25">
      <c r="A145">
        <v>10750</v>
      </c>
      <c r="B145" t="s">
        <v>217</v>
      </c>
      <c r="C145" s="1">
        <v>45604</v>
      </c>
      <c r="D145" t="s">
        <v>18</v>
      </c>
      <c r="E145" t="s">
        <v>25</v>
      </c>
      <c r="F145">
        <v>9</v>
      </c>
      <c r="G145">
        <v>25.39</v>
      </c>
      <c r="H145">
        <v>228.51</v>
      </c>
      <c r="I145" t="s">
        <v>22</v>
      </c>
      <c r="J145" t="str">
        <f t="shared" si="2"/>
        <v>Repeat Customer</v>
      </c>
    </row>
    <row r="146" spans="1:10" x14ac:dyDescent="0.25">
      <c r="A146">
        <v>10760</v>
      </c>
      <c r="B146" t="s">
        <v>217</v>
      </c>
      <c r="C146" s="1">
        <v>45540</v>
      </c>
      <c r="D146" t="s">
        <v>16</v>
      </c>
      <c r="E146" t="s">
        <v>11</v>
      </c>
      <c r="F146">
        <v>10</v>
      </c>
      <c r="G146">
        <v>463.73</v>
      </c>
      <c r="H146">
        <v>4637.3</v>
      </c>
      <c r="I146" t="s">
        <v>22</v>
      </c>
      <c r="J146" t="str">
        <f t="shared" si="2"/>
        <v>Repeat Customer</v>
      </c>
    </row>
    <row r="147" spans="1:10" x14ac:dyDescent="0.25">
      <c r="A147">
        <v>10831</v>
      </c>
      <c r="B147" t="s">
        <v>217</v>
      </c>
      <c r="C147" s="1">
        <v>45380</v>
      </c>
      <c r="D147" t="s">
        <v>18</v>
      </c>
      <c r="E147" t="s">
        <v>31</v>
      </c>
      <c r="F147">
        <v>7</v>
      </c>
      <c r="G147">
        <v>199</v>
      </c>
      <c r="H147">
        <v>1393</v>
      </c>
      <c r="I147" t="s">
        <v>22</v>
      </c>
      <c r="J147" t="str">
        <f t="shared" si="2"/>
        <v>Repeat Customer</v>
      </c>
    </row>
    <row r="148" spans="1:10" x14ac:dyDescent="0.25">
      <c r="A148">
        <v>10974</v>
      </c>
      <c r="B148" t="s">
        <v>217</v>
      </c>
      <c r="C148" s="1">
        <v>45571</v>
      </c>
      <c r="D148" t="s">
        <v>16</v>
      </c>
      <c r="E148" t="s">
        <v>11</v>
      </c>
      <c r="F148">
        <v>6</v>
      </c>
      <c r="G148">
        <v>212.66</v>
      </c>
      <c r="H148">
        <v>1275.96</v>
      </c>
      <c r="I148" t="s">
        <v>22</v>
      </c>
      <c r="J148" t="str">
        <f t="shared" si="2"/>
        <v>Repeat Customer</v>
      </c>
    </row>
    <row r="149" spans="1:10" x14ac:dyDescent="0.25">
      <c r="A149">
        <v>11068</v>
      </c>
      <c r="B149" t="s">
        <v>217</v>
      </c>
      <c r="C149" s="1">
        <v>45485</v>
      </c>
      <c r="D149" t="s">
        <v>10</v>
      </c>
      <c r="E149" t="s">
        <v>11</v>
      </c>
      <c r="F149">
        <v>3</v>
      </c>
      <c r="G149">
        <v>32.01</v>
      </c>
      <c r="H149">
        <v>96.03</v>
      </c>
      <c r="I149" t="s">
        <v>32</v>
      </c>
      <c r="J149" t="str">
        <f t="shared" si="2"/>
        <v>Repeat Customer</v>
      </c>
    </row>
    <row r="150" spans="1:10" x14ac:dyDescent="0.25">
      <c r="A150">
        <v>11459</v>
      </c>
      <c r="B150" t="s">
        <v>217</v>
      </c>
      <c r="C150" s="1">
        <v>45672</v>
      </c>
      <c r="D150" t="s">
        <v>24</v>
      </c>
      <c r="E150" t="s">
        <v>11</v>
      </c>
      <c r="F150">
        <v>7</v>
      </c>
      <c r="G150">
        <v>101.39</v>
      </c>
      <c r="H150">
        <v>709.73</v>
      </c>
      <c r="I150" t="s">
        <v>12</v>
      </c>
      <c r="J150" t="str">
        <f t="shared" si="2"/>
        <v>Repeat Customer</v>
      </c>
    </row>
    <row r="151" spans="1:10" x14ac:dyDescent="0.25">
      <c r="A151">
        <v>10011</v>
      </c>
      <c r="B151" t="s">
        <v>29</v>
      </c>
      <c r="C151" s="1">
        <v>45526</v>
      </c>
      <c r="D151" t="s">
        <v>21</v>
      </c>
      <c r="E151" t="s">
        <v>19</v>
      </c>
      <c r="F151">
        <v>1</v>
      </c>
      <c r="G151">
        <v>403.5</v>
      </c>
      <c r="H151">
        <v>403.5</v>
      </c>
      <c r="I151" t="s">
        <v>12</v>
      </c>
      <c r="J151" t="str">
        <f t="shared" si="2"/>
        <v>Repeat Customer</v>
      </c>
    </row>
    <row r="152" spans="1:10" x14ac:dyDescent="0.25">
      <c r="A152">
        <v>10141</v>
      </c>
      <c r="B152" t="s">
        <v>29</v>
      </c>
      <c r="C152" s="1">
        <v>45592</v>
      </c>
      <c r="D152" t="s">
        <v>10</v>
      </c>
      <c r="E152" t="s">
        <v>25</v>
      </c>
      <c r="F152">
        <v>6</v>
      </c>
      <c r="G152">
        <v>190.55</v>
      </c>
      <c r="H152">
        <v>1143.3</v>
      </c>
      <c r="I152" t="s">
        <v>32</v>
      </c>
      <c r="J152" t="str">
        <f t="shared" si="2"/>
        <v>Repeat Customer</v>
      </c>
    </row>
    <row r="153" spans="1:10" x14ac:dyDescent="0.25">
      <c r="A153">
        <v>10202</v>
      </c>
      <c r="B153" t="s">
        <v>29</v>
      </c>
      <c r="C153" s="1">
        <v>45652</v>
      </c>
      <c r="D153" t="s">
        <v>21</v>
      </c>
      <c r="E153" t="s">
        <v>31</v>
      </c>
      <c r="F153">
        <v>9</v>
      </c>
      <c r="G153">
        <v>41.72</v>
      </c>
      <c r="H153">
        <v>375.48</v>
      </c>
      <c r="I153" t="s">
        <v>12</v>
      </c>
      <c r="J153" t="str">
        <f t="shared" si="2"/>
        <v>Repeat Customer</v>
      </c>
    </row>
    <row r="154" spans="1:10" x14ac:dyDescent="0.25">
      <c r="A154">
        <v>10510</v>
      </c>
      <c r="B154" t="s">
        <v>29</v>
      </c>
      <c r="C154" s="1">
        <v>45819</v>
      </c>
      <c r="D154" t="s">
        <v>18</v>
      </c>
      <c r="E154" t="s">
        <v>31</v>
      </c>
      <c r="F154">
        <v>3</v>
      </c>
      <c r="G154">
        <v>37.479999999999997</v>
      </c>
      <c r="H154">
        <v>112.44</v>
      </c>
      <c r="I154" t="s">
        <v>14</v>
      </c>
      <c r="J154" t="str">
        <f t="shared" si="2"/>
        <v>Repeat Customer</v>
      </c>
    </row>
    <row r="155" spans="1:10" x14ac:dyDescent="0.25">
      <c r="A155">
        <v>10203</v>
      </c>
      <c r="B155" t="s">
        <v>162</v>
      </c>
      <c r="C155" s="1">
        <v>45669</v>
      </c>
      <c r="D155" t="s">
        <v>24</v>
      </c>
      <c r="E155" t="s">
        <v>31</v>
      </c>
      <c r="F155">
        <v>5</v>
      </c>
      <c r="G155">
        <v>42.98</v>
      </c>
      <c r="H155">
        <v>214.9</v>
      </c>
      <c r="I155" t="s">
        <v>32</v>
      </c>
      <c r="J155" t="str">
        <f t="shared" si="2"/>
        <v>Repeat Customer</v>
      </c>
    </row>
    <row r="156" spans="1:10" x14ac:dyDescent="0.25">
      <c r="A156">
        <v>11381</v>
      </c>
      <c r="B156" t="s">
        <v>162</v>
      </c>
      <c r="C156" s="1">
        <v>45656</v>
      </c>
      <c r="D156" t="s">
        <v>16</v>
      </c>
      <c r="E156" t="s">
        <v>19</v>
      </c>
      <c r="F156">
        <v>1</v>
      </c>
      <c r="G156">
        <v>309.69</v>
      </c>
      <c r="H156">
        <v>309.69</v>
      </c>
      <c r="I156" t="s">
        <v>22</v>
      </c>
      <c r="J156" t="str">
        <f t="shared" si="2"/>
        <v>Repeat Customer</v>
      </c>
    </row>
    <row r="157" spans="1:10" x14ac:dyDescent="0.25">
      <c r="A157">
        <v>10294</v>
      </c>
      <c r="B157" t="s">
        <v>195</v>
      </c>
      <c r="C157" s="1">
        <v>45383</v>
      </c>
      <c r="D157" t="s">
        <v>24</v>
      </c>
      <c r="E157" t="s">
        <v>25</v>
      </c>
      <c r="F157">
        <v>10</v>
      </c>
      <c r="G157">
        <v>119.95</v>
      </c>
      <c r="H157">
        <v>1199.5</v>
      </c>
      <c r="I157" t="s">
        <v>32</v>
      </c>
      <c r="J157" t="str">
        <f t="shared" si="2"/>
        <v>Repeat Customer</v>
      </c>
    </row>
    <row r="158" spans="1:10" x14ac:dyDescent="0.25">
      <c r="A158">
        <v>10557</v>
      </c>
      <c r="B158" t="s">
        <v>195</v>
      </c>
      <c r="C158" s="1">
        <v>45455</v>
      </c>
      <c r="D158" t="s">
        <v>18</v>
      </c>
      <c r="E158" t="s">
        <v>31</v>
      </c>
      <c r="F158">
        <v>2</v>
      </c>
      <c r="G158">
        <v>210.93</v>
      </c>
      <c r="H158">
        <v>421.86</v>
      </c>
      <c r="I158" t="s">
        <v>32</v>
      </c>
      <c r="J158" t="str">
        <f t="shared" si="2"/>
        <v>Repeat Customer</v>
      </c>
    </row>
    <row r="159" spans="1:10" x14ac:dyDescent="0.25">
      <c r="A159">
        <v>10721</v>
      </c>
      <c r="B159" t="s">
        <v>195</v>
      </c>
      <c r="C159" s="1">
        <v>45656</v>
      </c>
      <c r="D159" t="s">
        <v>24</v>
      </c>
      <c r="E159" t="s">
        <v>25</v>
      </c>
      <c r="F159">
        <v>3</v>
      </c>
      <c r="G159">
        <v>352.16</v>
      </c>
      <c r="H159">
        <v>1056.48</v>
      </c>
      <c r="I159" t="s">
        <v>32</v>
      </c>
      <c r="J159" t="str">
        <f t="shared" si="2"/>
        <v>Repeat Customer</v>
      </c>
    </row>
    <row r="160" spans="1:10" x14ac:dyDescent="0.25">
      <c r="A160">
        <v>11304</v>
      </c>
      <c r="B160" t="s">
        <v>195</v>
      </c>
      <c r="C160" s="1">
        <v>45479</v>
      </c>
      <c r="D160" t="s">
        <v>21</v>
      </c>
      <c r="E160" t="s">
        <v>31</v>
      </c>
      <c r="F160">
        <v>4</v>
      </c>
      <c r="G160">
        <v>133.38</v>
      </c>
      <c r="H160">
        <v>533.52</v>
      </c>
      <c r="I160" t="s">
        <v>12</v>
      </c>
      <c r="J160" t="str">
        <f t="shared" si="2"/>
        <v>Repeat Customer</v>
      </c>
    </row>
    <row r="161" spans="1:10" x14ac:dyDescent="0.25">
      <c r="A161">
        <v>10077</v>
      </c>
      <c r="B161" t="s">
        <v>84</v>
      </c>
      <c r="C161" s="1">
        <v>45503</v>
      </c>
      <c r="D161" t="s">
        <v>18</v>
      </c>
      <c r="E161" t="s">
        <v>11</v>
      </c>
      <c r="F161">
        <v>7</v>
      </c>
      <c r="G161">
        <v>197.79</v>
      </c>
      <c r="H161">
        <v>1384.53</v>
      </c>
      <c r="I161" t="s">
        <v>32</v>
      </c>
      <c r="J161" t="str">
        <f t="shared" si="2"/>
        <v>Repeat Customer</v>
      </c>
    </row>
    <row r="162" spans="1:10" x14ac:dyDescent="0.25">
      <c r="A162">
        <v>10283</v>
      </c>
      <c r="B162" t="s">
        <v>84</v>
      </c>
      <c r="C162" s="1">
        <v>46014</v>
      </c>
      <c r="D162" t="s">
        <v>18</v>
      </c>
      <c r="E162" t="s">
        <v>19</v>
      </c>
      <c r="F162">
        <v>3</v>
      </c>
      <c r="G162">
        <v>261.75</v>
      </c>
      <c r="H162">
        <v>785.25</v>
      </c>
      <c r="I162" t="s">
        <v>32</v>
      </c>
      <c r="J162" t="str">
        <f t="shared" si="2"/>
        <v>Repeat Customer</v>
      </c>
    </row>
    <row r="163" spans="1:10" x14ac:dyDescent="0.25">
      <c r="A163">
        <v>10770</v>
      </c>
      <c r="B163" t="s">
        <v>84</v>
      </c>
      <c r="C163" s="1">
        <v>45932</v>
      </c>
      <c r="D163" t="s">
        <v>24</v>
      </c>
      <c r="E163" t="s">
        <v>19</v>
      </c>
      <c r="F163">
        <v>5</v>
      </c>
      <c r="G163">
        <v>439.95</v>
      </c>
      <c r="H163">
        <v>2199.75</v>
      </c>
      <c r="I163" t="s">
        <v>14</v>
      </c>
      <c r="J163" t="str">
        <f t="shared" si="2"/>
        <v>Repeat Customer</v>
      </c>
    </row>
    <row r="164" spans="1:10" x14ac:dyDescent="0.25">
      <c r="A164">
        <v>10863</v>
      </c>
      <c r="B164" t="s">
        <v>84</v>
      </c>
      <c r="C164" s="1">
        <v>45936</v>
      </c>
      <c r="D164" t="s">
        <v>18</v>
      </c>
      <c r="E164" t="s">
        <v>11</v>
      </c>
      <c r="F164">
        <v>8</v>
      </c>
      <c r="G164">
        <v>291.18</v>
      </c>
      <c r="H164">
        <v>2329.44</v>
      </c>
      <c r="I164" t="s">
        <v>22</v>
      </c>
      <c r="J164" t="str">
        <f t="shared" si="2"/>
        <v>Repeat Customer</v>
      </c>
    </row>
    <row r="165" spans="1:10" x14ac:dyDescent="0.25">
      <c r="A165">
        <v>11103</v>
      </c>
      <c r="B165" t="s">
        <v>84</v>
      </c>
      <c r="C165" s="1">
        <v>45832</v>
      </c>
      <c r="D165" t="s">
        <v>16</v>
      </c>
      <c r="E165" t="s">
        <v>11</v>
      </c>
      <c r="F165">
        <v>1</v>
      </c>
      <c r="G165">
        <v>213.89</v>
      </c>
      <c r="H165">
        <v>213.89</v>
      </c>
      <c r="I165" t="s">
        <v>22</v>
      </c>
      <c r="J165" t="str">
        <f t="shared" si="2"/>
        <v>Repeat Customer</v>
      </c>
    </row>
    <row r="166" spans="1:10" x14ac:dyDescent="0.25">
      <c r="A166">
        <v>11307</v>
      </c>
      <c r="B166" t="s">
        <v>84</v>
      </c>
      <c r="C166" s="1">
        <v>45564</v>
      </c>
      <c r="D166" t="s">
        <v>24</v>
      </c>
      <c r="E166" t="s">
        <v>11</v>
      </c>
      <c r="F166">
        <v>1</v>
      </c>
      <c r="G166">
        <v>334.33</v>
      </c>
      <c r="H166">
        <v>334.33</v>
      </c>
      <c r="I166" t="s">
        <v>14</v>
      </c>
      <c r="J166" t="str">
        <f t="shared" si="2"/>
        <v>Repeat Customer</v>
      </c>
    </row>
    <row r="167" spans="1:10" x14ac:dyDescent="0.25">
      <c r="A167">
        <v>10313</v>
      </c>
      <c r="B167" t="s">
        <v>205</v>
      </c>
      <c r="C167" s="1">
        <v>45846</v>
      </c>
      <c r="D167" t="s">
        <v>24</v>
      </c>
      <c r="E167" t="s">
        <v>31</v>
      </c>
      <c r="F167">
        <v>1</v>
      </c>
      <c r="G167">
        <v>467.62</v>
      </c>
      <c r="H167">
        <v>467.62</v>
      </c>
      <c r="I167" t="s">
        <v>12</v>
      </c>
      <c r="J167" t="str">
        <f t="shared" si="2"/>
        <v>Repeat Customer</v>
      </c>
    </row>
    <row r="168" spans="1:10" x14ac:dyDescent="0.25">
      <c r="A168">
        <v>10364</v>
      </c>
      <c r="B168" t="s">
        <v>205</v>
      </c>
      <c r="C168" s="1">
        <v>45463</v>
      </c>
      <c r="D168" t="s">
        <v>16</v>
      </c>
      <c r="E168" t="s">
        <v>31</v>
      </c>
      <c r="F168">
        <v>7</v>
      </c>
      <c r="G168">
        <v>141.6</v>
      </c>
      <c r="H168">
        <v>991.2</v>
      </c>
      <c r="I168" t="s">
        <v>12</v>
      </c>
      <c r="J168" t="str">
        <f t="shared" si="2"/>
        <v>Repeat Customer</v>
      </c>
    </row>
    <row r="169" spans="1:10" x14ac:dyDescent="0.25">
      <c r="A169">
        <v>10407</v>
      </c>
      <c r="B169" t="s">
        <v>205</v>
      </c>
      <c r="C169" s="1">
        <v>45839</v>
      </c>
      <c r="D169" t="s">
        <v>21</v>
      </c>
      <c r="E169" t="s">
        <v>25</v>
      </c>
      <c r="F169">
        <v>7</v>
      </c>
      <c r="G169">
        <v>112.83</v>
      </c>
      <c r="H169">
        <v>789.81</v>
      </c>
      <c r="I169" t="s">
        <v>32</v>
      </c>
      <c r="J169" t="str">
        <f t="shared" si="2"/>
        <v>Repeat Customer</v>
      </c>
    </row>
    <row r="170" spans="1:10" x14ac:dyDescent="0.25">
      <c r="A170">
        <v>10939</v>
      </c>
      <c r="B170" t="s">
        <v>205</v>
      </c>
      <c r="C170" s="1">
        <v>45673</v>
      </c>
      <c r="D170" t="s">
        <v>18</v>
      </c>
      <c r="E170" t="s">
        <v>11</v>
      </c>
      <c r="F170">
        <v>6</v>
      </c>
      <c r="G170">
        <v>228.94</v>
      </c>
      <c r="H170">
        <v>1373.64</v>
      </c>
      <c r="I170" t="s">
        <v>32</v>
      </c>
      <c r="J170" t="str">
        <f t="shared" si="2"/>
        <v>Repeat Customer</v>
      </c>
    </row>
    <row r="171" spans="1:10" x14ac:dyDescent="0.25">
      <c r="A171">
        <v>10945</v>
      </c>
      <c r="B171" t="s">
        <v>205</v>
      </c>
      <c r="C171" s="1">
        <v>45314</v>
      </c>
      <c r="D171" t="s">
        <v>18</v>
      </c>
      <c r="E171" t="s">
        <v>19</v>
      </c>
      <c r="F171">
        <v>4</v>
      </c>
      <c r="G171">
        <v>418.3</v>
      </c>
      <c r="H171">
        <v>1673.2</v>
      </c>
      <c r="I171" t="s">
        <v>32</v>
      </c>
      <c r="J171" t="str">
        <f t="shared" si="2"/>
        <v>Repeat Customer</v>
      </c>
    </row>
    <row r="172" spans="1:10" x14ac:dyDescent="0.25">
      <c r="A172">
        <v>11033</v>
      </c>
      <c r="B172" t="s">
        <v>205</v>
      </c>
      <c r="C172" s="1">
        <v>45708</v>
      </c>
      <c r="D172" t="s">
        <v>24</v>
      </c>
      <c r="E172" t="s">
        <v>31</v>
      </c>
      <c r="F172">
        <v>6</v>
      </c>
      <c r="G172">
        <v>337.48</v>
      </c>
      <c r="H172">
        <v>2024.88</v>
      </c>
      <c r="I172" t="s">
        <v>14</v>
      </c>
      <c r="J172" t="str">
        <f t="shared" si="2"/>
        <v>Repeat Customer</v>
      </c>
    </row>
    <row r="173" spans="1:10" x14ac:dyDescent="0.25">
      <c r="A173">
        <v>11248</v>
      </c>
      <c r="B173" t="s">
        <v>205</v>
      </c>
      <c r="C173" s="1">
        <v>45700</v>
      </c>
      <c r="D173" t="s">
        <v>18</v>
      </c>
      <c r="E173" t="s">
        <v>19</v>
      </c>
      <c r="F173">
        <v>10</v>
      </c>
      <c r="G173">
        <v>404.75</v>
      </c>
      <c r="H173">
        <v>4047.5</v>
      </c>
      <c r="I173" t="s">
        <v>32</v>
      </c>
      <c r="J173" t="str">
        <f t="shared" si="2"/>
        <v>Repeat Customer</v>
      </c>
    </row>
    <row r="174" spans="1:10" x14ac:dyDescent="0.25">
      <c r="A174">
        <v>10208</v>
      </c>
      <c r="B174" t="s">
        <v>164</v>
      </c>
      <c r="C174" s="1">
        <v>45629</v>
      </c>
      <c r="D174" t="s">
        <v>21</v>
      </c>
      <c r="E174" t="s">
        <v>19</v>
      </c>
      <c r="F174">
        <v>2</v>
      </c>
      <c r="G174">
        <v>281.19</v>
      </c>
      <c r="H174">
        <v>562.38</v>
      </c>
      <c r="I174" t="s">
        <v>22</v>
      </c>
      <c r="J174" t="str">
        <f t="shared" si="2"/>
        <v>Repeat Customer</v>
      </c>
    </row>
    <row r="175" spans="1:10" x14ac:dyDescent="0.25">
      <c r="A175">
        <v>10840</v>
      </c>
      <c r="B175" t="s">
        <v>164</v>
      </c>
      <c r="C175" s="1">
        <v>45640</v>
      </c>
      <c r="D175" t="s">
        <v>18</v>
      </c>
      <c r="E175" t="s">
        <v>31</v>
      </c>
      <c r="F175">
        <v>4</v>
      </c>
      <c r="G175">
        <v>407.89</v>
      </c>
      <c r="H175">
        <v>1631.56</v>
      </c>
      <c r="I175" t="s">
        <v>32</v>
      </c>
      <c r="J175" t="str">
        <f t="shared" si="2"/>
        <v>Repeat Customer</v>
      </c>
    </row>
    <row r="176" spans="1:10" x14ac:dyDescent="0.25">
      <c r="A176">
        <v>11215</v>
      </c>
      <c r="B176" t="s">
        <v>164</v>
      </c>
      <c r="C176" s="1">
        <v>45413</v>
      </c>
      <c r="D176" t="s">
        <v>10</v>
      </c>
      <c r="E176" t="s">
        <v>25</v>
      </c>
      <c r="F176">
        <v>3</v>
      </c>
      <c r="G176">
        <v>441.95</v>
      </c>
      <c r="H176">
        <v>1325.85</v>
      </c>
      <c r="I176" t="s">
        <v>14</v>
      </c>
      <c r="J176" t="str">
        <f t="shared" si="2"/>
        <v>Repeat Customer</v>
      </c>
    </row>
    <row r="177" spans="1:10" x14ac:dyDescent="0.25">
      <c r="A177">
        <v>11270</v>
      </c>
      <c r="B177" t="s">
        <v>164</v>
      </c>
      <c r="C177" s="1">
        <v>45965</v>
      </c>
      <c r="D177" t="s">
        <v>16</v>
      </c>
      <c r="E177" t="s">
        <v>11</v>
      </c>
      <c r="F177">
        <v>5</v>
      </c>
      <c r="G177">
        <v>326.72000000000003</v>
      </c>
      <c r="H177">
        <v>1633.6</v>
      </c>
      <c r="I177" t="s">
        <v>12</v>
      </c>
      <c r="J177" t="str">
        <f t="shared" si="2"/>
        <v>Repeat Customer</v>
      </c>
    </row>
    <row r="178" spans="1:10" x14ac:dyDescent="0.25">
      <c r="A178">
        <v>11281</v>
      </c>
      <c r="B178" t="s">
        <v>164</v>
      </c>
      <c r="C178" s="1">
        <v>45795</v>
      </c>
      <c r="D178" t="s">
        <v>24</v>
      </c>
      <c r="E178" t="s">
        <v>25</v>
      </c>
      <c r="F178">
        <v>2</v>
      </c>
      <c r="G178">
        <v>477.06</v>
      </c>
      <c r="H178">
        <v>954.12</v>
      </c>
      <c r="I178" t="s">
        <v>14</v>
      </c>
      <c r="J178" t="str">
        <f t="shared" si="2"/>
        <v>Repeat Customer</v>
      </c>
    </row>
    <row r="179" spans="1:10" x14ac:dyDescent="0.25">
      <c r="A179">
        <v>11461</v>
      </c>
      <c r="B179" t="s">
        <v>164</v>
      </c>
      <c r="C179" s="1">
        <v>45508</v>
      </c>
      <c r="D179" t="s">
        <v>16</v>
      </c>
      <c r="E179" t="s">
        <v>25</v>
      </c>
      <c r="F179">
        <v>10</v>
      </c>
      <c r="G179">
        <v>10.43</v>
      </c>
      <c r="H179">
        <v>104.3</v>
      </c>
      <c r="I179" t="s">
        <v>14</v>
      </c>
      <c r="J179" t="str">
        <f t="shared" si="2"/>
        <v>Repeat Customer</v>
      </c>
    </row>
    <row r="180" spans="1:10" x14ac:dyDescent="0.25">
      <c r="A180">
        <v>11482</v>
      </c>
      <c r="B180" t="s">
        <v>164</v>
      </c>
      <c r="C180" s="1">
        <v>45616</v>
      </c>
      <c r="D180" t="s">
        <v>21</v>
      </c>
      <c r="E180" t="s">
        <v>25</v>
      </c>
      <c r="F180">
        <v>6</v>
      </c>
      <c r="G180">
        <v>498.24</v>
      </c>
      <c r="H180">
        <v>2989.44</v>
      </c>
      <c r="I180" t="s">
        <v>32</v>
      </c>
      <c r="J180" t="str">
        <f t="shared" si="2"/>
        <v>Repeat Customer</v>
      </c>
    </row>
    <row r="181" spans="1:10" x14ac:dyDescent="0.25">
      <c r="A181">
        <v>10026</v>
      </c>
      <c r="B181" t="s">
        <v>45</v>
      </c>
      <c r="C181" s="1">
        <v>45324</v>
      </c>
      <c r="D181" t="s">
        <v>10</v>
      </c>
      <c r="E181" t="s">
        <v>19</v>
      </c>
      <c r="F181">
        <v>6</v>
      </c>
      <c r="G181">
        <v>40.07</v>
      </c>
      <c r="H181">
        <v>240.42</v>
      </c>
      <c r="I181" t="s">
        <v>32</v>
      </c>
      <c r="J181" t="str">
        <f t="shared" si="2"/>
        <v>Repeat Customer</v>
      </c>
    </row>
    <row r="182" spans="1:10" x14ac:dyDescent="0.25">
      <c r="A182">
        <v>10231</v>
      </c>
      <c r="B182" t="s">
        <v>45</v>
      </c>
      <c r="C182" s="1">
        <v>45645</v>
      </c>
      <c r="D182" t="s">
        <v>24</v>
      </c>
      <c r="E182" t="s">
        <v>19</v>
      </c>
      <c r="F182">
        <v>4</v>
      </c>
      <c r="G182">
        <v>367.81</v>
      </c>
      <c r="H182">
        <v>1471.24</v>
      </c>
      <c r="I182" t="s">
        <v>14</v>
      </c>
      <c r="J182" t="str">
        <f t="shared" si="2"/>
        <v>Repeat Customer</v>
      </c>
    </row>
    <row r="183" spans="1:10" x14ac:dyDescent="0.25">
      <c r="A183">
        <v>10320</v>
      </c>
      <c r="B183" t="s">
        <v>45</v>
      </c>
      <c r="C183" s="1">
        <v>45395</v>
      </c>
      <c r="D183" t="s">
        <v>18</v>
      </c>
      <c r="E183" t="s">
        <v>11</v>
      </c>
      <c r="F183">
        <v>10</v>
      </c>
      <c r="G183">
        <v>21.62</v>
      </c>
      <c r="H183">
        <v>216.2</v>
      </c>
      <c r="I183" t="s">
        <v>14</v>
      </c>
      <c r="J183" t="str">
        <f t="shared" si="2"/>
        <v>Repeat Customer</v>
      </c>
    </row>
    <row r="184" spans="1:10" x14ac:dyDescent="0.25">
      <c r="A184">
        <v>10500</v>
      </c>
      <c r="B184" t="s">
        <v>45</v>
      </c>
      <c r="C184" s="1">
        <v>45381</v>
      </c>
      <c r="D184" t="s">
        <v>18</v>
      </c>
      <c r="E184" t="s">
        <v>19</v>
      </c>
      <c r="F184">
        <v>7</v>
      </c>
      <c r="G184">
        <v>280.39999999999998</v>
      </c>
      <c r="H184">
        <v>1962.8</v>
      </c>
      <c r="I184" t="s">
        <v>22</v>
      </c>
      <c r="J184" t="str">
        <f t="shared" si="2"/>
        <v>Repeat Customer</v>
      </c>
    </row>
    <row r="185" spans="1:10" x14ac:dyDescent="0.25">
      <c r="A185">
        <v>10615</v>
      </c>
      <c r="B185" t="s">
        <v>45</v>
      </c>
      <c r="C185" s="1">
        <v>45548</v>
      </c>
      <c r="D185" t="s">
        <v>18</v>
      </c>
      <c r="E185" t="s">
        <v>31</v>
      </c>
      <c r="F185">
        <v>2</v>
      </c>
      <c r="G185">
        <v>102.72</v>
      </c>
      <c r="H185">
        <v>205.44</v>
      </c>
      <c r="I185" t="s">
        <v>22</v>
      </c>
      <c r="J185" t="str">
        <f t="shared" si="2"/>
        <v>Repeat Customer</v>
      </c>
    </row>
    <row r="186" spans="1:10" x14ac:dyDescent="0.25">
      <c r="A186">
        <v>10038</v>
      </c>
      <c r="B186" t="s">
        <v>55</v>
      </c>
      <c r="C186" s="1">
        <v>45901</v>
      </c>
      <c r="D186" t="s">
        <v>10</v>
      </c>
      <c r="E186" t="s">
        <v>31</v>
      </c>
      <c r="F186">
        <v>2</v>
      </c>
      <c r="G186">
        <v>339.23</v>
      </c>
      <c r="H186">
        <v>678.46</v>
      </c>
      <c r="I186" t="s">
        <v>12</v>
      </c>
      <c r="J186" t="str">
        <f t="shared" si="2"/>
        <v>Repeat Customer</v>
      </c>
    </row>
    <row r="187" spans="1:10" x14ac:dyDescent="0.25">
      <c r="A187">
        <v>10057</v>
      </c>
      <c r="B187" t="s">
        <v>55</v>
      </c>
      <c r="C187" s="1">
        <v>45577</v>
      </c>
      <c r="D187" t="s">
        <v>21</v>
      </c>
      <c r="E187" t="s">
        <v>19</v>
      </c>
      <c r="F187">
        <v>6</v>
      </c>
      <c r="G187">
        <v>322.52999999999997</v>
      </c>
      <c r="H187">
        <v>1935.18</v>
      </c>
      <c r="I187" t="s">
        <v>12</v>
      </c>
      <c r="J187" t="str">
        <f t="shared" si="2"/>
        <v>Repeat Customer</v>
      </c>
    </row>
    <row r="188" spans="1:10" x14ac:dyDescent="0.25">
      <c r="A188">
        <v>10372</v>
      </c>
      <c r="B188" t="s">
        <v>55</v>
      </c>
      <c r="C188" s="1">
        <v>45710</v>
      </c>
      <c r="D188" t="s">
        <v>16</v>
      </c>
      <c r="E188" t="s">
        <v>25</v>
      </c>
      <c r="F188">
        <v>8</v>
      </c>
      <c r="G188">
        <v>73.89</v>
      </c>
      <c r="H188">
        <v>591.12</v>
      </c>
      <c r="I188" t="s">
        <v>22</v>
      </c>
      <c r="J188" t="str">
        <f t="shared" si="2"/>
        <v>Repeat Customer</v>
      </c>
    </row>
    <row r="189" spans="1:10" x14ac:dyDescent="0.25">
      <c r="A189">
        <v>10441</v>
      </c>
      <c r="B189" t="s">
        <v>55</v>
      </c>
      <c r="C189" s="1">
        <v>45768</v>
      </c>
      <c r="D189" t="s">
        <v>16</v>
      </c>
      <c r="E189" t="s">
        <v>19</v>
      </c>
      <c r="F189">
        <v>5</v>
      </c>
      <c r="G189">
        <v>387.9</v>
      </c>
      <c r="H189">
        <v>1939.5</v>
      </c>
      <c r="I189" t="s">
        <v>12</v>
      </c>
      <c r="J189" t="str">
        <f t="shared" si="2"/>
        <v>Repeat Customer</v>
      </c>
    </row>
    <row r="190" spans="1:10" x14ac:dyDescent="0.25">
      <c r="A190">
        <v>10726</v>
      </c>
      <c r="B190" t="s">
        <v>55</v>
      </c>
      <c r="C190" s="1">
        <v>45835</v>
      </c>
      <c r="D190" t="s">
        <v>16</v>
      </c>
      <c r="E190" t="s">
        <v>19</v>
      </c>
      <c r="F190">
        <v>3</v>
      </c>
      <c r="G190">
        <v>227.45</v>
      </c>
      <c r="H190">
        <v>682.35</v>
      </c>
      <c r="I190" t="s">
        <v>32</v>
      </c>
      <c r="J190" t="str">
        <f t="shared" si="2"/>
        <v>Repeat Customer</v>
      </c>
    </row>
    <row r="191" spans="1:10" x14ac:dyDescent="0.25">
      <c r="A191">
        <v>10193</v>
      </c>
      <c r="B191" t="s">
        <v>158</v>
      </c>
      <c r="C191" s="1">
        <v>45698</v>
      </c>
      <c r="D191" t="s">
        <v>21</v>
      </c>
      <c r="E191" t="s">
        <v>11</v>
      </c>
      <c r="F191">
        <v>1</v>
      </c>
      <c r="G191">
        <v>220.93</v>
      </c>
      <c r="H191">
        <v>220.93</v>
      </c>
      <c r="I191" t="s">
        <v>22</v>
      </c>
      <c r="J191" t="str">
        <f t="shared" si="2"/>
        <v>Repeat Customer</v>
      </c>
    </row>
    <row r="192" spans="1:10" x14ac:dyDescent="0.25">
      <c r="A192">
        <v>10898</v>
      </c>
      <c r="B192" t="s">
        <v>158</v>
      </c>
      <c r="C192" s="1">
        <v>45329</v>
      </c>
      <c r="D192" t="s">
        <v>24</v>
      </c>
      <c r="E192" t="s">
        <v>31</v>
      </c>
      <c r="F192">
        <v>3</v>
      </c>
      <c r="G192">
        <v>247</v>
      </c>
      <c r="H192">
        <v>741</v>
      </c>
      <c r="I192" t="s">
        <v>12</v>
      </c>
      <c r="J192" t="str">
        <f t="shared" si="2"/>
        <v>Repeat Customer</v>
      </c>
    </row>
    <row r="193" spans="1:10" x14ac:dyDescent="0.25">
      <c r="A193">
        <v>10916</v>
      </c>
      <c r="B193" t="s">
        <v>158</v>
      </c>
      <c r="C193" s="1">
        <v>45532</v>
      </c>
      <c r="D193" t="s">
        <v>16</v>
      </c>
      <c r="E193" t="s">
        <v>31</v>
      </c>
      <c r="F193">
        <v>8</v>
      </c>
      <c r="G193">
        <v>298.39</v>
      </c>
      <c r="H193">
        <v>2387.12</v>
      </c>
      <c r="I193" t="s">
        <v>14</v>
      </c>
      <c r="J193" t="str">
        <f t="shared" si="2"/>
        <v>Repeat Customer</v>
      </c>
    </row>
    <row r="194" spans="1:10" x14ac:dyDescent="0.25">
      <c r="A194">
        <v>10933</v>
      </c>
      <c r="B194" t="s">
        <v>158</v>
      </c>
      <c r="C194" s="1">
        <v>45686</v>
      </c>
      <c r="D194" t="s">
        <v>16</v>
      </c>
      <c r="E194" t="s">
        <v>31</v>
      </c>
      <c r="F194">
        <v>6</v>
      </c>
      <c r="G194">
        <v>267.81</v>
      </c>
      <c r="H194">
        <v>1606.86</v>
      </c>
      <c r="I194" t="s">
        <v>22</v>
      </c>
      <c r="J194" t="str">
        <f t="shared" ref="J194:J257" si="3">IF(COUNTIF($B:$B,B194)&gt;1,"Repeat Customer","New Customer")</f>
        <v>Repeat Customer</v>
      </c>
    </row>
    <row r="195" spans="1:10" x14ac:dyDescent="0.25">
      <c r="A195">
        <v>11078</v>
      </c>
      <c r="B195" t="s">
        <v>158</v>
      </c>
      <c r="C195" s="1">
        <v>45852</v>
      </c>
      <c r="D195" t="s">
        <v>21</v>
      </c>
      <c r="E195" t="s">
        <v>19</v>
      </c>
      <c r="F195">
        <v>10</v>
      </c>
      <c r="G195">
        <v>193.79</v>
      </c>
      <c r="H195">
        <v>1937.9</v>
      </c>
      <c r="I195" t="s">
        <v>14</v>
      </c>
      <c r="J195" t="str">
        <f t="shared" si="3"/>
        <v>Repeat Customer</v>
      </c>
    </row>
    <row r="196" spans="1:10" x14ac:dyDescent="0.25">
      <c r="A196">
        <v>10042</v>
      </c>
      <c r="B196" t="s">
        <v>58</v>
      </c>
      <c r="C196" s="1">
        <v>45301</v>
      </c>
      <c r="D196" t="s">
        <v>18</v>
      </c>
      <c r="E196" t="s">
        <v>11</v>
      </c>
      <c r="F196">
        <v>8</v>
      </c>
      <c r="G196">
        <v>312.47000000000003</v>
      </c>
      <c r="H196">
        <v>2499.7600000000002</v>
      </c>
      <c r="I196" t="s">
        <v>12</v>
      </c>
      <c r="J196" t="str">
        <f t="shared" si="3"/>
        <v>New Customer</v>
      </c>
    </row>
    <row r="197" spans="1:10" x14ac:dyDescent="0.25">
      <c r="A197">
        <v>11188</v>
      </c>
      <c r="B197" t="s">
        <v>318</v>
      </c>
      <c r="C197" s="1">
        <v>45547</v>
      </c>
      <c r="D197" t="s">
        <v>16</v>
      </c>
      <c r="E197" t="s">
        <v>11</v>
      </c>
      <c r="F197">
        <v>4</v>
      </c>
      <c r="G197">
        <v>86.42</v>
      </c>
      <c r="H197">
        <v>345.68</v>
      </c>
      <c r="I197" t="s">
        <v>12</v>
      </c>
      <c r="J197" t="str">
        <f t="shared" si="3"/>
        <v>New Customer</v>
      </c>
    </row>
    <row r="198" spans="1:10" x14ac:dyDescent="0.25">
      <c r="A198">
        <v>10308</v>
      </c>
      <c r="B198" t="s">
        <v>203</v>
      </c>
      <c r="C198" s="1">
        <v>45869</v>
      </c>
      <c r="D198" t="s">
        <v>18</v>
      </c>
      <c r="E198" t="s">
        <v>25</v>
      </c>
      <c r="F198">
        <v>2</v>
      </c>
      <c r="G198">
        <v>35.57</v>
      </c>
      <c r="H198">
        <v>71.14</v>
      </c>
      <c r="I198" t="s">
        <v>14</v>
      </c>
      <c r="J198" t="str">
        <f t="shared" si="3"/>
        <v>Repeat Customer</v>
      </c>
    </row>
    <row r="199" spans="1:10" x14ac:dyDescent="0.25">
      <c r="A199">
        <v>10631</v>
      </c>
      <c r="B199" t="s">
        <v>203</v>
      </c>
      <c r="C199" s="1">
        <v>45821</v>
      </c>
      <c r="D199" t="s">
        <v>10</v>
      </c>
      <c r="E199" t="s">
        <v>31</v>
      </c>
      <c r="F199">
        <v>5</v>
      </c>
      <c r="G199">
        <v>191.28</v>
      </c>
      <c r="H199">
        <v>956.4</v>
      </c>
      <c r="I199" t="s">
        <v>22</v>
      </c>
      <c r="J199" t="str">
        <f t="shared" si="3"/>
        <v>Repeat Customer</v>
      </c>
    </row>
    <row r="200" spans="1:10" x14ac:dyDescent="0.25">
      <c r="A200">
        <v>11175</v>
      </c>
      <c r="B200" t="s">
        <v>203</v>
      </c>
      <c r="C200" s="1">
        <v>45843</v>
      </c>
      <c r="D200" t="s">
        <v>21</v>
      </c>
      <c r="E200" t="s">
        <v>11</v>
      </c>
      <c r="F200">
        <v>1</v>
      </c>
      <c r="G200">
        <v>446.82</v>
      </c>
      <c r="H200">
        <v>446.82</v>
      </c>
      <c r="I200" t="s">
        <v>22</v>
      </c>
      <c r="J200" t="str">
        <f t="shared" si="3"/>
        <v>Repeat Customer</v>
      </c>
    </row>
    <row r="201" spans="1:10" x14ac:dyDescent="0.25">
      <c r="A201">
        <v>11254</v>
      </c>
      <c r="B201" t="s">
        <v>203</v>
      </c>
      <c r="C201" s="1">
        <v>45399</v>
      </c>
      <c r="D201" t="s">
        <v>16</v>
      </c>
      <c r="E201" t="s">
        <v>31</v>
      </c>
      <c r="F201">
        <v>9</v>
      </c>
      <c r="G201">
        <v>384.44</v>
      </c>
      <c r="H201">
        <v>3459.96</v>
      </c>
      <c r="I201" t="s">
        <v>32</v>
      </c>
      <c r="J201" t="str">
        <f t="shared" si="3"/>
        <v>Repeat Customer</v>
      </c>
    </row>
    <row r="202" spans="1:10" x14ac:dyDescent="0.25">
      <c r="A202">
        <v>10008</v>
      </c>
      <c r="B202" t="s">
        <v>26</v>
      </c>
      <c r="C202" s="1">
        <v>45530</v>
      </c>
      <c r="D202" t="s">
        <v>21</v>
      </c>
      <c r="E202" t="s">
        <v>19</v>
      </c>
      <c r="F202">
        <v>2</v>
      </c>
      <c r="G202">
        <v>193.16</v>
      </c>
      <c r="H202">
        <v>386.32</v>
      </c>
      <c r="I202" t="s">
        <v>14</v>
      </c>
      <c r="J202" t="str">
        <f t="shared" si="3"/>
        <v>Repeat Customer</v>
      </c>
    </row>
    <row r="203" spans="1:10" x14ac:dyDescent="0.25">
      <c r="A203">
        <v>10329</v>
      </c>
      <c r="B203" t="s">
        <v>26</v>
      </c>
      <c r="C203" s="1">
        <v>45752</v>
      </c>
      <c r="D203" t="s">
        <v>10</v>
      </c>
      <c r="E203" t="s">
        <v>11</v>
      </c>
      <c r="F203">
        <v>6</v>
      </c>
      <c r="G203">
        <v>50.77</v>
      </c>
      <c r="H203">
        <v>304.62</v>
      </c>
      <c r="I203" t="s">
        <v>22</v>
      </c>
      <c r="J203" t="str">
        <f t="shared" si="3"/>
        <v>Repeat Customer</v>
      </c>
    </row>
    <row r="204" spans="1:10" x14ac:dyDescent="0.25">
      <c r="A204">
        <v>10657</v>
      </c>
      <c r="B204" t="s">
        <v>26</v>
      </c>
      <c r="C204" s="1">
        <v>45915</v>
      </c>
      <c r="D204" t="s">
        <v>21</v>
      </c>
      <c r="E204" t="s">
        <v>19</v>
      </c>
      <c r="F204">
        <v>1</v>
      </c>
      <c r="G204">
        <v>363.62</v>
      </c>
      <c r="H204">
        <v>363.62</v>
      </c>
      <c r="I204" t="s">
        <v>12</v>
      </c>
      <c r="J204" t="str">
        <f t="shared" si="3"/>
        <v>Repeat Customer</v>
      </c>
    </row>
    <row r="205" spans="1:10" x14ac:dyDescent="0.25">
      <c r="A205">
        <v>10734</v>
      </c>
      <c r="B205" t="s">
        <v>26</v>
      </c>
      <c r="C205" s="1">
        <v>45771</v>
      </c>
      <c r="D205" t="s">
        <v>21</v>
      </c>
      <c r="E205" t="s">
        <v>19</v>
      </c>
      <c r="F205">
        <v>1</v>
      </c>
      <c r="G205">
        <v>183.66</v>
      </c>
      <c r="H205">
        <v>183.66</v>
      </c>
      <c r="I205" t="s">
        <v>12</v>
      </c>
      <c r="J205" t="str">
        <f t="shared" si="3"/>
        <v>Repeat Customer</v>
      </c>
    </row>
    <row r="206" spans="1:10" x14ac:dyDescent="0.25">
      <c r="A206">
        <v>10118</v>
      </c>
      <c r="B206" t="s">
        <v>113</v>
      </c>
      <c r="C206" s="1">
        <v>45904</v>
      </c>
      <c r="D206" t="s">
        <v>16</v>
      </c>
      <c r="E206" t="s">
        <v>19</v>
      </c>
      <c r="F206">
        <v>1</v>
      </c>
      <c r="G206">
        <v>445.26</v>
      </c>
      <c r="H206">
        <v>445.26</v>
      </c>
      <c r="I206" t="s">
        <v>12</v>
      </c>
      <c r="J206" t="str">
        <f t="shared" si="3"/>
        <v>Repeat Customer</v>
      </c>
    </row>
    <row r="207" spans="1:10" x14ac:dyDescent="0.25">
      <c r="A207">
        <v>10892</v>
      </c>
      <c r="B207" t="s">
        <v>113</v>
      </c>
      <c r="C207" s="1">
        <v>45762</v>
      </c>
      <c r="D207" t="s">
        <v>10</v>
      </c>
      <c r="E207" t="s">
        <v>11</v>
      </c>
      <c r="F207">
        <v>5</v>
      </c>
      <c r="G207">
        <v>325.66000000000003</v>
      </c>
      <c r="H207">
        <v>1628.3</v>
      </c>
      <c r="I207" t="s">
        <v>32</v>
      </c>
      <c r="J207" t="str">
        <f t="shared" si="3"/>
        <v>Repeat Customer</v>
      </c>
    </row>
    <row r="208" spans="1:10" x14ac:dyDescent="0.25">
      <c r="A208">
        <v>11315</v>
      </c>
      <c r="B208" t="s">
        <v>113</v>
      </c>
      <c r="C208" s="1">
        <v>45648</v>
      </c>
      <c r="D208" t="s">
        <v>21</v>
      </c>
      <c r="E208" t="s">
        <v>11</v>
      </c>
      <c r="F208">
        <v>7</v>
      </c>
      <c r="G208">
        <v>469.85</v>
      </c>
      <c r="H208">
        <v>3288.95</v>
      </c>
      <c r="I208" t="s">
        <v>32</v>
      </c>
      <c r="J208" t="str">
        <f t="shared" si="3"/>
        <v>Repeat Customer</v>
      </c>
    </row>
    <row r="209" spans="1:10" x14ac:dyDescent="0.25">
      <c r="A209">
        <v>11487</v>
      </c>
      <c r="B209" t="s">
        <v>113</v>
      </c>
      <c r="C209" s="1">
        <v>45597</v>
      </c>
      <c r="D209" t="s">
        <v>18</v>
      </c>
      <c r="E209" t="s">
        <v>25</v>
      </c>
      <c r="F209">
        <v>8</v>
      </c>
      <c r="G209">
        <v>436.29</v>
      </c>
      <c r="H209">
        <v>3490.32</v>
      </c>
      <c r="I209" t="s">
        <v>22</v>
      </c>
      <c r="J209" t="str">
        <f t="shared" si="3"/>
        <v>Repeat Customer</v>
      </c>
    </row>
    <row r="210" spans="1:10" x14ac:dyDescent="0.25">
      <c r="A210">
        <v>10428</v>
      </c>
      <c r="B210" t="s">
        <v>236</v>
      </c>
      <c r="C210" s="1">
        <v>45609</v>
      </c>
      <c r="D210" t="s">
        <v>10</v>
      </c>
      <c r="E210" t="s">
        <v>25</v>
      </c>
      <c r="F210">
        <v>2</v>
      </c>
      <c r="G210">
        <v>258.10000000000002</v>
      </c>
      <c r="H210">
        <v>516.20000000000005</v>
      </c>
      <c r="I210" t="s">
        <v>22</v>
      </c>
      <c r="J210" t="str">
        <f t="shared" si="3"/>
        <v>Repeat Customer</v>
      </c>
    </row>
    <row r="211" spans="1:10" x14ac:dyDescent="0.25">
      <c r="A211">
        <v>10753</v>
      </c>
      <c r="B211" t="s">
        <v>236</v>
      </c>
      <c r="C211" s="1">
        <v>45779</v>
      </c>
      <c r="D211" t="s">
        <v>18</v>
      </c>
      <c r="E211" t="s">
        <v>31</v>
      </c>
      <c r="F211">
        <v>10</v>
      </c>
      <c r="G211">
        <v>373.93</v>
      </c>
      <c r="H211">
        <v>3739.3</v>
      </c>
      <c r="I211" t="s">
        <v>22</v>
      </c>
      <c r="J211" t="str">
        <f t="shared" si="3"/>
        <v>Repeat Customer</v>
      </c>
    </row>
    <row r="212" spans="1:10" x14ac:dyDescent="0.25">
      <c r="A212">
        <v>10959</v>
      </c>
      <c r="B212" t="s">
        <v>236</v>
      </c>
      <c r="C212" s="1">
        <v>45843</v>
      </c>
      <c r="D212" t="s">
        <v>24</v>
      </c>
      <c r="E212" t="s">
        <v>31</v>
      </c>
      <c r="F212">
        <v>8</v>
      </c>
      <c r="G212">
        <v>340.15</v>
      </c>
      <c r="H212">
        <v>2721.2</v>
      </c>
      <c r="I212" t="s">
        <v>14</v>
      </c>
      <c r="J212" t="str">
        <f t="shared" si="3"/>
        <v>Repeat Customer</v>
      </c>
    </row>
    <row r="213" spans="1:10" x14ac:dyDescent="0.25">
      <c r="A213">
        <v>10994</v>
      </c>
      <c r="B213" t="s">
        <v>236</v>
      </c>
      <c r="C213" s="1">
        <v>45627</v>
      </c>
      <c r="D213" t="s">
        <v>16</v>
      </c>
      <c r="E213" t="s">
        <v>31</v>
      </c>
      <c r="F213">
        <v>8</v>
      </c>
      <c r="G213">
        <v>62.28</v>
      </c>
      <c r="H213">
        <v>498.24</v>
      </c>
      <c r="I213" t="s">
        <v>22</v>
      </c>
      <c r="J213" t="str">
        <f t="shared" si="3"/>
        <v>Repeat Customer</v>
      </c>
    </row>
    <row r="214" spans="1:10" x14ac:dyDescent="0.25">
      <c r="A214">
        <v>11393</v>
      </c>
      <c r="B214" t="s">
        <v>236</v>
      </c>
      <c r="C214" s="1">
        <v>45731</v>
      </c>
      <c r="D214" t="s">
        <v>18</v>
      </c>
      <c r="E214" t="s">
        <v>25</v>
      </c>
      <c r="F214">
        <v>4</v>
      </c>
      <c r="G214">
        <v>310.72000000000003</v>
      </c>
      <c r="H214">
        <v>1242.8800000000001</v>
      </c>
      <c r="I214" t="s">
        <v>14</v>
      </c>
      <c r="J214" t="str">
        <f t="shared" si="3"/>
        <v>Repeat Customer</v>
      </c>
    </row>
    <row r="215" spans="1:10" x14ac:dyDescent="0.25">
      <c r="A215">
        <v>11429</v>
      </c>
      <c r="B215" t="s">
        <v>236</v>
      </c>
      <c r="C215" s="1">
        <v>45566</v>
      </c>
      <c r="D215" t="s">
        <v>18</v>
      </c>
      <c r="E215" t="s">
        <v>11</v>
      </c>
      <c r="F215">
        <v>3</v>
      </c>
      <c r="G215">
        <v>469.61</v>
      </c>
      <c r="H215">
        <v>1408.83</v>
      </c>
      <c r="I215" t="s">
        <v>12</v>
      </c>
      <c r="J215" t="str">
        <f t="shared" si="3"/>
        <v>Repeat Customer</v>
      </c>
    </row>
    <row r="216" spans="1:10" x14ac:dyDescent="0.25">
      <c r="A216">
        <v>10066</v>
      </c>
      <c r="B216" t="s">
        <v>75</v>
      </c>
      <c r="C216" s="1">
        <v>45582</v>
      </c>
      <c r="D216" t="s">
        <v>18</v>
      </c>
      <c r="E216" t="s">
        <v>19</v>
      </c>
      <c r="F216">
        <v>9</v>
      </c>
      <c r="G216">
        <v>333.61</v>
      </c>
      <c r="H216">
        <v>3002.49</v>
      </c>
      <c r="I216" t="s">
        <v>12</v>
      </c>
      <c r="J216" t="str">
        <f t="shared" si="3"/>
        <v>Repeat Customer</v>
      </c>
    </row>
    <row r="217" spans="1:10" x14ac:dyDescent="0.25">
      <c r="A217">
        <v>10178</v>
      </c>
      <c r="B217" t="s">
        <v>75</v>
      </c>
      <c r="C217" s="1">
        <v>45387</v>
      </c>
      <c r="D217" t="s">
        <v>16</v>
      </c>
      <c r="E217" t="s">
        <v>25</v>
      </c>
      <c r="F217">
        <v>7</v>
      </c>
      <c r="G217">
        <v>52.8</v>
      </c>
      <c r="H217">
        <v>369.6</v>
      </c>
      <c r="I217" t="s">
        <v>12</v>
      </c>
      <c r="J217" t="str">
        <f t="shared" si="3"/>
        <v>Repeat Customer</v>
      </c>
    </row>
    <row r="218" spans="1:10" x14ac:dyDescent="0.25">
      <c r="A218">
        <v>10206</v>
      </c>
      <c r="B218" t="s">
        <v>75</v>
      </c>
      <c r="C218" s="1">
        <v>45808</v>
      </c>
      <c r="D218" t="s">
        <v>21</v>
      </c>
      <c r="E218" t="s">
        <v>31</v>
      </c>
      <c r="F218">
        <v>3</v>
      </c>
      <c r="G218">
        <v>24.38</v>
      </c>
      <c r="H218">
        <v>73.14</v>
      </c>
      <c r="I218" t="s">
        <v>14</v>
      </c>
      <c r="J218" t="str">
        <f t="shared" si="3"/>
        <v>Repeat Customer</v>
      </c>
    </row>
    <row r="219" spans="1:10" x14ac:dyDescent="0.25">
      <c r="A219">
        <v>10229</v>
      </c>
      <c r="B219" t="s">
        <v>75</v>
      </c>
      <c r="C219" s="1">
        <v>45828</v>
      </c>
      <c r="D219" t="s">
        <v>18</v>
      </c>
      <c r="E219" t="s">
        <v>11</v>
      </c>
      <c r="F219">
        <v>6</v>
      </c>
      <c r="G219">
        <v>38.5</v>
      </c>
      <c r="H219">
        <v>231</v>
      </c>
      <c r="I219" t="s">
        <v>32</v>
      </c>
      <c r="J219" t="str">
        <f t="shared" si="3"/>
        <v>Repeat Customer</v>
      </c>
    </row>
    <row r="220" spans="1:10" x14ac:dyDescent="0.25">
      <c r="A220">
        <v>10388</v>
      </c>
      <c r="B220" t="s">
        <v>75</v>
      </c>
      <c r="C220" s="1">
        <v>45980</v>
      </c>
      <c r="D220" t="s">
        <v>10</v>
      </c>
      <c r="E220" t="s">
        <v>19</v>
      </c>
      <c r="F220">
        <v>3</v>
      </c>
      <c r="G220">
        <v>160.03</v>
      </c>
      <c r="H220">
        <v>480.09</v>
      </c>
      <c r="I220" t="s">
        <v>12</v>
      </c>
      <c r="J220" t="str">
        <f t="shared" si="3"/>
        <v>Repeat Customer</v>
      </c>
    </row>
    <row r="221" spans="1:10" x14ac:dyDescent="0.25">
      <c r="A221">
        <v>10754</v>
      </c>
      <c r="B221" t="s">
        <v>75</v>
      </c>
      <c r="C221" s="1">
        <v>45700</v>
      </c>
      <c r="D221" t="s">
        <v>10</v>
      </c>
      <c r="E221" t="s">
        <v>25</v>
      </c>
      <c r="F221">
        <v>9</v>
      </c>
      <c r="G221">
        <v>220.07</v>
      </c>
      <c r="H221">
        <v>1980.63</v>
      </c>
      <c r="I221" t="s">
        <v>32</v>
      </c>
      <c r="J221" t="str">
        <f t="shared" si="3"/>
        <v>Repeat Customer</v>
      </c>
    </row>
    <row r="222" spans="1:10" x14ac:dyDescent="0.25">
      <c r="A222">
        <v>11014</v>
      </c>
      <c r="B222" t="s">
        <v>75</v>
      </c>
      <c r="C222" s="1">
        <v>45996</v>
      </c>
      <c r="D222" t="s">
        <v>24</v>
      </c>
      <c r="E222" t="s">
        <v>19</v>
      </c>
      <c r="F222">
        <v>2</v>
      </c>
      <c r="G222">
        <v>435.13</v>
      </c>
      <c r="H222">
        <v>870.26</v>
      </c>
      <c r="I222" t="s">
        <v>14</v>
      </c>
      <c r="J222" t="str">
        <f t="shared" si="3"/>
        <v>Repeat Customer</v>
      </c>
    </row>
    <row r="223" spans="1:10" x14ac:dyDescent="0.25">
      <c r="A223">
        <v>10419</v>
      </c>
      <c r="B223" t="s">
        <v>233</v>
      </c>
      <c r="C223" s="1">
        <v>45394</v>
      </c>
      <c r="D223" t="s">
        <v>18</v>
      </c>
      <c r="E223" t="s">
        <v>31</v>
      </c>
      <c r="F223">
        <v>3</v>
      </c>
      <c r="G223">
        <v>377.46</v>
      </c>
      <c r="H223">
        <v>1132.3800000000001</v>
      </c>
      <c r="I223" t="s">
        <v>22</v>
      </c>
      <c r="J223" t="str">
        <f t="shared" si="3"/>
        <v>Repeat Customer</v>
      </c>
    </row>
    <row r="224" spans="1:10" x14ac:dyDescent="0.25">
      <c r="A224">
        <v>10964</v>
      </c>
      <c r="B224" t="s">
        <v>233</v>
      </c>
      <c r="C224" s="1">
        <v>45439</v>
      </c>
      <c r="D224" t="s">
        <v>18</v>
      </c>
      <c r="E224" t="s">
        <v>19</v>
      </c>
      <c r="F224">
        <v>4</v>
      </c>
      <c r="G224">
        <v>155.1</v>
      </c>
      <c r="H224">
        <v>620.4</v>
      </c>
      <c r="I224" t="s">
        <v>12</v>
      </c>
      <c r="J224" t="str">
        <f t="shared" si="3"/>
        <v>Repeat Customer</v>
      </c>
    </row>
    <row r="225" spans="1:10" x14ac:dyDescent="0.25">
      <c r="A225">
        <v>11446</v>
      </c>
      <c r="B225" t="s">
        <v>233</v>
      </c>
      <c r="C225" s="1">
        <v>45532</v>
      </c>
      <c r="D225" t="s">
        <v>24</v>
      </c>
      <c r="E225" t="s">
        <v>19</v>
      </c>
      <c r="F225">
        <v>6</v>
      </c>
      <c r="G225">
        <v>6.42</v>
      </c>
      <c r="H225">
        <v>38.520000000000003</v>
      </c>
      <c r="I225" t="s">
        <v>32</v>
      </c>
      <c r="J225" t="str">
        <f t="shared" si="3"/>
        <v>Repeat Customer</v>
      </c>
    </row>
    <row r="226" spans="1:10" x14ac:dyDescent="0.25">
      <c r="A226">
        <v>10196</v>
      </c>
      <c r="B226" t="s">
        <v>159</v>
      </c>
      <c r="C226" s="1">
        <v>45739</v>
      </c>
      <c r="D226" t="s">
        <v>18</v>
      </c>
      <c r="E226" t="s">
        <v>31</v>
      </c>
      <c r="F226">
        <v>2</v>
      </c>
      <c r="G226">
        <v>125.44</v>
      </c>
      <c r="H226">
        <v>250.88</v>
      </c>
      <c r="I226" t="s">
        <v>12</v>
      </c>
      <c r="J226" t="str">
        <f t="shared" si="3"/>
        <v>Repeat Customer</v>
      </c>
    </row>
    <row r="227" spans="1:10" x14ac:dyDescent="0.25">
      <c r="A227">
        <v>10509</v>
      </c>
      <c r="B227" t="s">
        <v>159</v>
      </c>
      <c r="C227" s="1">
        <v>45484</v>
      </c>
      <c r="D227" t="s">
        <v>21</v>
      </c>
      <c r="E227" t="s">
        <v>31</v>
      </c>
      <c r="F227">
        <v>8</v>
      </c>
      <c r="G227">
        <v>109.64</v>
      </c>
      <c r="H227">
        <v>877.12</v>
      </c>
      <c r="I227" t="s">
        <v>22</v>
      </c>
      <c r="J227" t="str">
        <f t="shared" si="3"/>
        <v>Repeat Customer</v>
      </c>
    </row>
    <row r="228" spans="1:10" x14ac:dyDescent="0.25">
      <c r="A228">
        <v>10701</v>
      </c>
      <c r="B228" t="s">
        <v>159</v>
      </c>
      <c r="C228" s="1">
        <v>45744</v>
      </c>
      <c r="D228" t="s">
        <v>16</v>
      </c>
      <c r="E228" t="s">
        <v>25</v>
      </c>
      <c r="F228">
        <v>5</v>
      </c>
      <c r="G228">
        <v>186.06</v>
      </c>
      <c r="H228">
        <v>930.3</v>
      </c>
      <c r="I228" t="s">
        <v>22</v>
      </c>
      <c r="J228" t="str">
        <f t="shared" si="3"/>
        <v>Repeat Customer</v>
      </c>
    </row>
    <row r="229" spans="1:10" x14ac:dyDescent="0.25">
      <c r="A229">
        <v>10847</v>
      </c>
      <c r="B229" t="s">
        <v>159</v>
      </c>
      <c r="C229" s="1">
        <v>45888</v>
      </c>
      <c r="D229" t="s">
        <v>18</v>
      </c>
      <c r="E229" t="s">
        <v>31</v>
      </c>
      <c r="F229">
        <v>1</v>
      </c>
      <c r="G229">
        <v>307.69</v>
      </c>
      <c r="H229">
        <v>307.69</v>
      </c>
      <c r="I229" t="s">
        <v>14</v>
      </c>
      <c r="J229" t="str">
        <f t="shared" si="3"/>
        <v>Repeat Customer</v>
      </c>
    </row>
    <row r="230" spans="1:10" x14ac:dyDescent="0.25">
      <c r="A230">
        <v>11149</v>
      </c>
      <c r="B230" t="s">
        <v>159</v>
      </c>
      <c r="C230" s="1">
        <v>45931</v>
      </c>
      <c r="D230" t="s">
        <v>10</v>
      </c>
      <c r="E230" t="s">
        <v>31</v>
      </c>
      <c r="F230">
        <v>10</v>
      </c>
      <c r="G230">
        <v>207.77</v>
      </c>
      <c r="H230">
        <v>2077.6999999999998</v>
      </c>
      <c r="I230" t="s">
        <v>22</v>
      </c>
      <c r="J230" t="str">
        <f t="shared" si="3"/>
        <v>Repeat Customer</v>
      </c>
    </row>
    <row r="231" spans="1:10" x14ac:dyDescent="0.25">
      <c r="A231">
        <v>11170</v>
      </c>
      <c r="B231" t="s">
        <v>159</v>
      </c>
      <c r="C231" s="1">
        <v>45696</v>
      </c>
      <c r="D231" t="s">
        <v>18</v>
      </c>
      <c r="E231" t="s">
        <v>19</v>
      </c>
      <c r="F231">
        <v>2</v>
      </c>
      <c r="G231">
        <v>416.1</v>
      </c>
      <c r="H231">
        <v>832.2</v>
      </c>
      <c r="I231" t="s">
        <v>32</v>
      </c>
      <c r="J231" t="str">
        <f t="shared" si="3"/>
        <v>Repeat Customer</v>
      </c>
    </row>
    <row r="232" spans="1:10" x14ac:dyDescent="0.25">
      <c r="A232">
        <v>11361</v>
      </c>
      <c r="B232" t="s">
        <v>159</v>
      </c>
      <c r="C232" s="1">
        <v>45663</v>
      </c>
      <c r="D232" t="s">
        <v>10</v>
      </c>
      <c r="E232" t="s">
        <v>25</v>
      </c>
      <c r="F232">
        <v>6</v>
      </c>
      <c r="G232">
        <v>390.15</v>
      </c>
      <c r="H232">
        <v>2340.9</v>
      </c>
      <c r="I232" t="s">
        <v>22</v>
      </c>
      <c r="J232" t="str">
        <f t="shared" si="3"/>
        <v>Repeat Customer</v>
      </c>
    </row>
    <row r="233" spans="1:10" x14ac:dyDescent="0.25">
      <c r="A233">
        <v>10119</v>
      </c>
      <c r="B233" t="s">
        <v>114</v>
      </c>
      <c r="C233" s="1">
        <v>45526</v>
      </c>
      <c r="D233" t="s">
        <v>24</v>
      </c>
      <c r="E233" t="s">
        <v>19</v>
      </c>
      <c r="F233">
        <v>10</v>
      </c>
      <c r="G233">
        <v>295.63</v>
      </c>
      <c r="H233">
        <v>2956.3</v>
      </c>
      <c r="I233" t="s">
        <v>12</v>
      </c>
      <c r="J233" t="str">
        <f t="shared" si="3"/>
        <v>Repeat Customer</v>
      </c>
    </row>
    <row r="234" spans="1:10" x14ac:dyDescent="0.25">
      <c r="A234">
        <v>10413</v>
      </c>
      <c r="B234" t="s">
        <v>114</v>
      </c>
      <c r="C234" s="1">
        <v>46012</v>
      </c>
      <c r="D234" t="s">
        <v>21</v>
      </c>
      <c r="E234" t="s">
        <v>11</v>
      </c>
      <c r="F234">
        <v>2</v>
      </c>
      <c r="G234">
        <v>5.54</v>
      </c>
      <c r="H234">
        <v>11.08</v>
      </c>
      <c r="I234" t="s">
        <v>14</v>
      </c>
      <c r="J234" t="str">
        <f t="shared" si="3"/>
        <v>Repeat Customer</v>
      </c>
    </row>
    <row r="235" spans="1:10" x14ac:dyDescent="0.25">
      <c r="A235">
        <v>10662</v>
      </c>
      <c r="B235" t="s">
        <v>114</v>
      </c>
      <c r="C235" s="1">
        <v>45854</v>
      </c>
      <c r="D235" t="s">
        <v>18</v>
      </c>
      <c r="E235" t="s">
        <v>19</v>
      </c>
      <c r="F235">
        <v>5</v>
      </c>
      <c r="G235">
        <v>364.44</v>
      </c>
      <c r="H235">
        <v>1822.2</v>
      </c>
      <c r="I235" t="s">
        <v>22</v>
      </c>
      <c r="J235" t="str">
        <f t="shared" si="3"/>
        <v>Repeat Customer</v>
      </c>
    </row>
    <row r="236" spans="1:10" x14ac:dyDescent="0.25">
      <c r="A236">
        <v>10711</v>
      </c>
      <c r="B236" t="s">
        <v>114</v>
      </c>
      <c r="C236" s="1">
        <v>45446</v>
      </c>
      <c r="D236" t="s">
        <v>16</v>
      </c>
      <c r="E236" t="s">
        <v>31</v>
      </c>
      <c r="F236">
        <v>1</v>
      </c>
      <c r="G236">
        <v>249.32</v>
      </c>
      <c r="H236">
        <v>249.32</v>
      </c>
      <c r="I236" t="s">
        <v>22</v>
      </c>
      <c r="J236" t="str">
        <f t="shared" si="3"/>
        <v>Repeat Customer</v>
      </c>
    </row>
    <row r="237" spans="1:10" x14ac:dyDescent="0.25">
      <c r="A237">
        <v>10791</v>
      </c>
      <c r="B237" t="s">
        <v>114</v>
      </c>
      <c r="C237" s="1">
        <v>45548</v>
      </c>
      <c r="D237" t="s">
        <v>10</v>
      </c>
      <c r="E237" t="s">
        <v>11</v>
      </c>
      <c r="F237">
        <v>6</v>
      </c>
      <c r="G237">
        <v>347.4</v>
      </c>
      <c r="H237">
        <v>2084.4</v>
      </c>
      <c r="I237" t="s">
        <v>12</v>
      </c>
      <c r="J237" t="str">
        <f t="shared" si="3"/>
        <v>Repeat Customer</v>
      </c>
    </row>
    <row r="238" spans="1:10" x14ac:dyDescent="0.25">
      <c r="A238">
        <v>11035</v>
      </c>
      <c r="B238" t="s">
        <v>114</v>
      </c>
      <c r="C238" s="1">
        <v>45535</v>
      </c>
      <c r="D238" t="s">
        <v>16</v>
      </c>
      <c r="E238" t="s">
        <v>19</v>
      </c>
      <c r="F238">
        <v>10</v>
      </c>
      <c r="G238">
        <v>65.53</v>
      </c>
      <c r="H238">
        <v>655.29999999999995</v>
      </c>
      <c r="I238" t="s">
        <v>32</v>
      </c>
      <c r="J238" t="str">
        <f t="shared" si="3"/>
        <v>Repeat Customer</v>
      </c>
    </row>
    <row r="239" spans="1:10" x14ac:dyDescent="0.25">
      <c r="A239">
        <v>11042</v>
      </c>
      <c r="B239" t="s">
        <v>114</v>
      </c>
      <c r="C239" s="1">
        <v>45533</v>
      </c>
      <c r="D239" t="s">
        <v>10</v>
      </c>
      <c r="E239" t="s">
        <v>31</v>
      </c>
      <c r="F239">
        <v>5</v>
      </c>
      <c r="G239">
        <v>109.14</v>
      </c>
      <c r="H239">
        <v>545.70000000000005</v>
      </c>
      <c r="I239" t="s">
        <v>22</v>
      </c>
      <c r="J239" t="str">
        <f t="shared" si="3"/>
        <v>Repeat Customer</v>
      </c>
    </row>
    <row r="240" spans="1:10" x14ac:dyDescent="0.25">
      <c r="A240">
        <v>10405</v>
      </c>
      <c r="B240" t="s">
        <v>228</v>
      </c>
      <c r="C240" s="1">
        <v>45704</v>
      </c>
      <c r="D240" t="s">
        <v>16</v>
      </c>
      <c r="E240" t="s">
        <v>31</v>
      </c>
      <c r="F240">
        <v>9</v>
      </c>
      <c r="G240">
        <v>376.15</v>
      </c>
      <c r="H240">
        <v>3385.35</v>
      </c>
      <c r="I240" t="s">
        <v>32</v>
      </c>
      <c r="J240" t="str">
        <f t="shared" si="3"/>
        <v>Repeat Customer</v>
      </c>
    </row>
    <row r="241" spans="1:10" x14ac:dyDescent="0.25">
      <c r="A241">
        <v>10447</v>
      </c>
      <c r="B241" t="s">
        <v>228</v>
      </c>
      <c r="C241" s="1">
        <v>45336</v>
      </c>
      <c r="D241" t="s">
        <v>18</v>
      </c>
      <c r="E241" t="s">
        <v>31</v>
      </c>
      <c r="F241">
        <v>4</v>
      </c>
      <c r="G241">
        <v>449.16</v>
      </c>
      <c r="H241">
        <v>1796.64</v>
      </c>
      <c r="I241" t="s">
        <v>22</v>
      </c>
      <c r="J241" t="str">
        <f t="shared" si="3"/>
        <v>Repeat Customer</v>
      </c>
    </row>
    <row r="242" spans="1:10" x14ac:dyDescent="0.25">
      <c r="A242">
        <v>10644</v>
      </c>
      <c r="B242" t="s">
        <v>228</v>
      </c>
      <c r="C242" s="1">
        <v>45785</v>
      </c>
      <c r="D242" t="s">
        <v>18</v>
      </c>
      <c r="E242" t="s">
        <v>11</v>
      </c>
      <c r="F242">
        <v>3</v>
      </c>
      <c r="G242">
        <v>451.48</v>
      </c>
      <c r="H242">
        <v>1354.44</v>
      </c>
      <c r="I242" t="s">
        <v>32</v>
      </c>
      <c r="J242" t="str">
        <f t="shared" si="3"/>
        <v>Repeat Customer</v>
      </c>
    </row>
    <row r="243" spans="1:10" x14ac:dyDescent="0.25">
      <c r="A243">
        <v>11074</v>
      </c>
      <c r="B243" t="s">
        <v>315</v>
      </c>
      <c r="C243" s="1">
        <v>45628</v>
      </c>
      <c r="D243" t="s">
        <v>24</v>
      </c>
      <c r="E243" t="s">
        <v>31</v>
      </c>
      <c r="F243">
        <v>1</v>
      </c>
      <c r="G243">
        <v>145.72</v>
      </c>
      <c r="H243">
        <v>145.72</v>
      </c>
      <c r="I243" t="s">
        <v>22</v>
      </c>
      <c r="J243" t="str">
        <f t="shared" si="3"/>
        <v>Repeat Customer</v>
      </c>
    </row>
    <row r="244" spans="1:10" x14ac:dyDescent="0.25">
      <c r="A244">
        <v>11344</v>
      </c>
      <c r="B244" t="s">
        <v>315</v>
      </c>
      <c r="C244" s="1">
        <v>45899</v>
      </c>
      <c r="D244" t="s">
        <v>21</v>
      </c>
      <c r="E244" t="s">
        <v>19</v>
      </c>
      <c r="F244">
        <v>3</v>
      </c>
      <c r="G244">
        <v>195.06</v>
      </c>
      <c r="H244">
        <v>585.17999999999995</v>
      </c>
      <c r="I244" t="s">
        <v>14</v>
      </c>
      <c r="J244" t="str">
        <f t="shared" si="3"/>
        <v>Repeat Customer</v>
      </c>
    </row>
    <row r="245" spans="1:10" x14ac:dyDescent="0.25">
      <c r="A245">
        <v>10150</v>
      </c>
      <c r="B245" t="s">
        <v>134</v>
      </c>
      <c r="C245" s="1">
        <v>45934</v>
      </c>
      <c r="D245" t="s">
        <v>21</v>
      </c>
      <c r="E245" t="s">
        <v>11</v>
      </c>
      <c r="F245">
        <v>1</v>
      </c>
      <c r="G245">
        <v>157.91999999999999</v>
      </c>
      <c r="H245">
        <v>157.91999999999999</v>
      </c>
      <c r="I245" t="s">
        <v>22</v>
      </c>
      <c r="J245" t="str">
        <f t="shared" si="3"/>
        <v>Repeat Customer</v>
      </c>
    </row>
    <row r="246" spans="1:10" x14ac:dyDescent="0.25">
      <c r="A246">
        <v>10345</v>
      </c>
      <c r="B246" t="s">
        <v>134</v>
      </c>
      <c r="C246" s="1">
        <v>45828</v>
      </c>
      <c r="D246" t="s">
        <v>18</v>
      </c>
      <c r="E246" t="s">
        <v>19</v>
      </c>
      <c r="F246">
        <v>3</v>
      </c>
      <c r="G246">
        <v>124.28</v>
      </c>
      <c r="H246">
        <v>372.84</v>
      </c>
      <c r="I246" t="s">
        <v>22</v>
      </c>
      <c r="J246" t="str">
        <f t="shared" si="3"/>
        <v>Repeat Customer</v>
      </c>
    </row>
    <row r="247" spans="1:10" x14ac:dyDescent="0.25">
      <c r="A247">
        <v>10491</v>
      </c>
      <c r="B247" t="s">
        <v>134</v>
      </c>
      <c r="C247" s="1">
        <v>45318</v>
      </c>
      <c r="D247" t="s">
        <v>16</v>
      </c>
      <c r="E247" t="s">
        <v>11</v>
      </c>
      <c r="F247">
        <v>4</v>
      </c>
      <c r="G247">
        <v>89.56</v>
      </c>
      <c r="H247">
        <v>358.24</v>
      </c>
      <c r="I247" t="s">
        <v>32</v>
      </c>
      <c r="J247" t="str">
        <f t="shared" si="3"/>
        <v>Repeat Customer</v>
      </c>
    </row>
    <row r="248" spans="1:10" x14ac:dyDescent="0.25">
      <c r="A248">
        <v>10495</v>
      </c>
      <c r="B248" t="s">
        <v>134</v>
      </c>
      <c r="C248" s="1">
        <v>45379</v>
      </c>
      <c r="D248" t="s">
        <v>21</v>
      </c>
      <c r="E248" t="s">
        <v>25</v>
      </c>
      <c r="F248">
        <v>6</v>
      </c>
      <c r="G248">
        <v>405.05</v>
      </c>
      <c r="H248">
        <v>2430.3000000000002</v>
      </c>
      <c r="I248" t="s">
        <v>12</v>
      </c>
      <c r="J248" t="str">
        <f t="shared" si="3"/>
        <v>Repeat Customer</v>
      </c>
    </row>
    <row r="249" spans="1:10" x14ac:dyDescent="0.25">
      <c r="A249">
        <v>10643</v>
      </c>
      <c r="B249" t="s">
        <v>134</v>
      </c>
      <c r="C249" s="1">
        <v>45473</v>
      </c>
      <c r="D249" t="s">
        <v>18</v>
      </c>
      <c r="E249" t="s">
        <v>11</v>
      </c>
      <c r="F249">
        <v>8</v>
      </c>
      <c r="G249">
        <v>451.3</v>
      </c>
      <c r="H249">
        <v>3610.4</v>
      </c>
      <c r="I249" t="s">
        <v>12</v>
      </c>
      <c r="J249" t="str">
        <f t="shared" si="3"/>
        <v>Repeat Customer</v>
      </c>
    </row>
    <row r="250" spans="1:10" x14ac:dyDescent="0.25">
      <c r="A250">
        <v>10977</v>
      </c>
      <c r="B250" t="s">
        <v>134</v>
      </c>
      <c r="C250" s="1">
        <v>45839</v>
      </c>
      <c r="D250" t="s">
        <v>10</v>
      </c>
      <c r="E250" t="s">
        <v>11</v>
      </c>
      <c r="F250">
        <v>10</v>
      </c>
      <c r="G250">
        <v>179.06</v>
      </c>
      <c r="H250">
        <v>1790.6</v>
      </c>
      <c r="I250" t="s">
        <v>14</v>
      </c>
      <c r="J250" t="str">
        <f t="shared" si="3"/>
        <v>Repeat Customer</v>
      </c>
    </row>
    <row r="251" spans="1:10" x14ac:dyDescent="0.25">
      <c r="A251">
        <v>11301</v>
      </c>
      <c r="B251" t="s">
        <v>134</v>
      </c>
      <c r="C251" s="1">
        <v>45363</v>
      </c>
      <c r="D251" t="s">
        <v>16</v>
      </c>
      <c r="E251" t="s">
        <v>31</v>
      </c>
      <c r="F251">
        <v>7</v>
      </c>
      <c r="G251">
        <v>264.86</v>
      </c>
      <c r="H251">
        <v>1854.02</v>
      </c>
      <c r="I251" t="s">
        <v>14</v>
      </c>
      <c r="J251" t="str">
        <f t="shared" si="3"/>
        <v>Repeat Customer</v>
      </c>
    </row>
    <row r="252" spans="1:10" x14ac:dyDescent="0.25">
      <c r="A252">
        <v>11465</v>
      </c>
      <c r="B252" t="s">
        <v>134</v>
      </c>
      <c r="C252" s="1">
        <v>45631</v>
      </c>
      <c r="D252" t="s">
        <v>18</v>
      </c>
      <c r="E252" t="s">
        <v>11</v>
      </c>
      <c r="F252">
        <v>7</v>
      </c>
      <c r="G252">
        <v>448.77</v>
      </c>
      <c r="H252">
        <v>3141.39</v>
      </c>
      <c r="I252" t="s">
        <v>14</v>
      </c>
      <c r="J252" t="str">
        <f t="shared" si="3"/>
        <v>Repeat Customer</v>
      </c>
    </row>
    <row r="253" spans="1:10" x14ac:dyDescent="0.25">
      <c r="A253">
        <v>10685</v>
      </c>
      <c r="B253" t="s">
        <v>283</v>
      </c>
      <c r="C253" s="1">
        <v>45999</v>
      </c>
      <c r="D253" t="s">
        <v>16</v>
      </c>
      <c r="E253" t="s">
        <v>31</v>
      </c>
      <c r="F253">
        <v>3</v>
      </c>
      <c r="G253">
        <v>34.72</v>
      </c>
      <c r="H253">
        <v>104.16</v>
      </c>
      <c r="I253" t="s">
        <v>12</v>
      </c>
      <c r="J253" t="str">
        <f t="shared" si="3"/>
        <v>Repeat Customer</v>
      </c>
    </row>
    <row r="254" spans="1:10" x14ac:dyDescent="0.25">
      <c r="A254">
        <v>11345</v>
      </c>
      <c r="B254" t="s">
        <v>283</v>
      </c>
      <c r="C254" s="1">
        <v>45625</v>
      </c>
      <c r="D254" t="s">
        <v>18</v>
      </c>
      <c r="E254" t="s">
        <v>25</v>
      </c>
      <c r="F254">
        <v>2</v>
      </c>
      <c r="G254">
        <v>358.32</v>
      </c>
      <c r="H254">
        <v>716.64</v>
      </c>
      <c r="I254" t="s">
        <v>32</v>
      </c>
      <c r="J254" t="str">
        <f t="shared" si="3"/>
        <v>Repeat Customer</v>
      </c>
    </row>
    <row r="255" spans="1:10" x14ac:dyDescent="0.25">
      <c r="A255">
        <v>11353</v>
      </c>
      <c r="B255" t="s">
        <v>283</v>
      </c>
      <c r="C255" s="1">
        <v>45970</v>
      </c>
      <c r="D255" t="s">
        <v>10</v>
      </c>
      <c r="E255" t="s">
        <v>25</v>
      </c>
      <c r="F255">
        <v>1</v>
      </c>
      <c r="G255">
        <v>122.36</v>
      </c>
      <c r="H255">
        <v>122.36</v>
      </c>
      <c r="I255" t="s">
        <v>22</v>
      </c>
      <c r="J255" t="str">
        <f t="shared" si="3"/>
        <v>Repeat Customer</v>
      </c>
    </row>
    <row r="256" spans="1:10" x14ac:dyDescent="0.25">
      <c r="A256">
        <v>10103</v>
      </c>
      <c r="B256" t="s">
        <v>102</v>
      </c>
      <c r="C256" s="1">
        <v>45490</v>
      </c>
      <c r="D256" t="s">
        <v>10</v>
      </c>
      <c r="E256" t="s">
        <v>19</v>
      </c>
      <c r="F256">
        <v>5</v>
      </c>
      <c r="G256">
        <v>117.6</v>
      </c>
      <c r="H256">
        <v>588</v>
      </c>
      <c r="I256" t="s">
        <v>12</v>
      </c>
      <c r="J256" t="str">
        <f t="shared" si="3"/>
        <v>Repeat Customer</v>
      </c>
    </row>
    <row r="257" spans="1:10" x14ac:dyDescent="0.25">
      <c r="A257">
        <v>10140</v>
      </c>
      <c r="B257" t="s">
        <v>102</v>
      </c>
      <c r="C257" s="1">
        <v>45746</v>
      </c>
      <c r="D257" t="s">
        <v>24</v>
      </c>
      <c r="E257" t="s">
        <v>11</v>
      </c>
      <c r="F257">
        <v>3</v>
      </c>
      <c r="G257">
        <v>348.53</v>
      </c>
      <c r="H257">
        <v>1045.5899999999999</v>
      </c>
      <c r="I257" t="s">
        <v>22</v>
      </c>
      <c r="J257" t="str">
        <f t="shared" si="3"/>
        <v>Repeat Customer</v>
      </c>
    </row>
    <row r="258" spans="1:10" x14ac:dyDescent="0.25">
      <c r="A258">
        <v>10292</v>
      </c>
      <c r="B258" t="s">
        <v>102</v>
      </c>
      <c r="C258" s="1">
        <v>45989</v>
      </c>
      <c r="D258" t="s">
        <v>18</v>
      </c>
      <c r="E258" t="s">
        <v>25</v>
      </c>
      <c r="F258">
        <v>3</v>
      </c>
      <c r="G258">
        <v>7.56</v>
      </c>
      <c r="H258">
        <v>22.68</v>
      </c>
      <c r="I258" t="s">
        <v>32</v>
      </c>
      <c r="J258" t="str">
        <f t="shared" ref="J258:J321" si="4">IF(COUNTIF($B:$B,B258)&gt;1,"Repeat Customer","New Customer")</f>
        <v>Repeat Customer</v>
      </c>
    </row>
    <row r="259" spans="1:10" x14ac:dyDescent="0.25">
      <c r="A259">
        <v>10468</v>
      </c>
      <c r="B259" t="s">
        <v>102</v>
      </c>
      <c r="C259" s="1">
        <v>45545</v>
      </c>
      <c r="D259" t="s">
        <v>24</v>
      </c>
      <c r="E259" t="s">
        <v>25</v>
      </c>
      <c r="F259">
        <v>4</v>
      </c>
      <c r="G259">
        <v>136.93</v>
      </c>
      <c r="H259">
        <v>547.72</v>
      </c>
      <c r="I259" t="s">
        <v>32</v>
      </c>
      <c r="J259" t="str">
        <f t="shared" si="4"/>
        <v>Repeat Customer</v>
      </c>
    </row>
    <row r="260" spans="1:10" x14ac:dyDescent="0.25">
      <c r="A260">
        <v>10488</v>
      </c>
      <c r="B260" t="s">
        <v>102</v>
      </c>
      <c r="C260" s="1">
        <v>45631</v>
      </c>
      <c r="D260" t="s">
        <v>21</v>
      </c>
      <c r="E260" t="s">
        <v>19</v>
      </c>
      <c r="F260">
        <v>4</v>
      </c>
      <c r="G260">
        <v>487.33</v>
      </c>
      <c r="H260">
        <v>1949.32</v>
      </c>
      <c r="I260" t="s">
        <v>22</v>
      </c>
      <c r="J260" t="str">
        <f t="shared" si="4"/>
        <v>Repeat Customer</v>
      </c>
    </row>
    <row r="261" spans="1:10" x14ac:dyDescent="0.25">
      <c r="A261">
        <v>10546</v>
      </c>
      <c r="B261" t="s">
        <v>102</v>
      </c>
      <c r="C261" s="1">
        <v>45970</v>
      </c>
      <c r="D261" t="s">
        <v>18</v>
      </c>
      <c r="E261" t="s">
        <v>25</v>
      </c>
      <c r="F261">
        <v>9</v>
      </c>
      <c r="G261">
        <v>138.63999999999999</v>
      </c>
      <c r="H261">
        <v>1247.76</v>
      </c>
      <c r="I261" t="s">
        <v>32</v>
      </c>
      <c r="J261" t="str">
        <f t="shared" si="4"/>
        <v>Repeat Customer</v>
      </c>
    </row>
    <row r="262" spans="1:10" x14ac:dyDescent="0.25">
      <c r="A262">
        <v>11311</v>
      </c>
      <c r="B262" t="s">
        <v>102</v>
      </c>
      <c r="C262" s="1">
        <v>45295</v>
      </c>
      <c r="D262" t="s">
        <v>21</v>
      </c>
      <c r="E262" t="s">
        <v>25</v>
      </c>
      <c r="F262">
        <v>8</v>
      </c>
      <c r="G262">
        <v>435.92</v>
      </c>
      <c r="H262">
        <v>3487.36</v>
      </c>
      <c r="I262" t="s">
        <v>12</v>
      </c>
      <c r="J262" t="str">
        <f t="shared" si="4"/>
        <v>Repeat Customer</v>
      </c>
    </row>
    <row r="263" spans="1:10" x14ac:dyDescent="0.25">
      <c r="A263">
        <v>11427</v>
      </c>
      <c r="B263" t="s">
        <v>102</v>
      </c>
      <c r="C263" s="1">
        <v>45831</v>
      </c>
      <c r="D263" t="s">
        <v>24</v>
      </c>
      <c r="E263" t="s">
        <v>11</v>
      </c>
      <c r="F263">
        <v>3</v>
      </c>
      <c r="G263">
        <v>364.75</v>
      </c>
      <c r="H263">
        <v>1094.25</v>
      </c>
      <c r="I263" t="s">
        <v>32</v>
      </c>
      <c r="J263" t="str">
        <f t="shared" si="4"/>
        <v>Repeat Customer</v>
      </c>
    </row>
    <row r="264" spans="1:10" x14ac:dyDescent="0.25">
      <c r="A264">
        <v>10538</v>
      </c>
      <c r="B264" t="s">
        <v>262</v>
      </c>
      <c r="C264" s="1">
        <v>45684</v>
      </c>
      <c r="D264" t="s">
        <v>10</v>
      </c>
      <c r="E264" t="s">
        <v>11</v>
      </c>
      <c r="F264">
        <v>9</v>
      </c>
      <c r="G264">
        <v>296.39</v>
      </c>
      <c r="H264">
        <v>2667.51</v>
      </c>
      <c r="I264" t="s">
        <v>12</v>
      </c>
      <c r="J264" t="str">
        <f t="shared" si="4"/>
        <v>Repeat Customer</v>
      </c>
    </row>
    <row r="265" spans="1:10" x14ac:dyDescent="0.25">
      <c r="A265">
        <v>10710</v>
      </c>
      <c r="B265" t="s">
        <v>262</v>
      </c>
      <c r="C265" s="1">
        <v>45580</v>
      </c>
      <c r="D265" t="s">
        <v>21</v>
      </c>
      <c r="E265" t="s">
        <v>11</v>
      </c>
      <c r="F265">
        <v>5</v>
      </c>
      <c r="G265">
        <v>66.89</v>
      </c>
      <c r="H265">
        <v>334.45</v>
      </c>
      <c r="I265" t="s">
        <v>14</v>
      </c>
      <c r="J265" t="str">
        <f t="shared" si="4"/>
        <v>Repeat Customer</v>
      </c>
    </row>
    <row r="266" spans="1:10" x14ac:dyDescent="0.25">
      <c r="A266">
        <v>10979</v>
      </c>
      <c r="B266" t="s">
        <v>262</v>
      </c>
      <c r="C266" s="1">
        <v>45515</v>
      </c>
      <c r="D266" t="s">
        <v>10</v>
      </c>
      <c r="E266" t="s">
        <v>11</v>
      </c>
      <c r="F266">
        <v>3</v>
      </c>
      <c r="G266">
        <v>254.17</v>
      </c>
      <c r="H266">
        <v>762.51</v>
      </c>
      <c r="I266" t="s">
        <v>32</v>
      </c>
      <c r="J266" t="str">
        <f t="shared" si="4"/>
        <v>Repeat Customer</v>
      </c>
    </row>
    <row r="267" spans="1:10" x14ac:dyDescent="0.25">
      <c r="A267">
        <v>10547</v>
      </c>
      <c r="B267" t="s">
        <v>264</v>
      </c>
      <c r="C267" s="1">
        <v>45815</v>
      </c>
      <c r="D267" t="s">
        <v>24</v>
      </c>
      <c r="E267" t="s">
        <v>11</v>
      </c>
      <c r="F267">
        <v>10</v>
      </c>
      <c r="G267">
        <v>63.28</v>
      </c>
      <c r="H267">
        <v>632.79999999999995</v>
      </c>
      <c r="I267" t="s">
        <v>32</v>
      </c>
      <c r="J267" t="str">
        <f t="shared" si="4"/>
        <v>Repeat Customer</v>
      </c>
    </row>
    <row r="268" spans="1:10" x14ac:dyDescent="0.25">
      <c r="A268">
        <v>10602</v>
      </c>
      <c r="B268" t="s">
        <v>264</v>
      </c>
      <c r="C268" s="1">
        <v>45502</v>
      </c>
      <c r="D268" t="s">
        <v>21</v>
      </c>
      <c r="E268" t="s">
        <v>11</v>
      </c>
      <c r="F268">
        <v>9</v>
      </c>
      <c r="G268">
        <v>415.23</v>
      </c>
      <c r="H268">
        <v>3737.07</v>
      </c>
      <c r="I268" t="s">
        <v>14</v>
      </c>
      <c r="J268" t="str">
        <f t="shared" si="4"/>
        <v>Repeat Customer</v>
      </c>
    </row>
    <row r="269" spans="1:10" x14ac:dyDescent="0.25">
      <c r="A269">
        <v>11241</v>
      </c>
      <c r="B269" t="s">
        <v>264</v>
      </c>
      <c r="C269" s="1">
        <v>45983</v>
      </c>
      <c r="D269" t="s">
        <v>18</v>
      </c>
      <c r="E269" t="s">
        <v>31</v>
      </c>
      <c r="F269">
        <v>9</v>
      </c>
      <c r="G269">
        <v>92.93</v>
      </c>
      <c r="H269">
        <v>836.37</v>
      </c>
      <c r="I269" t="s">
        <v>12</v>
      </c>
      <c r="J269" t="str">
        <f t="shared" si="4"/>
        <v>Repeat Customer</v>
      </c>
    </row>
    <row r="270" spans="1:10" x14ac:dyDescent="0.25">
      <c r="A270">
        <v>11500</v>
      </c>
      <c r="B270" t="s">
        <v>264</v>
      </c>
      <c r="C270" s="1">
        <v>45383</v>
      </c>
      <c r="D270" t="s">
        <v>21</v>
      </c>
      <c r="E270" t="s">
        <v>11</v>
      </c>
      <c r="F270">
        <v>1</v>
      </c>
      <c r="G270">
        <v>310.05</v>
      </c>
      <c r="H270">
        <v>310.05</v>
      </c>
      <c r="I270" t="s">
        <v>32</v>
      </c>
      <c r="J270" t="str">
        <f t="shared" si="4"/>
        <v>Repeat Customer</v>
      </c>
    </row>
    <row r="271" spans="1:10" x14ac:dyDescent="0.25">
      <c r="A271">
        <v>10046</v>
      </c>
      <c r="B271" t="s">
        <v>60</v>
      </c>
      <c r="C271" s="1">
        <v>45858</v>
      </c>
      <c r="D271" t="s">
        <v>18</v>
      </c>
      <c r="E271" t="s">
        <v>25</v>
      </c>
      <c r="F271">
        <v>3</v>
      </c>
      <c r="G271">
        <v>139.81</v>
      </c>
      <c r="H271">
        <v>419.43</v>
      </c>
      <c r="I271" t="s">
        <v>22</v>
      </c>
      <c r="J271" t="str">
        <f t="shared" si="4"/>
        <v>Repeat Customer</v>
      </c>
    </row>
    <row r="272" spans="1:10" x14ac:dyDescent="0.25">
      <c r="A272">
        <v>10070</v>
      </c>
      <c r="B272" t="s">
        <v>60</v>
      </c>
      <c r="C272" s="1">
        <v>45727</v>
      </c>
      <c r="D272" t="s">
        <v>18</v>
      </c>
      <c r="E272" t="s">
        <v>31</v>
      </c>
      <c r="F272">
        <v>4</v>
      </c>
      <c r="G272">
        <v>92.06</v>
      </c>
      <c r="H272">
        <v>368.24</v>
      </c>
      <c r="I272" t="s">
        <v>12</v>
      </c>
      <c r="J272" t="str">
        <f t="shared" si="4"/>
        <v>Repeat Customer</v>
      </c>
    </row>
    <row r="273" spans="1:10" x14ac:dyDescent="0.25">
      <c r="A273">
        <v>10366</v>
      </c>
      <c r="B273" t="s">
        <v>60</v>
      </c>
      <c r="C273" s="1">
        <v>45430</v>
      </c>
      <c r="D273" t="s">
        <v>21</v>
      </c>
      <c r="E273" t="s">
        <v>19</v>
      </c>
      <c r="F273">
        <v>5</v>
      </c>
      <c r="G273">
        <v>8.35</v>
      </c>
      <c r="H273">
        <v>41.75</v>
      </c>
      <c r="I273" t="s">
        <v>32</v>
      </c>
      <c r="J273" t="str">
        <f t="shared" si="4"/>
        <v>Repeat Customer</v>
      </c>
    </row>
    <row r="274" spans="1:10" x14ac:dyDescent="0.25">
      <c r="A274">
        <v>10452</v>
      </c>
      <c r="B274" t="s">
        <v>60</v>
      </c>
      <c r="C274" s="1">
        <v>45460</v>
      </c>
      <c r="D274" t="s">
        <v>21</v>
      </c>
      <c r="E274" t="s">
        <v>11</v>
      </c>
      <c r="F274">
        <v>8</v>
      </c>
      <c r="G274">
        <v>235.7</v>
      </c>
      <c r="H274">
        <v>1885.6</v>
      </c>
      <c r="I274" t="s">
        <v>22</v>
      </c>
      <c r="J274" t="str">
        <f t="shared" si="4"/>
        <v>Repeat Customer</v>
      </c>
    </row>
    <row r="275" spans="1:10" x14ac:dyDescent="0.25">
      <c r="A275">
        <v>10650</v>
      </c>
      <c r="B275" t="s">
        <v>60</v>
      </c>
      <c r="C275" s="1">
        <v>45450</v>
      </c>
      <c r="D275" t="s">
        <v>16</v>
      </c>
      <c r="E275" t="s">
        <v>19</v>
      </c>
      <c r="F275">
        <v>7</v>
      </c>
      <c r="G275">
        <v>327.52999999999997</v>
      </c>
      <c r="H275">
        <v>2292.71</v>
      </c>
      <c r="I275" t="s">
        <v>32</v>
      </c>
      <c r="J275" t="str">
        <f t="shared" si="4"/>
        <v>Repeat Customer</v>
      </c>
    </row>
    <row r="276" spans="1:10" x14ac:dyDescent="0.25">
      <c r="A276">
        <v>10838</v>
      </c>
      <c r="B276" t="s">
        <v>60</v>
      </c>
      <c r="C276" s="1">
        <v>45625</v>
      </c>
      <c r="D276" t="s">
        <v>16</v>
      </c>
      <c r="E276" t="s">
        <v>31</v>
      </c>
      <c r="F276">
        <v>9</v>
      </c>
      <c r="G276">
        <v>326.48</v>
      </c>
      <c r="H276">
        <v>2938.32</v>
      </c>
      <c r="I276" t="s">
        <v>32</v>
      </c>
      <c r="J276" t="str">
        <f t="shared" si="4"/>
        <v>Repeat Customer</v>
      </c>
    </row>
    <row r="277" spans="1:10" x14ac:dyDescent="0.25">
      <c r="A277">
        <v>11075</v>
      </c>
      <c r="B277" t="s">
        <v>60</v>
      </c>
      <c r="C277" s="1">
        <v>45623</v>
      </c>
      <c r="D277" t="s">
        <v>21</v>
      </c>
      <c r="E277" t="s">
        <v>31</v>
      </c>
      <c r="F277">
        <v>3</v>
      </c>
      <c r="G277">
        <v>19.29</v>
      </c>
      <c r="H277">
        <v>57.87</v>
      </c>
      <c r="I277" t="s">
        <v>32</v>
      </c>
      <c r="J277" t="str">
        <f t="shared" si="4"/>
        <v>Repeat Customer</v>
      </c>
    </row>
    <row r="278" spans="1:10" x14ac:dyDescent="0.25">
      <c r="A278">
        <v>11115</v>
      </c>
      <c r="B278" t="s">
        <v>60</v>
      </c>
      <c r="C278" s="1">
        <v>45917</v>
      </c>
      <c r="D278" t="s">
        <v>24</v>
      </c>
      <c r="E278" t="s">
        <v>11</v>
      </c>
      <c r="F278">
        <v>10</v>
      </c>
      <c r="G278">
        <v>392.17</v>
      </c>
      <c r="H278">
        <v>3921.7</v>
      </c>
      <c r="I278" t="s">
        <v>12</v>
      </c>
      <c r="J278" t="str">
        <f t="shared" si="4"/>
        <v>Repeat Customer</v>
      </c>
    </row>
    <row r="279" spans="1:10" x14ac:dyDescent="0.25">
      <c r="A279">
        <v>11382</v>
      </c>
      <c r="B279" t="s">
        <v>60</v>
      </c>
      <c r="C279" s="1">
        <v>45297</v>
      </c>
      <c r="D279" t="s">
        <v>10</v>
      </c>
      <c r="E279" t="s">
        <v>31</v>
      </c>
      <c r="F279">
        <v>6</v>
      </c>
      <c r="G279">
        <v>445.65</v>
      </c>
      <c r="H279">
        <v>2673.9</v>
      </c>
      <c r="I279" t="s">
        <v>22</v>
      </c>
      <c r="J279" t="str">
        <f t="shared" si="4"/>
        <v>Repeat Customer</v>
      </c>
    </row>
    <row r="280" spans="1:10" x14ac:dyDescent="0.25">
      <c r="A280">
        <v>11430</v>
      </c>
      <c r="B280" t="s">
        <v>60</v>
      </c>
      <c r="C280" s="1">
        <v>45847</v>
      </c>
      <c r="D280" t="s">
        <v>24</v>
      </c>
      <c r="E280" t="s">
        <v>25</v>
      </c>
      <c r="F280">
        <v>6</v>
      </c>
      <c r="G280">
        <v>427.1</v>
      </c>
      <c r="H280">
        <v>2562.6</v>
      </c>
      <c r="I280" t="s">
        <v>14</v>
      </c>
      <c r="J280" t="str">
        <f t="shared" si="4"/>
        <v>Repeat Customer</v>
      </c>
    </row>
    <row r="281" spans="1:10" x14ac:dyDescent="0.25">
      <c r="A281">
        <v>10088</v>
      </c>
      <c r="B281" t="s">
        <v>93</v>
      </c>
      <c r="C281" s="1">
        <v>45884</v>
      </c>
      <c r="D281" t="s">
        <v>18</v>
      </c>
      <c r="E281" t="s">
        <v>31</v>
      </c>
      <c r="F281">
        <v>1</v>
      </c>
      <c r="G281">
        <v>464.8</v>
      </c>
      <c r="H281">
        <v>464.8</v>
      </c>
      <c r="I281" t="s">
        <v>32</v>
      </c>
      <c r="J281" t="str">
        <f t="shared" si="4"/>
        <v>Repeat Customer</v>
      </c>
    </row>
    <row r="282" spans="1:10" x14ac:dyDescent="0.25">
      <c r="A282">
        <v>10521</v>
      </c>
      <c r="B282" t="s">
        <v>93</v>
      </c>
      <c r="C282" s="1">
        <v>45785</v>
      </c>
      <c r="D282" t="s">
        <v>16</v>
      </c>
      <c r="E282" t="s">
        <v>19</v>
      </c>
      <c r="F282">
        <v>2</v>
      </c>
      <c r="G282">
        <v>171.46</v>
      </c>
      <c r="H282">
        <v>342.92</v>
      </c>
      <c r="I282" t="s">
        <v>22</v>
      </c>
      <c r="J282" t="str">
        <f t="shared" si="4"/>
        <v>Repeat Customer</v>
      </c>
    </row>
    <row r="283" spans="1:10" x14ac:dyDescent="0.25">
      <c r="A283">
        <v>10942</v>
      </c>
      <c r="B283" t="s">
        <v>93</v>
      </c>
      <c r="C283" s="1">
        <v>45460</v>
      </c>
      <c r="D283" t="s">
        <v>10</v>
      </c>
      <c r="E283" t="s">
        <v>31</v>
      </c>
      <c r="F283">
        <v>5</v>
      </c>
      <c r="G283">
        <v>60.45</v>
      </c>
      <c r="H283">
        <v>302.25</v>
      </c>
      <c r="I283" t="s">
        <v>14</v>
      </c>
      <c r="J283" t="str">
        <f t="shared" si="4"/>
        <v>Repeat Customer</v>
      </c>
    </row>
    <row r="284" spans="1:10" x14ac:dyDescent="0.25">
      <c r="A284">
        <v>10227</v>
      </c>
      <c r="B284" t="s">
        <v>173</v>
      </c>
      <c r="C284" s="1">
        <v>45803</v>
      </c>
      <c r="D284" t="s">
        <v>18</v>
      </c>
      <c r="E284" t="s">
        <v>25</v>
      </c>
      <c r="F284">
        <v>10</v>
      </c>
      <c r="G284">
        <v>270.35000000000002</v>
      </c>
      <c r="H284">
        <v>2703.5</v>
      </c>
      <c r="I284" t="s">
        <v>14</v>
      </c>
      <c r="J284" t="str">
        <f t="shared" si="4"/>
        <v>Repeat Customer</v>
      </c>
    </row>
    <row r="285" spans="1:10" x14ac:dyDescent="0.25">
      <c r="A285">
        <v>10761</v>
      </c>
      <c r="B285" t="s">
        <v>173</v>
      </c>
      <c r="C285" s="1">
        <v>45604</v>
      </c>
      <c r="D285" t="s">
        <v>16</v>
      </c>
      <c r="E285" t="s">
        <v>25</v>
      </c>
      <c r="F285">
        <v>8</v>
      </c>
      <c r="G285">
        <v>238.24</v>
      </c>
      <c r="H285">
        <v>1905.92</v>
      </c>
      <c r="I285" t="s">
        <v>14</v>
      </c>
      <c r="J285" t="str">
        <f t="shared" si="4"/>
        <v>Repeat Customer</v>
      </c>
    </row>
    <row r="286" spans="1:10" x14ac:dyDescent="0.25">
      <c r="A286">
        <v>10849</v>
      </c>
      <c r="B286" t="s">
        <v>173</v>
      </c>
      <c r="C286" s="1">
        <v>45580</v>
      </c>
      <c r="D286" t="s">
        <v>18</v>
      </c>
      <c r="E286" t="s">
        <v>31</v>
      </c>
      <c r="F286">
        <v>1</v>
      </c>
      <c r="G286">
        <v>121.44</v>
      </c>
      <c r="H286">
        <v>121.44</v>
      </c>
      <c r="I286" t="s">
        <v>22</v>
      </c>
      <c r="J286" t="str">
        <f t="shared" si="4"/>
        <v>Repeat Customer</v>
      </c>
    </row>
    <row r="287" spans="1:10" x14ac:dyDescent="0.25">
      <c r="A287">
        <v>10922</v>
      </c>
      <c r="B287" t="s">
        <v>173</v>
      </c>
      <c r="C287" s="1">
        <v>45768</v>
      </c>
      <c r="D287" t="s">
        <v>16</v>
      </c>
      <c r="E287" t="s">
        <v>25</v>
      </c>
      <c r="F287">
        <v>8</v>
      </c>
      <c r="G287">
        <v>212.02</v>
      </c>
      <c r="H287">
        <v>1696.16</v>
      </c>
      <c r="I287" t="s">
        <v>22</v>
      </c>
      <c r="J287" t="str">
        <f t="shared" si="4"/>
        <v>Repeat Customer</v>
      </c>
    </row>
    <row r="288" spans="1:10" x14ac:dyDescent="0.25">
      <c r="A288">
        <v>10993</v>
      </c>
      <c r="B288" t="s">
        <v>173</v>
      </c>
      <c r="C288" s="1">
        <v>45824</v>
      </c>
      <c r="D288" t="s">
        <v>16</v>
      </c>
      <c r="E288" t="s">
        <v>19</v>
      </c>
      <c r="F288">
        <v>3</v>
      </c>
      <c r="G288">
        <v>250.43</v>
      </c>
      <c r="H288">
        <v>751.29</v>
      </c>
      <c r="I288" t="s">
        <v>12</v>
      </c>
      <c r="J288" t="str">
        <f t="shared" si="4"/>
        <v>Repeat Customer</v>
      </c>
    </row>
    <row r="289" spans="1:10" x14ac:dyDescent="0.25">
      <c r="A289">
        <v>11436</v>
      </c>
      <c r="B289" t="s">
        <v>173</v>
      </c>
      <c r="C289" s="1">
        <v>45521</v>
      </c>
      <c r="D289" t="s">
        <v>16</v>
      </c>
      <c r="E289" t="s">
        <v>19</v>
      </c>
      <c r="F289">
        <v>2</v>
      </c>
      <c r="G289">
        <v>478.45</v>
      </c>
      <c r="H289">
        <v>956.9</v>
      </c>
      <c r="I289" t="s">
        <v>12</v>
      </c>
      <c r="J289" t="str">
        <f t="shared" si="4"/>
        <v>Repeat Customer</v>
      </c>
    </row>
    <row r="290" spans="1:10" x14ac:dyDescent="0.25">
      <c r="A290">
        <v>10001</v>
      </c>
      <c r="B290" t="s">
        <v>9</v>
      </c>
      <c r="C290" s="1">
        <v>45317</v>
      </c>
      <c r="D290" t="s">
        <v>10</v>
      </c>
      <c r="E290" t="s">
        <v>11</v>
      </c>
      <c r="F290">
        <v>5</v>
      </c>
      <c r="G290">
        <v>126.22</v>
      </c>
      <c r="H290">
        <v>631.1</v>
      </c>
      <c r="I290" t="s">
        <v>12</v>
      </c>
      <c r="J290" t="str">
        <f t="shared" si="4"/>
        <v>Repeat Customer</v>
      </c>
    </row>
    <row r="291" spans="1:10" x14ac:dyDescent="0.25">
      <c r="A291">
        <v>10423</v>
      </c>
      <c r="B291" t="s">
        <v>9</v>
      </c>
      <c r="C291" s="1">
        <v>45538</v>
      </c>
      <c r="D291" t="s">
        <v>24</v>
      </c>
      <c r="E291" t="s">
        <v>11</v>
      </c>
      <c r="F291">
        <v>8</v>
      </c>
      <c r="G291">
        <v>320.85000000000002</v>
      </c>
      <c r="H291">
        <v>2566.8000000000002</v>
      </c>
      <c r="I291" t="s">
        <v>22</v>
      </c>
      <c r="J291" t="str">
        <f t="shared" si="4"/>
        <v>Repeat Customer</v>
      </c>
    </row>
    <row r="292" spans="1:10" x14ac:dyDescent="0.25">
      <c r="A292">
        <v>10858</v>
      </c>
      <c r="B292" t="s">
        <v>9</v>
      </c>
      <c r="C292" s="1">
        <v>45886</v>
      </c>
      <c r="D292" t="s">
        <v>24</v>
      </c>
      <c r="E292" t="s">
        <v>25</v>
      </c>
      <c r="F292">
        <v>8</v>
      </c>
      <c r="G292">
        <v>481.06</v>
      </c>
      <c r="H292">
        <v>3848.48</v>
      </c>
      <c r="I292" t="s">
        <v>22</v>
      </c>
      <c r="J292" t="str">
        <f t="shared" si="4"/>
        <v>Repeat Customer</v>
      </c>
    </row>
    <row r="293" spans="1:10" x14ac:dyDescent="0.25">
      <c r="A293">
        <v>11038</v>
      </c>
      <c r="B293" t="s">
        <v>9</v>
      </c>
      <c r="C293" s="1">
        <v>45616</v>
      </c>
      <c r="D293" t="s">
        <v>10</v>
      </c>
      <c r="E293" t="s">
        <v>19</v>
      </c>
      <c r="F293">
        <v>9</v>
      </c>
      <c r="G293">
        <v>214.77</v>
      </c>
      <c r="H293">
        <v>1932.93</v>
      </c>
      <c r="I293" t="s">
        <v>14</v>
      </c>
      <c r="J293" t="str">
        <f t="shared" si="4"/>
        <v>Repeat Customer</v>
      </c>
    </row>
    <row r="294" spans="1:10" x14ac:dyDescent="0.25">
      <c r="A294">
        <v>10792</v>
      </c>
      <c r="B294" t="s">
        <v>301</v>
      </c>
      <c r="C294" s="1">
        <v>46015</v>
      </c>
      <c r="D294" t="s">
        <v>24</v>
      </c>
      <c r="E294" t="s">
        <v>31</v>
      </c>
      <c r="F294">
        <v>8</v>
      </c>
      <c r="G294">
        <v>318.87</v>
      </c>
      <c r="H294">
        <v>2550.96</v>
      </c>
      <c r="I294" t="s">
        <v>14</v>
      </c>
      <c r="J294" t="str">
        <f t="shared" si="4"/>
        <v>Repeat Customer</v>
      </c>
    </row>
    <row r="295" spans="1:10" x14ac:dyDescent="0.25">
      <c r="A295">
        <v>10812</v>
      </c>
      <c r="B295" t="s">
        <v>301</v>
      </c>
      <c r="C295" s="1">
        <v>45994</v>
      </c>
      <c r="D295" t="s">
        <v>18</v>
      </c>
      <c r="E295" t="s">
        <v>11</v>
      </c>
      <c r="F295">
        <v>6</v>
      </c>
      <c r="G295">
        <v>173.97</v>
      </c>
      <c r="H295">
        <v>1043.82</v>
      </c>
      <c r="I295" t="s">
        <v>14</v>
      </c>
      <c r="J295" t="str">
        <f t="shared" si="4"/>
        <v>Repeat Customer</v>
      </c>
    </row>
    <row r="296" spans="1:10" x14ac:dyDescent="0.25">
      <c r="A296">
        <v>10842</v>
      </c>
      <c r="B296" t="s">
        <v>301</v>
      </c>
      <c r="C296" s="1">
        <v>45898</v>
      </c>
      <c r="D296" t="s">
        <v>18</v>
      </c>
      <c r="E296" t="s">
        <v>11</v>
      </c>
      <c r="F296">
        <v>10</v>
      </c>
      <c r="G296">
        <v>234.14</v>
      </c>
      <c r="H296">
        <v>2341.4</v>
      </c>
      <c r="I296" t="s">
        <v>32</v>
      </c>
      <c r="J296" t="str">
        <f t="shared" si="4"/>
        <v>Repeat Customer</v>
      </c>
    </row>
    <row r="297" spans="1:10" x14ac:dyDescent="0.25">
      <c r="A297">
        <v>11483</v>
      </c>
      <c r="B297" t="s">
        <v>301</v>
      </c>
      <c r="C297" s="1">
        <v>45577</v>
      </c>
      <c r="D297" t="s">
        <v>10</v>
      </c>
      <c r="E297" t="s">
        <v>31</v>
      </c>
      <c r="F297">
        <v>8</v>
      </c>
      <c r="G297">
        <v>23.95</v>
      </c>
      <c r="H297">
        <v>191.6</v>
      </c>
      <c r="I297" t="s">
        <v>14</v>
      </c>
      <c r="J297" t="str">
        <f t="shared" si="4"/>
        <v>Repeat Customer</v>
      </c>
    </row>
    <row r="298" spans="1:10" x14ac:dyDescent="0.25">
      <c r="A298">
        <v>11498</v>
      </c>
      <c r="B298" t="s">
        <v>301</v>
      </c>
      <c r="C298" s="1">
        <v>45472</v>
      </c>
      <c r="D298" t="s">
        <v>10</v>
      </c>
      <c r="E298" t="s">
        <v>25</v>
      </c>
      <c r="F298">
        <v>8</v>
      </c>
      <c r="G298">
        <v>217.05</v>
      </c>
      <c r="H298">
        <v>1736.4</v>
      </c>
      <c r="I298" t="s">
        <v>32</v>
      </c>
      <c r="J298" t="str">
        <f t="shared" si="4"/>
        <v>Repeat Customer</v>
      </c>
    </row>
    <row r="299" spans="1:10" x14ac:dyDescent="0.25">
      <c r="A299">
        <v>10058</v>
      </c>
      <c r="B299" t="s">
        <v>68</v>
      </c>
      <c r="C299" s="1">
        <v>45559</v>
      </c>
      <c r="D299" t="s">
        <v>16</v>
      </c>
      <c r="E299" t="s">
        <v>11</v>
      </c>
      <c r="F299">
        <v>3</v>
      </c>
      <c r="G299">
        <v>292.39</v>
      </c>
      <c r="H299">
        <v>877.17</v>
      </c>
      <c r="I299" t="s">
        <v>12</v>
      </c>
      <c r="J299" t="str">
        <f t="shared" si="4"/>
        <v>Repeat Customer</v>
      </c>
    </row>
    <row r="300" spans="1:10" x14ac:dyDescent="0.25">
      <c r="A300">
        <v>10159</v>
      </c>
      <c r="B300" t="s">
        <v>68</v>
      </c>
      <c r="C300" s="1">
        <v>45391</v>
      </c>
      <c r="D300" t="s">
        <v>10</v>
      </c>
      <c r="E300" t="s">
        <v>31</v>
      </c>
      <c r="F300">
        <v>4</v>
      </c>
      <c r="G300">
        <v>444.19</v>
      </c>
      <c r="H300">
        <v>1776.76</v>
      </c>
      <c r="I300" t="s">
        <v>32</v>
      </c>
      <c r="J300" t="str">
        <f t="shared" si="4"/>
        <v>Repeat Customer</v>
      </c>
    </row>
    <row r="301" spans="1:10" x14ac:dyDescent="0.25">
      <c r="A301">
        <v>10492</v>
      </c>
      <c r="B301" t="s">
        <v>68</v>
      </c>
      <c r="C301" s="1">
        <v>45607</v>
      </c>
      <c r="D301" t="s">
        <v>16</v>
      </c>
      <c r="E301" t="s">
        <v>11</v>
      </c>
      <c r="F301">
        <v>7</v>
      </c>
      <c r="G301">
        <v>238.12</v>
      </c>
      <c r="H301">
        <v>1666.84</v>
      </c>
      <c r="I301" t="s">
        <v>32</v>
      </c>
      <c r="J301" t="str">
        <f t="shared" si="4"/>
        <v>Repeat Customer</v>
      </c>
    </row>
    <row r="302" spans="1:10" x14ac:dyDescent="0.25">
      <c r="A302">
        <v>10870</v>
      </c>
      <c r="B302" t="s">
        <v>68</v>
      </c>
      <c r="C302" s="1">
        <v>45345</v>
      </c>
      <c r="D302" t="s">
        <v>21</v>
      </c>
      <c r="E302" t="s">
        <v>19</v>
      </c>
      <c r="F302">
        <v>3</v>
      </c>
      <c r="G302">
        <v>234.69</v>
      </c>
      <c r="H302">
        <v>704.07</v>
      </c>
      <c r="I302" t="s">
        <v>32</v>
      </c>
      <c r="J302" t="str">
        <f t="shared" si="4"/>
        <v>Repeat Customer</v>
      </c>
    </row>
    <row r="303" spans="1:10" x14ac:dyDescent="0.25">
      <c r="A303">
        <v>11297</v>
      </c>
      <c r="B303" t="s">
        <v>68</v>
      </c>
      <c r="C303" s="1">
        <v>45386</v>
      </c>
      <c r="D303" t="s">
        <v>18</v>
      </c>
      <c r="E303" t="s">
        <v>11</v>
      </c>
      <c r="F303">
        <v>7</v>
      </c>
      <c r="G303">
        <v>201.85</v>
      </c>
      <c r="H303">
        <v>1412.95</v>
      </c>
      <c r="I303" t="s">
        <v>14</v>
      </c>
      <c r="J303" t="str">
        <f t="shared" si="4"/>
        <v>Repeat Customer</v>
      </c>
    </row>
    <row r="304" spans="1:10" x14ac:dyDescent="0.25">
      <c r="A304">
        <v>10316</v>
      </c>
      <c r="B304" t="s">
        <v>206</v>
      </c>
      <c r="C304" s="1">
        <v>45474</v>
      </c>
      <c r="D304" t="s">
        <v>10</v>
      </c>
      <c r="E304" t="s">
        <v>25</v>
      </c>
      <c r="F304">
        <v>9</v>
      </c>
      <c r="G304">
        <v>199.56</v>
      </c>
      <c r="H304">
        <v>1796.04</v>
      </c>
      <c r="I304" t="s">
        <v>12</v>
      </c>
      <c r="J304" t="str">
        <f t="shared" si="4"/>
        <v>Repeat Customer</v>
      </c>
    </row>
    <row r="305" spans="1:10" x14ac:dyDescent="0.25">
      <c r="A305">
        <v>10332</v>
      </c>
      <c r="B305" t="s">
        <v>206</v>
      </c>
      <c r="C305" s="1">
        <v>45782</v>
      </c>
      <c r="D305" t="s">
        <v>10</v>
      </c>
      <c r="E305" t="s">
        <v>31</v>
      </c>
      <c r="F305">
        <v>4</v>
      </c>
      <c r="G305">
        <v>349.34</v>
      </c>
      <c r="H305">
        <v>1397.36</v>
      </c>
      <c r="I305" t="s">
        <v>14</v>
      </c>
      <c r="J305" t="str">
        <f t="shared" si="4"/>
        <v>Repeat Customer</v>
      </c>
    </row>
    <row r="306" spans="1:10" x14ac:dyDescent="0.25">
      <c r="A306">
        <v>10827</v>
      </c>
      <c r="B306" t="s">
        <v>206</v>
      </c>
      <c r="C306" s="1">
        <v>45571</v>
      </c>
      <c r="D306" t="s">
        <v>24</v>
      </c>
      <c r="E306" t="s">
        <v>11</v>
      </c>
      <c r="F306">
        <v>3</v>
      </c>
      <c r="G306">
        <v>82.96</v>
      </c>
      <c r="H306">
        <v>248.88</v>
      </c>
      <c r="I306" t="s">
        <v>12</v>
      </c>
      <c r="J306" t="str">
        <f t="shared" si="4"/>
        <v>Repeat Customer</v>
      </c>
    </row>
    <row r="307" spans="1:10" x14ac:dyDescent="0.25">
      <c r="A307">
        <v>11143</v>
      </c>
      <c r="B307" t="s">
        <v>206</v>
      </c>
      <c r="C307" s="1">
        <v>45672</v>
      </c>
      <c r="D307" t="s">
        <v>16</v>
      </c>
      <c r="E307" t="s">
        <v>19</v>
      </c>
      <c r="F307">
        <v>5</v>
      </c>
      <c r="G307">
        <v>495.55</v>
      </c>
      <c r="H307">
        <v>2477.75</v>
      </c>
      <c r="I307" t="s">
        <v>32</v>
      </c>
      <c r="J307" t="str">
        <f t="shared" si="4"/>
        <v>Repeat Customer</v>
      </c>
    </row>
    <row r="308" spans="1:10" x14ac:dyDescent="0.25">
      <c r="A308">
        <v>11229</v>
      </c>
      <c r="B308" t="s">
        <v>206</v>
      </c>
      <c r="C308" s="1">
        <v>45365</v>
      </c>
      <c r="D308" t="s">
        <v>10</v>
      </c>
      <c r="E308" t="s">
        <v>19</v>
      </c>
      <c r="F308">
        <v>6</v>
      </c>
      <c r="G308">
        <v>23.95</v>
      </c>
      <c r="H308">
        <v>143.69999999999999</v>
      </c>
      <c r="I308" t="s">
        <v>14</v>
      </c>
      <c r="J308" t="str">
        <f t="shared" si="4"/>
        <v>Repeat Customer</v>
      </c>
    </row>
    <row r="309" spans="1:10" x14ac:dyDescent="0.25">
      <c r="A309">
        <v>10090</v>
      </c>
      <c r="B309" t="s">
        <v>95</v>
      </c>
      <c r="C309" s="1">
        <v>45871</v>
      </c>
      <c r="D309" t="s">
        <v>21</v>
      </c>
      <c r="E309" t="s">
        <v>19</v>
      </c>
      <c r="F309">
        <v>1</v>
      </c>
      <c r="G309">
        <v>176.87</v>
      </c>
      <c r="H309">
        <v>176.87</v>
      </c>
      <c r="I309" t="s">
        <v>12</v>
      </c>
      <c r="J309" t="str">
        <f t="shared" si="4"/>
        <v>Repeat Customer</v>
      </c>
    </row>
    <row r="310" spans="1:10" x14ac:dyDescent="0.25">
      <c r="A310">
        <v>10102</v>
      </c>
      <c r="B310" t="s">
        <v>95</v>
      </c>
      <c r="C310" s="1">
        <v>45840</v>
      </c>
      <c r="D310" t="s">
        <v>21</v>
      </c>
      <c r="E310" t="s">
        <v>19</v>
      </c>
      <c r="F310">
        <v>3</v>
      </c>
      <c r="G310">
        <v>99.81</v>
      </c>
      <c r="H310">
        <v>299.43</v>
      </c>
      <c r="I310" t="s">
        <v>22</v>
      </c>
      <c r="J310" t="str">
        <f t="shared" si="4"/>
        <v>Repeat Customer</v>
      </c>
    </row>
    <row r="311" spans="1:10" x14ac:dyDescent="0.25">
      <c r="A311">
        <v>10673</v>
      </c>
      <c r="B311" t="s">
        <v>95</v>
      </c>
      <c r="C311" s="1">
        <v>45372</v>
      </c>
      <c r="D311" t="s">
        <v>18</v>
      </c>
      <c r="E311" t="s">
        <v>11</v>
      </c>
      <c r="F311">
        <v>8</v>
      </c>
      <c r="G311">
        <v>308.83999999999997</v>
      </c>
      <c r="H311">
        <v>2470.7199999999998</v>
      </c>
      <c r="I311" t="s">
        <v>32</v>
      </c>
      <c r="J311" t="str">
        <f t="shared" si="4"/>
        <v>Repeat Customer</v>
      </c>
    </row>
    <row r="312" spans="1:10" x14ac:dyDescent="0.25">
      <c r="A312">
        <v>11268</v>
      </c>
      <c r="B312" t="s">
        <v>95</v>
      </c>
      <c r="C312" s="1">
        <v>45529</v>
      </c>
      <c r="D312" t="s">
        <v>16</v>
      </c>
      <c r="E312" t="s">
        <v>25</v>
      </c>
      <c r="F312">
        <v>4</v>
      </c>
      <c r="G312">
        <v>57.41</v>
      </c>
      <c r="H312">
        <v>229.64</v>
      </c>
      <c r="I312" t="s">
        <v>12</v>
      </c>
      <c r="J312" t="str">
        <f t="shared" si="4"/>
        <v>Repeat Customer</v>
      </c>
    </row>
    <row r="313" spans="1:10" x14ac:dyDescent="0.25">
      <c r="A313">
        <v>10953</v>
      </c>
      <c r="B313" t="s">
        <v>311</v>
      </c>
      <c r="C313" s="1">
        <v>45317</v>
      </c>
      <c r="D313" t="s">
        <v>10</v>
      </c>
      <c r="E313" t="s">
        <v>31</v>
      </c>
      <c r="F313">
        <v>7</v>
      </c>
      <c r="G313">
        <v>465.88</v>
      </c>
      <c r="H313">
        <v>3261.16</v>
      </c>
      <c r="I313" t="s">
        <v>22</v>
      </c>
      <c r="J313" t="str">
        <f t="shared" si="4"/>
        <v>Repeat Customer</v>
      </c>
    </row>
    <row r="314" spans="1:10" x14ac:dyDescent="0.25">
      <c r="A314">
        <v>10999</v>
      </c>
      <c r="B314" t="s">
        <v>311</v>
      </c>
      <c r="C314" s="1">
        <v>45530</v>
      </c>
      <c r="D314" t="s">
        <v>16</v>
      </c>
      <c r="E314" t="s">
        <v>19</v>
      </c>
      <c r="F314">
        <v>7</v>
      </c>
      <c r="G314">
        <v>363.97</v>
      </c>
      <c r="H314">
        <v>2547.79</v>
      </c>
      <c r="I314" t="s">
        <v>32</v>
      </c>
      <c r="J314" t="str">
        <f t="shared" si="4"/>
        <v>Repeat Customer</v>
      </c>
    </row>
    <row r="315" spans="1:10" x14ac:dyDescent="0.25">
      <c r="A315">
        <v>11312</v>
      </c>
      <c r="B315" t="s">
        <v>311</v>
      </c>
      <c r="C315" s="1">
        <v>45835</v>
      </c>
      <c r="D315" t="s">
        <v>10</v>
      </c>
      <c r="E315" t="s">
        <v>19</v>
      </c>
      <c r="F315">
        <v>5</v>
      </c>
      <c r="G315">
        <v>475.78</v>
      </c>
      <c r="H315">
        <v>2378.9</v>
      </c>
      <c r="I315" t="s">
        <v>32</v>
      </c>
      <c r="J315" t="str">
        <f t="shared" si="4"/>
        <v>Repeat Customer</v>
      </c>
    </row>
    <row r="316" spans="1:10" x14ac:dyDescent="0.25">
      <c r="A316">
        <v>11343</v>
      </c>
      <c r="B316" t="s">
        <v>311</v>
      </c>
      <c r="C316" s="1">
        <v>45792</v>
      </c>
      <c r="D316" t="s">
        <v>18</v>
      </c>
      <c r="E316" t="s">
        <v>31</v>
      </c>
      <c r="F316">
        <v>9</v>
      </c>
      <c r="G316">
        <v>116.34</v>
      </c>
      <c r="H316">
        <v>1047.06</v>
      </c>
      <c r="I316" t="s">
        <v>22</v>
      </c>
      <c r="J316" t="str">
        <f t="shared" si="4"/>
        <v>Repeat Customer</v>
      </c>
    </row>
    <row r="317" spans="1:10" x14ac:dyDescent="0.25">
      <c r="A317">
        <v>10117</v>
      </c>
      <c r="B317" t="s">
        <v>112</v>
      </c>
      <c r="C317" s="1">
        <v>45771</v>
      </c>
      <c r="D317" t="s">
        <v>16</v>
      </c>
      <c r="E317" t="s">
        <v>31</v>
      </c>
      <c r="F317">
        <v>5</v>
      </c>
      <c r="G317">
        <v>351.37</v>
      </c>
      <c r="H317">
        <v>1756.85</v>
      </c>
      <c r="I317" t="s">
        <v>32</v>
      </c>
      <c r="J317" t="str">
        <f t="shared" si="4"/>
        <v>Repeat Customer</v>
      </c>
    </row>
    <row r="318" spans="1:10" x14ac:dyDescent="0.25">
      <c r="A318">
        <v>10256</v>
      </c>
      <c r="B318" t="s">
        <v>112</v>
      </c>
      <c r="C318" s="1">
        <v>45822</v>
      </c>
      <c r="D318" t="s">
        <v>10</v>
      </c>
      <c r="E318" t="s">
        <v>19</v>
      </c>
      <c r="F318">
        <v>3</v>
      </c>
      <c r="G318">
        <v>155.54</v>
      </c>
      <c r="H318">
        <v>466.62</v>
      </c>
      <c r="I318" t="s">
        <v>14</v>
      </c>
      <c r="J318" t="str">
        <f t="shared" si="4"/>
        <v>Repeat Customer</v>
      </c>
    </row>
    <row r="319" spans="1:10" x14ac:dyDescent="0.25">
      <c r="A319">
        <v>10986</v>
      </c>
      <c r="B319" t="s">
        <v>112</v>
      </c>
      <c r="C319" s="1">
        <v>45908</v>
      </c>
      <c r="D319" t="s">
        <v>10</v>
      </c>
      <c r="E319" t="s">
        <v>25</v>
      </c>
      <c r="F319">
        <v>4</v>
      </c>
      <c r="G319">
        <v>295.86</v>
      </c>
      <c r="H319">
        <v>1183.44</v>
      </c>
      <c r="I319" t="s">
        <v>22</v>
      </c>
      <c r="J319" t="str">
        <f t="shared" si="4"/>
        <v>Repeat Customer</v>
      </c>
    </row>
    <row r="320" spans="1:10" x14ac:dyDescent="0.25">
      <c r="A320">
        <v>11071</v>
      </c>
      <c r="B320" t="s">
        <v>112</v>
      </c>
      <c r="C320" s="1">
        <v>45649</v>
      </c>
      <c r="D320" t="s">
        <v>16</v>
      </c>
      <c r="E320" t="s">
        <v>25</v>
      </c>
      <c r="F320">
        <v>2</v>
      </c>
      <c r="G320">
        <v>105.85</v>
      </c>
      <c r="H320">
        <v>211.7</v>
      </c>
      <c r="I320" t="s">
        <v>14</v>
      </c>
      <c r="J320" t="str">
        <f t="shared" si="4"/>
        <v>Repeat Customer</v>
      </c>
    </row>
    <row r="321" spans="1:10" x14ac:dyDescent="0.25">
      <c r="A321">
        <v>11360</v>
      </c>
      <c r="B321" t="s">
        <v>112</v>
      </c>
      <c r="C321" s="1">
        <v>45836</v>
      </c>
      <c r="D321" t="s">
        <v>21</v>
      </c>
      <c r="E321" t="s">
        <v>11</v>
      </c>
      <c r="F321">
        <v>2</v>
      </c>
      <c r="G321">
        <v>343.57</v>
      </c>
      <c r="H321">
        <v>687.14</v>
      </c>
      <c r="I321" t="s">
        <v>22</v>
      </c>
      <c r="J321" t="str">
        <f t="shared" si="4"/>
        <v>Repeat Customer</v>
      </c>
    </row>
    <row r="322" spans="1:10" x14ac:dyDescent="0.25">
      <c r="A322">
        <v>11363</v>
      </c>
      <c r="B322" t="s">
        <v>112</v>
      </c>
      <c r="C322" s="1">
        <v>45471</v>
      </c>
      <c r="D322" t="s">
        <v>16</v>
      </c>
      <c r="E322" t="s">
        <v>31</v>
      </c>
      <c r="F322">
        <v>9</v>
      </c>
      <c r="G322">
        <v>365.52</v>
      </c>
      <c r="H322">
        <v>3289.68</v>
      </c>
      <c r="I322" t="s">
        <v>12</v>
      </c>
      <c r="J322" t="str">
        <f t="shared" ref="J322:J385" si="5">IF(COUNTIF($B:$B,B322)&gt;1,"Repeat Customer","New Customer")</f>
        <v>Repeat Customer</v>
      </c>
    </row>
    <row r="323" spans="1:10" x14ac:dyDescent="0.25">
      <c r="A323">
        <v>11384</v>
      </c>
      <c r="B323" t="s">
        <v>112</v>
      </c>
      <c r="C323" s="1">
        <v>45791</v>
      </c>
      <c r="D323" t="s">
        <v>16</v>
      </c>
      <c r="E323" t="s">
        <v>25</v>
      </c>
      <c r="F323">
        <v>1</v>
      </c>
      <c r="G323">
        <v>82.04</v>
      </c>
      <c r="H323">
        <v>82.04</v>
      </c>
      <c r="I323" t="s">
        <v>32</v>
      </c>
      <c r="J323" t="str">
        <f t="shared" si="5"/>
        <v>Repeat Customer</v>
      </c>
    </row>
    <row r="324" spans="1:10" x14ac:dyDescent="0.25">
      <c r="A324">
        <v>10086</v>
      </c>
      <c r="B324" t="s">
        <v>91</v>
      </c>
      <c r="C324" s="1">
        <v>45776</v>
      </c>
      <c r="D324" t="s">
        <v>10</v>
      </c>
      <c r="E324" t="s">
        <v>31</v>
      </c>
      <c r="F324">
        <v>2</v>
      </c>
      <c r="G324">
        <v>284.16000000000003</v>
      </c>
      <c r="H324">
        <v>568.32000000000005</v>
      </c>
      <c r="I324" t="s">
        <v>22</v>
      </c>
      <c r="J324" t="str">
        <f t="shared" si="5"/>
        <v>Repeat Customer</v>
      </c>
    </row>
    <row r="325" spans="1:10" x14ac:dyDescent="0.25">
      <c r="A325">
        <v>10135</v>
      </c>
      <c r="B325" t="s">
        <v>91</v>
      </c>
      <c r="C325" s="1">
        <v>45806</v>
      </c>
      <c r="D325" t="s">
        <v>24</v>
      </c>
      <c r="E325" t="s">
        <v>31</v>
      </c>
      <c r="F325">
        <v>10</v>
      </c>
      <c r="G325">
        <v>169.34</v>
      </c>
      <c r="H325">
        <v>1693.4</v>
      </c>
      <c r="I325" t="s">
        <v>12</v>
      </c>
      <c r="J325" t="str">
        <f t="shared" si="5"/>
        <v>Repeat Customer</v>
      </c>
    </row>
    <row r="326" spans="1:10" x14ac:dyDescent="0.25">
      <c r="A326">
        <v>10258</v>
      </c>
      <c r="B326" t="s">
        <v>91</v>
      </c>
      <c r="C326" s="1">
        <v>45932</v>
      </c>
      <c r="D326" t="s">
        <v>24</v>
      </c>
      <c r="E326" t="s">
        <v>25</v>
      </c>
      <c r="F326">
        <v>5</v>
      </c>
      <c r="G326">
        <v>309.14</v>
      </c>
      <c r="H326">
        <v>1545.7</v>
      </c>
      <c r="I326" t="s">
        <v>14</v>
      </c>
      <c r="J326" t="str">
        <f t="shared" si="5"/>
        <v>Repeat Customer</v>
      </c>
    </row>
    <row r="327" spans="1:10" x14ac:dyDescent="0.25">
      <c r="A327">
        <v>10433</v>
      </c>
      <c r="B327" t="s">
        <v>91</v>
      </c>
      <c r="C327" s="1">
        <v>45567</v>
      </c>
      <c r="D327" t="s">
        <v>24</v>
      </c>
      <c r="E327" t="s">
        <v>19</v>
      </c>
      <c r="F327">
        <v>2</v>
      </c>
      <c r="G327">
        <v>386.86</v>
      </c>
      <c r="H327">
        <v>773.72</v>
      </c>
      <c r="I327" t="s">
        <v>32</v>
      </c>
      <c r="J327" t="str">
        <f t="shared" si="5"/>
        <v>Repeat Customer</v>
      </c>
    </row>
    <row r="328" spans="1:10" x14ac:dyDescent="0.25">
      <c r="A328">
        <v>10697</v>
      </c>
      <c r="B328" t="s">
        <v>91</v>
      </c>
      <c r="C328" s="1">
        <v>45426</v>
      </c>
      <c r="D328" t="s">
        <v>24</v>
      </c>
      <c r="E328" t="s">
        <v>11</v>
      </c>
      <c r="F328">
        <v>9</v>
      </c>
      <c r="G328">
        <v>420.07</v>
      </c>
      <c r="H328">
        <v>3780.63</v>
      </c>
      <c r="I328" t="s">
        <v>22</v>
      </c>
      <c r="J328" t="str">
        <f t="shared" si="5"/>
        <v>Repeat Customer</v>
      </c>
    </row>
    <row r="329" spans="1:10" x14ac:dyDescent="0.25">
      <c r="A329">
        <v>10983</v>
      </c>
      <c r="B329" t="s">
        <v>91</v>
      </c>
      <c r="C329" s="1">
        <v>45506</v>
      </c>
      <c r="D329" t="s">
        <v>21</v>
      </c>
      <c r="E329" t="s">
        <v>11</v>
      </c>
      <c r="F329">
        <v>3</v>
      </c>
      <c r="G329">
        <v>490.65</v>
      </c>
      <c r="H329">
        <v>1471.95</v>
      </c>
      <c r="I329" t="s">
        <v>12</v>
      </c>
      <c r="J329" t="str">
        <f t="shared" si="5"/>
        <v>Repeat Customer</v>
      </c>
    </row>
    <row r="330" spans="1:10" x14ac:dyDescent="0.25">
      <c r="A330">
        <v>11282</v>
      </c>
      <c r="B330" t="s">
        <v>91</v>
      </c>
      <c r="C330" s="1">
        <v>45385</v>
      </c>
      <c r="D330" t="s">
        <v>10</v>
      </c>
      <c r="E330" t="s">
        <v>25</v>
      </c>
      <c r="F330">
        <v>3</v>
      </c>
      <c r="G330">
        <v>298.35000000000002</v>
      </c>
      <c r="H330">
        <v>895.05</v>
      </c>
      <c r="I330" t="s">
        <v>12</v>
      </c>
      <c r="J330" t="str">
        <f t="shared" si="5"/>
        <v>Repeat Customer</v>
      </c>
    </row>
    <row r="331" spans="1:10" x14ac:dyDescent="0.25">
      <c r="A331">
        <v>10022</v>
      </c>
      <c r="B331" t="s">
        <v>42</v>
      </c>
      <c r="C331" s="1">
        <v>45967</v>
      </c>
      <c r="D331" t="s">
        <v>10</v>
      </c>
      <c r="E331" t="s">
        <v>19</v>
      </c>
      <c r="F331">
        <v>8</v>
      </c>
      <c r="G331">
        <v>473.69</v>
      </c>
      <c r="H331">
        <v>3789.52</v>
      </c>
      <c r="I331" t="s">
        <v>32</v>
      </c>
      <c r="J331" t="str">
        <f t="shared" si="5"/>
        <v>Repeat Customer</v>
      </c>
    </row>
    <row r="332" spans="1:10" x14ac:dyDescent="0.25">
      <c r="A332">
        <v>10273</v>
      </c>
      <c r="B332" t="s">
        <v>42</v>
      </c>
      <c r="C332" s="1">
        <v>45391</v>
      </c>
      <c r="D332" t="s">
        <v>16</v>
      </c>
      <c r="E332" t="s">
        <v>19</v>
      </c>
      <c r="F332">
        <v>7</v>
      </c>
      <c r="G332">
        <v>189.73</v>
      </c>
      <c r="H332">
        <v>1328.11</v>
      </c>
      <c r="I332" t="s">
        <v>14</v>
      </c>
      <c r="J332" t="str">
        <f t="shared" si="5"/>
        <v>Repeat Customer</v>
      </c>
    </row>
    <row r="333" spans="1:10" x14ac:dyDescent="0.25">
      <c r="A333">
        <v>11086</v>
      </c>
      <c r="B333" t="s">
        <v>42</v>
      </c>
      <c r="C333" s="1">
        <v>45992</v>
      </c>
      <c r="D333" t="s">
        <v>18</v>
      </c>
      <c r="E333" t="s">
        <v>31</v>
      </c>
      <c r="F333">
        <v>5</v>
      </c>
      <c r="G333">
        <v>421.56</v>
      </c>
      <c r="H333">
        <v>2107.8000000000002</v>
      </c>
      <c r="I333" t="s">
        <v>22</v>
      </c>
      <c r="J333" t="str">
        <f t="shared" si="5"/>
        <v>Repeat Customer</v>
      </c>
    </row>
    <row r="334" spans="1:10" x14ac:dyDescent="0.25">
      <c r="A334">
        <v>11182</v>
      </c>
      <c r="B334" t="s">
        <v>42</v>
      </c>
      <c r="C334" s="1">
        <v>45358</v>
      </c>
      <c r="D334" t="s">
        <v>18</v>
      </c>
      <c r="E334" t="s">
        <v>25</v>
      </c>
      <c r="F334">
        <v>3</v>
      </c>
      <c r="G334">
        <v>133.51</v>
      </c>
      <c r="H334">
        <v>400.53</v>
      </c>
      <c r="I334" t="s">
        <v>22</v>
      </c>
      <c r="J334" t="str">
        <f t="shared" si="5"/>
        <v>Repeat Customer</v>
      </c>
    </row>
    <row r="335" spans="1:10" x14ac:dyDescent="0.25">
      <c r="A335">
        <v>11355</v>
      </c>
      <c r="B335" t="s">
        <v>42</v>
      </c>
      <c r="C335" s="1">
        <v>45929</v>
      </c>
      <c r="D335" t="s">
        <v>16</v>
      </c>
      <c r="E335" t="s">
        <v>19</v>
      </c>
      <c r="F335">
        <v>7</v>
      </c>
      <c r="G335">
        <v>41.81</v>
      </c>
      <c r="H335">
        <v>292.67</v>
      </c>
      <c r="I335" t="s">
        <v>32</v>
      </c>
      <c r="J335" t="str">
        <f t="shared" si="5"/>
        <v>Repeat Customer</v>
      </c>
    </row>
    <row r="336" spans="1:10" x14ac:dyDescent="0.25">
      <c r="A336">
        <v>10731</v>
      </c>
      <c r="B336" t="s">
        <v>293</v>
      </c>
      <c r="C336" s="1">
        <v>45474</v>
      </c>
      <c r="D336" t="s">
        <v>21</v>
      </c>
      <c r="E336" t="s">
        <v>25</v>
      </c>
      <c r="F336">
        <v>1</v>
      </c>
      <c r="G336">
        <v>105.03</v>
      </c>
      <c r="H336">
        <v>105.03</v>
      </c>
      <c r="I336" t="s">
        <v>12</v>
      </c>
      <c r="J336" t="str">
        <f t="shared" si="5"/>
        <v>New Customer</v>
      </c>
    </row>
    <row r="337" spans="1:10" x14ac:dyDescent="0.25">
      <c r="A337">
        <v>10151</v>
      </c>
      <c r="B337" t="s">
        <v>135</v>
      </c>
      <c r="C337" s="1">
        <v>45384</v>
      </c>
      <c r="D337" t="s">
        <v>21</v>
      </c>
      <c r="E337" t="s">
        <v>25</v>
      </c>
      <c r="F337">
        <v>5</v>
      </c>
      <c r="G337">
        <v>166.73</v>
      </c>
      <c r="H337">
        <v>833.65</v>
      </c>
      <c r="I337" t="s">
        <v>14</v>
      </c>
      <c r="J337" t="str">
        <f t="shared" si="5"/>
        <v>Repeat Customer</v>
      </c>
    </row>
    <row r="338" spans="1:10" x14ac:dyDescent="0.25">
      <c r="A338">
        <v>10152</v>
      </c>
      <c r="B338" t="s">
        <v>135</v>
      </c>
      <c r="C338" s="1">
        <v>45844</v>
      </c>
      <c r="D338" t="s">
        <v>16</v>
      </c>
      <c r="E338" t="s">
        <v>25</v>
      </c>
      <c r="F338">
        <v>6</v>
      </c>
      <c r="G338">
        <v>267.77</v>
      </c>
      <c r="H338">
        <v>1606.62</v>
      </c>
      <c r="I338" t="s">
        <v>22</v>
      </c>
      <c r="J338" t="str">
        <f t="shared" si="5"/>
        <v>Repeat Customer</v>
      </c>
    </row>
    <row r="339" spans="1:10" x14ac:dyDescent="0.25">
      <c r="A339">
        <v>10168</v>
      </c>
      <c r="B339" t="s">
        <v>135</v>
      </c>
      <c r="C339" s="1">
        <v>45307</v>
      </c>
      <c r="D339" t="s">
        <v>10</v>
      </c>
      <c r="E339" t="s">
        <v>19</v>
      </c>
      <c r="F339">
        <v>6</v>
      </c>
      <c r="G339">
        <v>396.04</v>
      </c>
      <c r="H339">
        <v>2376.2399999999998</v>
      </c>
      <c r="I339" t="s">
        <v>12</v>
      </c>
      <c r="J339" t="str">
        <f t="shared" si="5"/>
        <v>Repeat Customer</v>
      </c>
    </row>
    <row r="340" spans="1:10" x14ac:dyDescent="0.25">
      <c r="A340">
        <v>10214</v>
      </c>
      <c r="B340" t="s">
        <v>135</v>
      </c>
      <c r="C340" s="1">
        <v>45903</v>
      </c>
      <c r="D340" t="s">
        <v>10</v>
      </c>
      <c r="E340" t="s">
        <v>25</v>
      </c>
      <c r="F340">
        <v>7</v>
      </c>
      <c r="G340">
        <v>81.36</v>
      </c>
      <c r="H340">
        <v>569.52</v>
      </c>
      <c r="I340" t="s">
        <v>32</v>
      </c>
      <c r="J340" t="str">
        <f t="shared" si="5"/>
        <v>Repeat Customer</v>
      </c>
    </row>
    <row r="341" spans="1:10" x14ac:dyDescent="0.25">
      <c r="A341">
        <v>10415</v>
      </c>
      <c r="B341" t="s">
        <v>135</v>
      </c>
      <c r="C341" s="1">
        <v>45781</v>
      </c>
      <c r="D341" t="s">
        <v>24</v>
      </c>
      <c r="E341" t="s">
        <v>11</v>
      </c>
      <c r="F341">
        <v>2</v>
      </c>
      <c r="G341">
        <v>118.33</v>
      </c>
      <c r="H341">
        <v>236.66</v>
      </c>
      <c r="I341" t="s">
        <v>12</v>
      </c>
      <c r="J341" t="str">
        <f t="shared" si="5"/>
        <v>Repeat Customer</v>
      </c>
    </row>
    <row r="342" spans="1:10" x14ac:dyDescent="0.25">
      <c r="A342">
        <v>10581</v>
      </c>
      <c r="B342" t="s">
        <v>135</v>
      </c>
      <c r="C342" s="1">
        <v>46019</v>
      </c>
      <c r="D342" t="s">
        <v>16</v>
      </c>
      <c r="E342" t="s">
        <v>11</v>
      </c>
      <c r="F342">
        <v>3</v>
      </c>
      <c r="G342">
        <v>254.43</v>
      </c>
      <c r="H342">
        <v>763.29</v>
      </c>
      <c r="I342" t="s">
        <v>22</v>
      </c>
      <c r="J342" t="str">
        <f t="shared" si="5"/>
        <v>Repeat Customer</v>
      </c>
    </row>
    <row r="343" spans="1:10" x14ac:dyDescent="0.25">
      <c r="A343">
        <v>10642</v>
      </c>
      <c r="B343" t="s">
        <v>135</v>
      </c>
      <c r="C343" s="1">
        <v>45403</v>
      </c>
      <c r="D343" t="s">
        <v>18</v>
      </c>
      <c r="E343" t="s">
        <v>31</v>
      </c>
      <c r="F343">
        <v>1</v>
      </c>
      <c r="G343">
        <v>105.16</v>
      </c>
      <c r="H343">
        <v>105.16</v>
      </c>
      <c r="I343" t="s">
        <v>14</v>
      </c>
      <c r="J343" t="str">
        <f t="shared" si="5"/>
        <v>Repeat Customer</v>
      </c>
    </row>
    <row r="344" spans="1:10" x14ac:dyDescent="0.25">
      <c r="A344">
        <v>11081</v>
      </c>
      <c r="B344" t="s">
        <v>135</v>
      </c>
      <c r="C344" s="1">
        <v>45659</v>
      </c>
      <c r="D344" t="s">
        <v>18</v>
      </c>
      <c r="E344" t="s">
        <v>25</v>
      </c>
      <c r="F344">
        <v>2</v>
      </c>
      <c r="G344">
        <v>416.87</v>
      </c>
      <c r="H344">
        <v>833.74</v>
      </c>
      <c r="I344" t="s">
        <v>32</v>
      </c>
      <c r="J344" t="str">
        <f t="shared" si="5"/>
        <v>Repeat Customer</v>
      </c>
    </row>
    <row r="345" spans="1:10" x14ac:dyDescent="0.25">
      <c r="A345">
        <v>11335</v>
      </c>
      <c r="B345" t="s">
        <v>135</v>
      </c>
      <c r="C345" s="1">
        <v>45623</v>
      </c>
      <c r="D345" t="s">
        <v>24</v>
      </c>
      <c r="E345" t="s">
        <v>19</v>
      </c>
      <c r="F345">
        <v>10</v>
      </c>
      <c r="G345">
        <v>433.6</v>
      </c>
      <c r="H345">
        <v>4336</v>
      </c>
      <c r="I345" t="s">
        <v>32</v>
      </c>
      <c r="J345" t="str">
        <f t="shared" si="5"/>
        <v>Repeat Customer</v>
      </c>
    </row>
    <row r="346" spans="1:10" x14ac:dyDescent="0.25">
      <c r="A346">
        <v>11469</v>
      </c>
      <c r="B346" t="s">
        <v>135</v>
      </c>
      <c r="C346" s="1">
        <v>45639</v>
      </c>
      <c r="D346" t="s">
        <v>21</v>
      </c>
      <c r="E346" t="s">
        <v>11</v>
      </c>
      <c r="F346">
        <v>5</v>
      </c>
      <c r="G346">
        <v>183.36</v>
      </c>
      <c r="H346">
        <v>916.8</v>
      </c>
      <c r="I346" t="s">
        <v>32</v>
      </c>
      <c r="J346" t="str">
        <f t="shared" si="5"/>
        <v>Repeat Customer</v>
      </c>
    </row>
    <row r="347" spans="1:10" x14ac:dyDescent="0.25">
      <c r="A347">
        <v>10508</v>
      </c>
      <c r="B347" t="s">
        <v>255</v>
      </c>
      <c r="C347" s="1">
        <v>45599</v>
      </c>
      <c r="D347" t="s">
        <v>16</v>
      </c>
      <c r="E347" t="s">
        <v>19</v>
      </c>
      <c r="F347">
        <v>8</v>
      </c>
      <c r="G347">
        <v>388.15</v>
      </c>
      <c r="H347">
        <v>3105.2</v>
      </c>
      <c r="I347" t="s">
        <v>32</v>
      </c>
      <c r="J347" t="str">
        <f t="shared" si="5"/>
        <v>Repeat Customer</v>
      </c>
    </row>
    <row r="348" spans="1:10" x14ac:dyDescent="0.25">
      <c r="A348">
        <v>10540</v>
      </c>
      <c r="B348" t="s">
        <v>255</v>
      </c>
      <c r="C348" s="1">
        <v>45642</v>
      </c>
      <c r="D348" t="s">
        <v>10</v>
      </c>
      <c r="E348" t="s">
        <v>25</v>
      </c>
      <c r="F348">
        <v>8</v>
      </c>
      <c r="G348">
        <v>182.83</v>
      </c>
      <c r="H348">
        <v>1462.64</v>
      </c>
      <c r="I348" t="s">
        <v>32</v>
      </c>
      <c r="J348" t="str">
        <f t="shared" si="5"/>
        <v>Repeat Customer</v>
      </c>
    </row>
    <row r="349" spans="1:10" x14ac:dyDescent="0.25">
      <c r="A349">
        <v>10579</v>
      </c>
      <c r="B349" t="s">
        <v>255</v>
      </c>
      <c r="C349" s="1">
        <v>45433</v>
      </c>
      <c r="D349" t="s">
        <v>18</v>
      </c>
      <c r="E349" t="s">
        <v>19</v>
      </c>
      <c r="F349">
        <v>7</v>
      </c>
      <c r="G349">
        <v>303.25</v>
      </c>
      <c r="H349">
        <v>2122.75</v>
      </c>
      <c r="I349" t="s">
        <v>22</v>
      </c>
      <c r="J349" t="str">
        <f t="shared" si="5"/>
        <v>Repeat Customer</v>
      </c>
    </row>
    <row r="350" spans="1:10" x14ac:dyDescent="0.25">
      <c r="A350">
        <v>10647</v>
      </c>
      <c r="B350" t="s">
        <v>255</v>
      </c>
      <c r="C350" s="1">
        <v>45552</v>
      </c>
      <c r="D350" t="s">
        <v>24</v>
      </c>
      <c r="E350" t="s">
        <v>19</v>
      </c>
      <c r="F350">
        <v>8</v>
      </c>
      <c r="G350">
        <v>384.1</v>
      </c>
      <c r="H350">
        <v>3072.8</v>
      </c>
      <c r="I350" t="s">
        <v>32</v>
      </c>
      <c r="J350" t="str">
        <f t="shared" si="5"/>
        <v>Repeat Customer</v>
      </c>
    </row>
    <row r="351" spans="1:10" x14ac:dyDescent="0.25">
      <c r="A351">
        <v>11224</v>
      </c>
      <c r="B351" t="s">
        <v>255</v>
      </c>
      <c r="C351" s="1">
        <v>45378</v>
      </c>
      <c r="D351" t="s">
        <v>16</v>
      </c>
      <c r="E351" t="s">
        <v>25</v>
      </c>
      <c r="F351">
        <v>5</v>
      </c>
      <c r="G351">
        <v>225.03</v>
      </c>
      <c r="H351">
        <v>1125.1500000000001</v>
      </c>
      <c r="I351" t="s">
        <v>12</v>
      </c>
      <c r="J351" t="str">
        <f t="shared" si="5"/>
        <v>Repeat Customer</v>
      </c>
    </row>
    <row r="352" spans="1:10" x14ac:dyDescent="0.25">
      <c r="A352">
        <v>11377</v>
      </c>
      <c r="B352" t="s">
        <v>255</v>
      </c>
      <c r="C352" s="1">
        <v>45818</v>
      </c>
      <c r="D352" t="s">
        <v>21</v>
      </c>
      <c r="E352" t="s">
        <v>31</v>
      </c>
      <c r="F352">
        <v>6</v>
      </c>
      <c r="G352">
        <v>476.48</v>
      </c>
      <c r="H352">
        <v>2858.88</v>
      </c>
      <c r="I352" t="s">
        <v>32</v>
      </c>
      <c r="J352" t="str">
        <f t="shared" si="5"/>
        <v>Repeat Customer</v>
      </c>
    </row>
    <row r="353" spans="1:10" x14ac:dyDescent="0.25">
      <c r="A353">
        <v>11419</v>
      </c>
      <c r="B353" t="s">
        <v>255</v>
      </c>
      <c r="C353" s="1">
        <v>45710</v>
      </c>
      <c r="D353" t="s">
        <v>24</v>
      </c>
      <c r="E353" t="s">
        <v>11</v>
      </c>
      <c r="F353">
        <v>10</v>
      </c>
      <c r="G353">
        <v>150.97</v>
      </c>
      <c r="H353">
        <v>1509.7</v>
      </c>
      <c r="I353" t="s">
        <v>22</v>
      </c>
      <c r="J353" t="str">
        <f t="shared" si="5"/>
        <v>Repeat Customer</v>
      </c>
    </row>
    <row r="354" spans="1:10" x14ac:dyDescent="0.25">
      <c r="A354">
        <v>11447</v>
      </c>
      <c r="B354" t="s">
        <v>255</v>
      </c>
      <c r="C354" s="1">
        <v>45404</v>
      </c>
      <c r="D354" t="s">
        <v>16</v>
      </c>
      <c r="E354" t="s">
        <v>25</v>
      </c>
      <c r="F354">
        <v>1</v>
      </c>
      <c r="G354">
        <v>456.12</v>
      </c>
      <c r="H354">
        <v>456.12</v>
      </c>
      <c r="I354" t="s">
        <v>22</v>
      </c>
      <c r="J354" t="str">
        <f t="shared" si="5"/>
        <v>Repeat Customer</v>
      </c>
    </row>
    <row r="355" spans="1:10" x14ac:dyDescent="0.25">
      <c r="A355">
        <v>10699</v>
      </c>
      <c r="B355" t="s">
        <v>287</v>
      </c>
      <c r="C355" s="1">
        <v>46006</v>
      </c>
      <c r="D355" t="s">
        <v>18</v>
      </c>
      <c r="E355" t="s">
        <v>31</v>
      </c>
      <c r="F355">
        <v>9</v>
      </c>
      <c r="G355">
        <v>92.63</v>
      </c>
      <c r="H355">
        <v>833.67</v>
      </c>
      <c r="I355" t="s">
        <v>32</v>
      </c>
      <c r="J355" t="str">
        <f t="shared" si="5"/>
        <v>Repeat Customer</v>
      </c>
    </row>
    <row r="356" spans="1:10" x14ac:dyDescent="0.25">
      <c r="A356">
        <v>10814</v>
      </c>
      <c r="B356" t="s">
        <v>287</v>
      </c>
      <c r="C356" s="1">
        <v>45785</v>
      </c>
      <c r="D356" t="s">
        <v>18</v>
      </c>
      <c r="E356" t="s">
        <v>19</v>
      </c>
      <c r="F356">
        <v>3</v>
      </c>
      <c r="G356">
        <v>315.45999999999998</v>
      </c>
      <c r="H356">
        <v>946.38</v>
      </c>
      <c r="I356" t="s">
        <v>32</v>
      </c>
      <c r="J356" t="str">
        <f t="shared" si="5"/>
        <v>Repeat Customer</v>
      </c>
    </row>
    <row r="357" spans="1:10" x14ac:dyDescent="0.25">
      <c r="A357">
        <v>10275</v>
      </c>
      <c r="B357" t="s">
        <v>189</v>
      </c>
      <c r="C357" s="1">
        <v>46022</v>
      </c>
      <c r="D357" t="s">
        <v>18</v>
      </c>
      <c r="E357" t="s">
        <v>31</v>
      </c>
      <c r="F357">
        <v>6</v>
      </c>
      <c r="G357">
        <v>402.96</v>
      </c>
      <c r="H357">
        <v>2417.7600000000002</v>
      </c>
      <c r="I357" t="s">
        <v>14</v>
      </c>
      <c r="J357" t="str">
        <f t="shared" si="5"/>
        <v>Repeat Customer</v>
      </c>
    </row>
    <row r="358" spans="1:10" x14ac:dyDescent="0.25">
      <c r="A358">
        <v>10290</v>
      </c>
      <c r="B358" t="s">
        <v>189</v>
      </c>
      <c r="C358" s="1">
        <v>45403</v>
      </c>
      <c r="D358" t="s">
        <v>10</v>
      </c>
      <c r="E358" t="s">
        <v>25</v>
      </c>
      <c r="F358">
        <v>10</v>
      </c>
      <c r="G358">
        <v>371.74</v>
      </c>
      <c r="H358">
        <v>3717.4</v>
      </c>
      <c r="I358" t="s">
        <v>12</v>
      </c>
      <c r="J358" t="str">
        <f t="shared" si="5"/>
        <v>Repeat Customer</v>
      </c>
    </row>
    <row r="359" spans="1:10" x14ac:dyDescent="0.25">
      <c r="A359">
        <v>10937</v>
      </c>
      <c r="B359" t="s">
        <v>189</v>
      </c>
      <c r="C359" s="1">
        <v>45634</v>
      </c>
      <c r="D359" t="s">
        <v>21</v>
      </c>
      <c r="E359" t="s">
        <v>25</v>
      </c>
      <c r="F359">
        <v>4</v>
      </c>
      <c r="G359">
        <v>272.12</v>
      </c>
      <c r="H359">
        <v>1088.48</v>
      </c>
      <c r="I359" t="s">
        <v>14</v>
      </c>
      <c r="J359" t="str">
        <f t="shared" si="5"/>
        <v>Repeat Customer</v>
      </c>
    </row>
    <row r="360" spans="1:10" x14ac:dyDescent="0.25">
      <c r="A360">
        <v>11200</v>
      </c>
      <c r="B360" t="s">
        <v>189</v>
      </c>
      <c r="C360" s="1">
        <v>45337</v>
      </c>
      <c r="D360" t="s">
        <v>18</v>
      </c>
      <c r="E360" t="s">
        <v>31</v>
      </c>
      <c r="F360">
        <v>1</v>
      </c>
      <c r="G360">
        <v>68.2</v>
      </c>
      <c r="H360">
        <v>68.2</v>
      </c>
      <c r="I360" t="s">
        <v>22</v>
      </c>
      <c r="J360" t="str">
        <f t="shared" si="5"/>
        <v>Repeat Customer</v>
      </c>
    </row>
    <row r="361" spans="1:10" x14ac:dyDescent="0.25">
      <c r="A361">
        <v>11444</v>
      </c>
      <c r="B361" t="s">
        <v>189</v>
      </c>
      <c r="C361" s="1">
        <v>45961</v>
      </c>
      <c r="D361" t="s">
        <v>18</v>
      </c>
      <c r="E361" t="s">
        <v>31</v>
      </c>
      <c r="F361">
        <v>4</v>
      </c>
      <c r="G361">
        <v>194.68</v>
      </c>
      <c r="H361">
        <v>778.72</v>
      </c>
      <c r="I361" t="s">
        <v>32</v>
      </c>
      <c r="J361" t="str">
        <f t="shared" si="5"/>
        <v>Repeat Customer</v>
      </c>
    </row>
    <row r="362" spans="1:10" x14ac:dyDescent="0.25">
      <c r="A362">
        <v>10851</v>
      </c>
      <c r="B362" t="s">
        <v>306</v>
      </c>
      <c r="C362" s="1">
        <v>45484</v>
      </c>
      <c r="D362" t="s">
        <v>16</v>
      </c>
      <c r="E362" t="s">
        <v>31</v>
      </c>
      <c r="F362">
        <v>9</v>
      </c>
      <c r="G362">
        <v>195.37</v>
      </c>
      <c r="H362">
        <v>1758.33</v>
      </c>
      <c r="I362" t="s">
        <v>14</v>
      </c>
      <c r="J362" t="str">
        <f t="shared" si="5"/>
        <v>Repeat Customer</v>
      </c>
    </row>
    <row r="363" spans="1:10" x14ac:dyDescent="0.25">
      <c r="A363">
        <v>11352</v>
      </c>
      <c r="B363" t="s">
        <v>306</v>
      </c>
      <c r="C363" s="1">
        <v>45882</v>
      </c>
      <c r="D363" t="s">
        <v>18</v>
      </c>
      <c r="E363" t="s">
        <v>19</v>
      </c>
      <c r="F363">
        <v>8</v>
      </c>
      <c r="G363">
        <v>349.08</v>
      </c>
      <c r="H363">
        <v>2792.64</v>
      </c>
      <c r="I363" t="s">
        <v>14</v>
      </c>
      <c r="J363" t="str">
        <f t="shared" si="5"/>
        <v>Repeat Customer</v>
      </c>
    </row>
    <row r="364" spans="1:10" x14ac:dyDescent="0.25">
      <c r="A364">
        <v>10904</v>
      </c>
      <c r="B364" t="s">
        <v>307</v>
      </c>
      <c r="C364" s="1">
        <v>45717</v>
      </c>
      <c r="D364" t="s">
        <v>18</v>
      </c>
      <c r="E364" t="s">
        <v>25</v>
      </c>
      <c r="F364">
        <v>3</v>
      </c>
      <c r="G364">
        <v>349.67</v>
      </c>
      <c r="H364">
        <v>1049.01</v>
      </c>
      <c r="I364" t="s">
        <v>32</v>
      </c>
      <c r="J364" t="str">
        <f t="shared" si="5"/>
        <v>Repeat Customer</v>
      </c>
    </row>
    <row r="365" spans="1:10" x14ac:dyDescent="0.25">
      <c r="A365">
        <v>11468</v>
      </c>
      <c r="B365" t="s">
        <v>307</v>
      </c>
      <c r="C365" s="1">
        <v>45456</v>
      </c>
      <c r="D365" t="s">
        <v>18</v>
      </c>
      <c r="E365" t="s">
        <v>19</v>
      </c>
      <c r="F365">
        <v>9</v>
      </c>
      <c r="G365">
        <v>260.57</v>
      </c>
      <c r="H365">
        <v>2345.13</v>
      </c>
      <c r="I365" t="s">
        <v>32</v>
      </c>
      <c r="J365" t="str">
        <f t="shared" si="5"/>
        <v>Repeat Customer</v>
      </c>
    </row>
    <row r="366" spans="1:10" x14ac:dyDescent="0.25">
      <c r="A366">
        <v>10013</v>
      </c>
      <c r="B366" t="s">
        <v>33</v>
      </c>
      <c r="C366" s="1">
        <v>45563</v>
      </c>
      <c r="D366" t="s">
        <v>18</v>
      </c>
      <c r="E366" t="s">
        <v>19</v>
      </c>
      <c r="F366">
        <v>3</v>
      </c>
      <c r="G366">
        <v>127.08</v>
      </c>
      <c r="H366">
        <v>381.24</v>
      </c>
      <c r="I366" t="s">
        <v>32</v>
      </c>
      <c r="J366" t="str">
        <f t="shared" si="5"/>
        <v>Repeat Customer</v>
      </c>
    </row>
    <row r="367" spans="1:10" x14ac:dyDescent="0.25">
      <c r="A367">
        <v>10352</v>
      </c>
      <c r="B367" t="s">
        <v>33</v>
      </c>
      <c r="C367" s="1">
        <v>46021</v>
      </c>
      <c r="D367" t="s">
        <v>16</v>
      </c>
      <c r="E367" t="s">
        <v>25</v>
      </c>
      <c r="F367">
        <v>7</v>
      </c>
      <c r="G367">
        <v>464.79</v>
      </c>
      <c r="H367">
        <v>3253.53</v>
      </c>
      <c r="I367" t="s">
        <v>14</v>
      </c>
      <c r="J367" t="str">
        <f t="shared" si="5"/>
        <v>Repeat Customer</v>
      </c>
    </row>
    <row r="368" spans="1:10" x14ac:dyDescent="0.25">
      <c r="A368">
        <v>10532</v>
      </c>
      <c r="B368" t="s">
        <v>33</v>
      </c>
      <c r="C368" s="1">
        <v>45615</v>
      </c>
      <c r="D368" t="s">
        <v>21</v>
      </c>
      <c r="E368" t="s">
        <v>19</v>
      </c>
      <c r="F368">
        <v>3</v>
      </c>
      <c r="G368">
        <v>390.58</v>
      </c>
      <c r="H368">
        <v>1171.74</v>
      </c>
      <c r="I368" t="s">
        <v>14</v>
      </c>
      <c r="J368" t="str">
        <f t="shared" si="5"/>
        <v>Repeat Customer</v>
      </c>
    </row>
    <row r="369" spans="1:10" x14ac:dyDescent="0.25">
      <c r="A369">
        <v>11158</v>
      </c>
      <c r="B369" t="s">
        <v>33</v>
      </c>
      <c r="C369" s="1">
        <v>45479</v>
      </c>
      <c r="D369" t="s">
        <v>10</v>
      </c>
      <c r="E369" t="s">
        <v>19</v>
      </c>
      <c r="F369">
        <v>5</v>
      </c>
      <c r="G369">
        <v>385.31</v>
      </c>
      <c r="H369">
        <v>1926.55</v>
      </c>
      <c r="I369" t="s">
        <v>32</v>
      </c>
      <c r="J369" t="str">
        <f t="shared" si="5"/>
        <v>Repeat Customer</v>
      </c>
    </row>
    <row r="370" spans="1:10" x14ac:dyDescent="0.25">
      <c r="A370">
        <v>10167</v>
      </c>
      <c r="B370" t="s">
        <v>145</v>
      </c>
      <c r="C370" s="1">
        <v>45425</v>
      </c>
      <c r="D370" t="s">
        <v>10</v>
      </c>
      <c r="E370" t="s">
        <v>11</v>
      </c>
      <c r="F370">
        <v>9</v>
      </c>
      <c r="G370">
        <v>129.07</v>
      </c>
      <c r="H370">
        <v>1161.6300000000001</v>
      </c>
      <c r="I370" t="s">
        <v>12</v>
      </c>
      <c r="J370" t="str">
        <f t="shared" si="5"/>
        <v>Repeat Customer</v>
      </c>
    </row>
    <row r="371" spans="1:10" x14ac:dyDescent="0.25">
      <c r="A371">
        <v>10223</v>
      </c>
      <c r="B371" t="s">
        <v>145</v>
      </c>
      <c r="C371" s="1">
        <v>45432</v>
      </c>
      <c r="D371" t="s">
        <v>21</v>
      </c>
      <c r="E371" t="s">
        <v>25</v>
      </c>
      <c r="F371">
        <v>1</v>
      </c>
      <c r="G371">
        <v>147.01</v>
      </c>
      <c r="H371">
        <v>147.01</v>
      </c>
      <c r="I371" t="s">
        <v>32</v>
      </c>
      <c r="J371" t="str">
        <f t="shared" si="5"/>
        <v>Repeat Customer</v>
      </c>
    </row>
    <row r="372" spans="1:10" x14ac:dyDescent="0.25">
      <c r="A372">
        <v>10403</v>
      </c>
      <c r="B372" t="s">
        <v>145</v>
      </c>
      <c r="C372" s="1">
        <v>46020</v>
      </c>
      <c r="D372" t="s">
        <v>21</v>
      </c>
      <c r="E372" t="s">
        <v>31</v>
      </c>
      <c r="F372">
        <v>6</v>
      </c>
      <c r="G372">
        <v>415.1</v>
      </c>
      <c r="H372">
        <v>2490.6</v>
      </c>
      <c r="I372" t="s">
        <v>14</v>
      </c>
      <c r="J372" t="str">
        <f t="shared" si="5"/>
        <v>Repeat Customer</v>
      </c>
    </row>
    <row r="373" spans="1:10" x14ac:dyDescent="0.25">
      <c r="A373">
        <v>10713</v>
      </c>
      <c r="B373" t="s">
        <v>145</v>
      </c>
      <c r="C373" s="1">
        <v>45349</v>
      </c>
      <c r="D373" t="s">
        <v>24</v>
      </c>
      <c r="E373" t="s">
        <v>31</v>
      </c>
      <c r="F373">
        <v>5</v>
      </c>
      <c r="G373">
        <v>388.95</v>
      </c>
      <c r="H373">
        <v>1944.75</v>
      </c>
      <c r="I373" t="s">
        <v>14</v>
      </c>
      <c r="J373" t="str">
        <f t="shared" si="5"/>
        <v>Repeat Customer</v>
      </c>
    </row>
    <row r="374" spans="1:10" x14ac:dyDescent="0.25">
      <c r="A374">
        <v>10776</v>
      </c>
      <c r="B374" t="s">
        <v>145</v>
      </c>
      <c r="C374" s="1">
        <v>45322</v>
      </c>
      <c r="D374" t="s">
        <v>21</v>
      </c>
      <c r="E374" t="s">
        <v>31</v>
      </c>
      <c r="F374">
        <v>6</v>
      </c>
      <c r="G374">
        <v>440.67</v>
      </c>
      <c r="H374">
        <v>2644.02</v>
      </c>
      <c r="I374" t="s">
        <v>22</v>
      </c>
      <c r="J374" t="str">
        <f t="shared" si="5"/>
        <v>Repeat Customer</v>
      </c>
    </row>
    <row r="375" spans="1:10" x14ac:dyDescent="0.25">
      <c r="A375">
        <v>10868</v>
      </c>
      <c r="B375" t="s">
        <v>145</v>
      </c>
      <c r="C375" s="1">
        <v>45901</v>
      </c>
      <c r="D375" t="s">
        <v>21</v>
      </c>
      <c r="E375" t="s">
        <v>31</v>
      </c>
      <c r="F375">
        <v>3</v>
      </c>
      <c r="G375">
        <v>419.62</v>
      </c>
      <c r="H375">
        <v>1258.8599999999999</v>
      </c>
      <c r="I375" t="s">
        <v>14</v>
      </c>
      <c r="J375" t="str">
        <f t="shared" si="5"/>
        <v>Repeat Customer</v>
      </c>
    </row>
    <row r="376" spans="1:10" x14ac:dyDescent="0.25">
      <c r="A376">
        <v>10872</v>
      </c>
      <c r="B376" t="s">
        <v>145</v>
      </c>
      <c r="C376" s="1">
        <v>45835</v>
      </c>
      <c r="D376" t="s">
        <v>21</v>
      </c>
      <c r="E376" t="s">
        <v>31</v>
      </c>
      <c r="F376">
        <v>7</v>
      </c>
      <c r="G376">
        <v>10.87</v>
      </c>
      <c r="H376">
        <v>76.09</v>
      </c>
      <c r="I376" t="s">
        <v>22</v>
      </c>
      <c r="J376" t="str">
        <f t="shared" si="5"/>
        <v>Repeat Customer</v>
      </c>
    </row>
    <row r="377" spans="1:10" x14ac:dyDescent="0.25">
      <c r="A377">
        <v>10973</v>
      </c>
      <c r="B377" t="s">
        <v>145</v>
      </c>
      <c r="C377" s="1">
        <v>45619</v>
      </c>
      <c r="D377" t="s">
        <v>10</v>
      </c>
      <c r="E377" t="s">
        <v>19</v>
      </c>
      <c r="F377">
        <v>8</v>
      </c>
      <c r="G377">
        <v>439.77</v>
      </c>
      <c r="H377">
        <v>3518.16</v>
      </c>
      <c r="I377" t="s">
        <v>14</v>
      </c>
      <c r="J377" t="str">
        <f t="shared" si="5"/>
        <v>Repeat Customer</v>
      </c>
    </row>
    <row r="378" spans="1:10" x14ac:dyDescent="0.25">
      <c r="A378">
        <v>11397</v>
      </c>
      <c r="B378" t="s">
        <v>145</v>
      </c>
      <c r="C378" s="1">
        <v>45728</v>
      </c>
      <c r="D378" t="s">
        <v>24</v>
      </c>
      <c r="E378" t="s">
        <v>11</v>
      </c>
      <c r="F378">
        <v>1</v>
      </c>
      <c r="G378">
        <v>310.14999999999998</v>
      </c>
      <c r="H378">
        <v>310.14999999999998</v>
      </c>
      <c r="I378" t="s">
        <v>32</v>
      </c>
      <c r="J378" t="str">
        <f t="shared" si="5"/>
        <v>Repeat Customer</v>
      </c>
    </row>
    <row r="379" spans="1:10" x14ac:dyDescent="0.25">
      <c r="A379">
        <v>10961</v>
      </c>
      <c r="B379" t="s">
        <v>312</v>
      </c>
      <c r="C379" s="1">
        <v>45729</v>
      </c>
      <c r="D379" t="s">
        <v>24</v>
      </c>
      <c r="E379" t="s">
        <v>19</v>
      </c>
      <c r="F379">
        <v>6</v>
      </c>
      <c r="G379">
        <v>196.13</v>
      </c>
      <c r="H379">
        <v>1176.78</v>
      </c>
      <c r="I379" t="s">
        <v>22</v>
      </c>
      <c r="J379" t="str">
        <f t="shared" si="5"/>
        <v>Repeat Customer</v>
      </c>
    </row>
    <row r="380" spans="1:10" x14ac:dyDescent="0.25">
      <c r="A380">
        <v>11136</v>
      </c>
      <c r="B380" t="s">
        <v>312</v>
      </c>
      <c r="C380" s="1">
        <v>46020</v>
      </c>
      <c r="D380" t="s">
        <v>24</v>
      </c>
      <c r="E380" t="s">
        <v>11</v>
      </c>
      <c r="F380">
        <v>7</v>
      </c>
      <c r="G380">
        <v>415.08</v>
      </c>
      <c r="H380">
        <v>2905.56</v>
      </c>
      <c r="I380" t="s">
        <v>12</v>
      </c>
      <c r="J380" t="str">
        <f t="shared" si="5"/>
        <v>Repeat Customer</v>
      </c>
    </row>
    <row r="381" spans="1:10" x14ac:dyDescent="0.25">
      <c r="A381">
        <v>11338</v>
      </c>
      <c r="B381" t="s">
        <v>312</v>
      </c>
      <c r="C381" s="1">
        <v>45677</v>
      </c>
      <c r="D381" t="s">
        <v>10</v>
      </c>
      <c r="E381" t="s">
        <v>11</v>
      </c>
      <c r="F381">
        <v>7</v>
      </c>
      <c r="G381">
        <v>341.33</v>
      </c>
      <c r="H381">
        <v>2389.31</v>
      </c>
      <c r="I381" t="s">
        <v>12</v>
      </c>
      <c r="J381" t="str">
        <f t="shared" si="5"/>
        <v>Repeat Customer</v>
      </c>
    </row>
    <row r="382" spans="1:10" x14ac:dyDescent="0.25">
      <c r="A382">
        <v>11441</v>
      </c>
      <c r="B382" t="s">
        <v>312</v>
      </c>
      <c r="C382" s="1">
        <v>45691</v>
      </c>
      <c r="D382" t="s">
        <v>21</v>
      </c>
      <c r="E382" t="s">
        <v>11</v>
      </c>
      <c r="F382">
        <v>8</v>
      </c>
      <c r="G382">
        <v>362.07</v>
      </c>
      <c r="H382">
        <v>2896.56</v>
      </c>
      <c r="I382" t="s">
        <v>12</v>
      </c>
      <c r="J382" t="str">
        <f t="shared" si="5"/>
        <v>Repeat Customer</v>
      </c>
    </row>
    <row r="383" spans="1:10" x14ac:dyDescent="0.25">
      <c r="A383">
        <v>10209</v>
      </c>
      <c r="B383" t="s">
        <v>165</v>
      </c>
      <c r="C383" s="1">
        <v>45633</v>
      </c>
      <c r="D383" t="s">
        <v>10</v>
      </c>
      <c r="E383" t="s">
        <v>19</v>
      </c>
      <c r="F383">
        <v>2</v>
      </c>
      <c r="G383">
        <v>293.45999999999998</v>
      </c>
      <c r="H383">
        <v>586.91999999999996</v>
      </c>
      <c r="I383" t="s">
        <v>22</v>
      </c>
      <c r="J383" t="str">
        <f t="shared" si="5"/>
        <v>Repeat Customer</v>
      </c>
    </row>
    <row r="384" spans="1:10" x14ac:dyDescent="0.25">
      <c r="A384">
        <v>10225</v>
      </c>
      <c r="B384" t="s">
        <v>165</v>
      </c>
      <c r="C384" s="1">
        <v>45853</v>
      </c>
      <c r="D384" t="s">
        <v>24</v>
      </c>
      <c r="E384" t="s">
        <v>19</v>
      </c>
      <c r="F384">
        <v>10</v>
      </c>
      <c r="G384">
        <v>266.25</v>
      </c>
      <c r="H384">
        <v>2662.5</v>
      </c>
      <c r="I384" t="s">
        <v>14</v>
      </c>
      <c r="J384" t="str">
        <f t="shared" si="5"/>
        <v>Repeat Customer</v>
      </c>
    </row>
    <row r="385" spans="1:10" x14ac:dyDescent="0.25">
      <c r="A385">
        <v>10551</v>
      </c>
      <c r="B385" t="s">
        <v>165</v>
      </c>
      <c r="C385" s="1">
        <v>45384</v>
      </c>
      <c r="D385" t="s">
        <v>24</v>
      </c>
      <c r="E385" t="s">
        <v>19</v>
      </c>
      <c r="F385">
        <v>9</v>
      </c>
      <c r="G385">
        <v>42.15</v>
      </c>
      <c r="H385">
        <v>379.35</v>
      </c>
      <c r="I385" t="s">
        <v>14</v>
      </c>
      <c r="J385" t="str">
        <f t="shared" si="5"/>
        <v>Repeat Customer</v>
      </c>
    </row>
    <row r="386" spans="1:10" x14ac:dyDescent="0.25">
      <c r="A386">
        <v>10683</v>
      </c>
      <c r="B386" t="s">
        <v>165</v>
      </c>
      <c r="C386" s="1">
        <v>45776</v>
      </c>
      <c r="D386" t="s">
        <v>21</v>
      </c>
      <c r="E386" t="s">
        <v>25</v>
      </c>
      <c r="F386">
        <v>1</v>
      </c>
      <c r="G386">
        <v>92.42</v>
      </c>
      <c r="H386">
        <v>92.42</v>
      </c>
      <c r="I386" t="s">
        <v>22</v>
      </c>
      <c r="J386" t="str">
        <f t="shared" ref="J386:J449" si="6">IF(COUNTIF($B:$B,B386)&gt;1,"Repeat Customer","New Customer")</f>
        <v>Repeat Customer</v>
      </c>
    </row>
    <row r="387" spans="1:10" x14ac:dyDescent="0.25">
      <c r="A387">
        <v>10845</v>
      </c>
      <c r="B387" t="s">
        <v>165</v>
      </c>
      <c r="C387" s="1">
        <v>45755</v>
      </c>
      <c r="D387" t="s">
        <v>18</v>
      </c>
      <c r="E387" t="s">
        <v>31</v>
      </c>
      <c r="F387">
        <v>9</v>
      </c>
      <c r="G387">
        <v>149.29</v>
      </c>
      <c r="H387">
        <v>1343.61</v>
      </c>
      <c r="I387" t="s">
        <v>14</v>
      </c>
      <c r="J387" t="str">
        <f t="shared" si="6"/>
        <v>Repeat Customer</v>
      </c>
    </row>
    <row r="388" spans="1:10" x14ac:dyDescent="0.25">
      <c r="A388">
        <v>11053</v>
      </c>
      <c r="B388" t="s">
        <v>165</v>
      </c>
      <c r="C388" s="1">
        <v>45383</v>
      </c>
      <c r="D388" t="s">
        <v>18</v>
      </c>
      <c r="E388" t="s">
        <v>11</v>
      </c>
      <c r="F388">
        <v>6</v>
      </c>
      <c r="G388">
        <v>89.21</v>
      </c>
      <c r="H388">
        <v>535.26</v>
      </c>
      <c r="I388" t="s">
        <v>12</v>
      </c>
      <c r="J388" t="str">
        <f t="shared" si="6"/>
        <v>Repeat Customer</v>
      </c>
    </row>
    <row r="389" spans="1:10" x14ac:dyDescent="0.25">
      <c r="A389">
        <v>11340</v>
      </c>
      <c r="B389" t="s">
        <v>165</v>
      </c>
      <c r="C389" s="1">
        <v>45934</v>
      </c>
      <c r="D389" t="s">
        <v>24</v>
      </c>
      <c r="E389" t="s">
        <v>25</v>
      </c>
      <c r="F389">
        <v>7</v>
      </c>
      <c r="G389">
        <v>126.28</v>
      </c>
      <c r="H389">
        <v>883.96</v>
      </c>
      <c r="I389" t="s">
        <v>32</v>
      </c>
      <c r="J389" t="str">
        <f t="shared" si="6"/>
        <v>Repeat Customer</v>
      </c>
    </row>
    <row r="390" spans="1:10" x14ac:dyDescent="0.25">
      <c r="A390">
        <v>11396</v>
      </c>
      <c r="B390" t="s">
        <v>165</v>
      </c>
      <c r="C390" s="1">
        <v>45526</v>
      </c>
      <c r="D390" t="s">
        <v>24</v>
      </c>
      <c r="E390" t="s">
        <v>19</v>
      </c>
      <c r="F390">
        <v>2</v>
      </c>
      <c r="G390">
        <v>70.489999999999995</v>
      </c>
      <c r="H390">
        <v>140.97999999999999</v>
      </c>
      <c r="I390" t="s">
        <v>14</v>
      </c>
      <c r="J390" t="str">
        <f t="shared" si="6"/>
        <v>Repeat Customer</v>
      </c>
    </row>
    <row r="391" spans="1:10" x14ac:dyDescent="0.25">
      <c r="A391">
        <v>10771</v>
      </c>
      <c r="B391" t="s">
        <v>297</v>
      </c>
      <c r="C391" s="1">
        <v>45641</v>
      </c>
      <c r="D391" t="s">
        <v>24</v>
      </c>
      <c r="E391" t="s">
        <v>31</v>
      </c>
      <c r="F391">
        <v>7</v>
      </c>
      <c r="G391">
        <v>330.18</v>
      </c>
      <c r="H391">
        <v>2311.2600000000002</v>
      </c>
      <c r="I391" t="s">
        <v>14</v>
      </c>
      <c r="J391" t="str">
        <f t="shared" si="6"/>
        <v>Repeat Customer</v>
      </c>
    </row>
    <row r="392" spans="1:10" x14ac:dyDescent="0.25">
      <c r="A392">
        <v>11467</v>
      </c>
      <c r="B392" t="s">
        <v>297</v>
      </c>
      <c r="C392" s="1">
        <v>45990</v>
      </c>
      <c r="D392" t="s">
        <v>24</v>
      </c>
      <c r="E392" t="s">
        <v>25</v>
      </c>
      <c r="F392">
        <v>8</v>
      </c>
      <c r="G392">
        <v>43.98</v>
      </c>
      <c r="H392">
        <v>351.84</v>
      </c>
      <c r="I392" t="s">
        <v>14</v>
      </c>
      <c r="J392" t="str">
        <f t="shared" si="6"/>
        <v>Repeat Customer</v>
      </c>
    </row>
    <row r="393" spans="1:10" x14ac:dyDescent="0.25">
      <c r="A393">
        <v>10337</v>
      </c>
      <c r="B393" t="s">
        <v>213</v>
      </c>
      <c r="C393" s="1">
        <v>45492</v>
      </c>
      <c r="D393" t="s">
        <v>18</v>
      </c>
      <c r="E393" t="s">
        <v>25</v>
      </c>
      <c r="F393">
        <v>6</v>
      </c>
      <c r="G393">
        <v>118.86</v>
      </c>
      <c r="H393">
        <v>713.16</v>
      </c>
      <c r="I393" t="s">
        <v>32</v>
      </c>
      <c r="J393" t="str">
        <f t="shared" si="6"/>
        <v>Repeat Customer</v>
      </c>
    </row>
    <row r="394" spans="1:10" x14ac:dyDescent="0.25">
      <c r="A394">
        <v>10373</v>
      </c>
      <c r="B394" t="s">
        <v>213</v>
      </c>
      <c r="C394" s="1">
        <v>45725</v>
      </c>
      <c r="D394" t="s">
        <v>18</v>
      </c>
      <c r="E394" t="s">
        <v>31</v>
      </c>
      <c r="F394">
        <v>7</v>
      </c>
      <c r="G394">
        <v>41.61</v>
      </c>
      <c r="H394">
        <v>291.27</v>
      </c>
      <c r="I394" t="s">
        <v>32</v>
      </c>
      <c r="J394" t="str">
        <f t="shared" si="6"/>
        <v>Repeat Customer</v>
      </c>
    </row>
    <row r="395" spans="1:10" x14ac:dyDescent="0.25">
      <c r="A395">
        <v>10592</v>
      </c>
      <c r="B395" t="s">
        <v>213</v>
      </c>
      <c r="C395" s="1">
        <v>45622</v>
      </c>
      <c r="D395" t="s">
        <v>18</v>
      </c>
      <c r="E395" t="s">
        <v>19</v>
      </c>
      <c r="F395">
        <v>10</v>
      </c>
      <c r="G395">
        <v>30.17</v>
      </c>
      <c r="H395">
        <v>301.7</v>
      </c>
      <c r="I395" t="s">
        <v>32</v>
      </c>
      <c r="J395" t="str">
        <f t="shared" si="6"/>
        <v>Repeat Customer</v>
      </c>
    </row>
    <row r="396" spans="1:10" x14ac:dyDescent="0.25">
      <c r="A396">
        <v>11099</v>
      </c>
      <c r="B396" t="s">
        <v>213</v>
      </c>
      <c r="C396" s="1">
        <v>46011</v>
      </c>
      <c r="D396" t="s">
        <v>21</v>
      </c>
      <c r="E396" t="s">
        <v>11</v>
      </c>
      <c r="F396">
        <v>8</v>
      </c>
      <c r="G396">
        <v>482.11</v>
      </c>
      <c r="H396">
        <v>3856.88</v>
      </c>
      <c r="I396" t="s">
        <v>32</v>
      </c>
      <c r="J396" t="str">
        <f t="shared" si="6"/>
        <v>Repeat Customer</v>
      </c>
    </row>
    <row r="397" spans="1:10" x14ac:dyDescent="0.25">
      <c r="A397">
        <v>11238</v>
      </c>
      <c r="B397" t="s">
        <v>213</v>
      </c>
      <c r="C397" s="1">
        <v>45630</v>
      </c>
      <c r="D397" t="s">
        <v>18</v>
      </c>
      <c r="E397" t="s">
        <v>31</v>
      </c>
      <c r="F397">
        <v>10</v>
      </c>
      <c r="G397">
        <v>316.77</v>
      </c>
      <c r="H397">
        <v>3167.7</v>
      </c>
      <c r="I397" t="s">
        <v>32</v>
      </c>
      <c r="J397" t="str">
        <f t="shared" si="6"/>
        <v>Repeat Customer</v>
      </c>
    </row>
    <row r="398" spans="1:10" x14ac:dyDescent="0.25">
      <c r="A398">
        <v>11331</v>
      </c>
      <c r="B398" t="s">
        <v>213</v>
      </c>
      <c r="C398" s="1">
        <v>45507</v>
      </c>
      <c r="D398" t="s">
        <v>24</v>
      </c>
      <c r="E398" t="s">
        <v>25</v>
      </c>
      <c r="F398">
        <v>4</v>
      </c>
      <c r="G398">
        <v>351.7</v>
      </c>
      <c r="H398">
        <v>1406.8</v>
      </c>
      <c r="I398" t="s">
        <v>32</v>
      </c>
      <c r="J398" t="str">
        <f t="shared" si="6"/>
        <v>Repeat Customer</v>
      </c>
    </row>
    <row r="399" spans="1:10" x14ac:dyDescent="0.25">
      <c r="A399">
        <v>10187</v>
      </c>
      <c r="B399" t="s">
        <v>156</v>
      </c>
      <c r="C399" s="1">
        <v>45453</v>
      </c>
      <c r="D399" t="s">
        <v>24</v>
      </c>
      <c r="E399" t="s">
        <v>19</v>
      </c>
      <c r="F399">
        <v>10</v>
      </c>
      <c r="G399">
        <v>29.63</v>
      </c>
      <c r="H399">
        <v>296.3</v>
      </c>
      <c r="I399" t="s">
        <v>32</v>
      </c>
      <c r="J399" t="str">
        <f t="shared" si="6"/>
        <v>Repeat Customer</v>
      </c>
    </row>
    <row r="400" spans="1:10" x14ac:dyDescent="0.25">
      <c r="A400">
        <v>10696</v>
      </c>
      <c r="B400" t="s">
        <v>156</v>
      </c>
      <c r="C400" s="1">
        <v>45378</v>
      </c>
      <c r="D400" t="s">
        <v>10</v>
      </c>
      <c r="E400" t="s">
        <v>19</v>
      </c>
      <c r="F400">
        <v>7</v>
      </c>
      <c r="G400">
        <v>158.13999999999999</v>
      </c>
      <c r="H400">
        <v>1106.98</v>
      </c>
      <c r="I400" t="s">
        <v>32</v>
      </c>
      <c r="J400" t="str">
        <f t="shared" si="6"/>
        <v>Repeat Customer</v>
      </c>
    </row>
    <row r="401" spans="1:10" x14ac:dyDescent="0.25">
      <c r="A401">
        <v>10954</v>
      </c>
      <c r="B401" t="s">
        <v>156</v>
      </c>
      <c r="C401" s="1">
        <v>45296</v>
      </c>
      <c r="D401" t="s">
        <v>16</v>
      </c>
      <c r="E401" t="s">
        <v>19</v>
      </c>
      <c r="F401">
        <v>9</v>
      </c>
      <c r="G401">
        <v>487.92</v>
      </c>
      <c r="H401">
        <v>4391.28</v>
      </c>
      <c r="I401" t="s">
        <v>32</v>
      </c>
      <c r="J401" t="str">
        <f t="shared" si="6"/>
        <v>Repeat Customer</v>
      </c>
    </row>
    <row r="402" spans="1:10" x14ac:dyDescent="0.25">
      <c r="A402">
        <v>11391</v>
      </c>
      <c r="B402" t="s">
        <v>156</v>
      </c>
      <c r="C402" s="1">
        <v>45644</v>
      </c>
      <c r="D402" t="s">
        <v>10</v>
      </c>
      <c r="E402" t="s">
        <v>11</v>
      </c>
      <c r="F402">
        <v>9</v>
      </c>
      <c r="G402">
        <v>11.76</v>
      </c>
      <c r="H402">
        <v>105.84</v>
      </c>
      <c r="I402" t="s">
        <v>22</v>
      </c>
      <c r="J402" t="str">
        <f t="shared" si="6"/>
        <v>Repeat Customer</v>
      </c>
    </row>
    <row r="403" spans="1:10" x14ac:dyDescent="0.25">
      <c r="A403">
        <v>11432</v>
      </c>
      <c r="B403" t="s">
        <v>156</v>
      </c>
      <c r="C403" s="1">
        <v>45541</v>
      </c>
      <c r="D403" t="s">
        <v>16</v>
      </c>
      <c r="E403" t="s">
        <v>11</v>
      </c>
      <c r="F403">
        <v>1</v>
      </c>
      <c r="G403">
        <v>274.05</v>
      </c>
      <c r="H403">
        <v>274.05</v>
      </c>
      <c r="I403" t="s">
        <v>12</v>
      </c>
      <c r="J403" t="str">
        <f t="shared" si="6"/>
        <v>Repeat Customer</v>
      </c>
    </row>
    <row r="404" spans="1:10" x14ac:dyDescent="0.25">
      <c r="A404">
        <v>10186</v>
      </c>
      <c r="B404" t="s">
        <v>155</v>
      </c>
      <c r="C404" s="1">
        <v>45670</v>
      </c>
      <c r="D404" t="s">
        <v>18</v>
      </c>
      <c r="E404" t="s">
        <v>11</v>
      </c>
      <c r="F404">
        <v>5</v>
      </c>
      <c r="G404">
        <v>362.19</v>
      </c>
      <c r="H404">
        <v>1810.95</v>
      </c>
      <c r="I404" t="s">
        <v>12</v>
      </c>
      <c r="J404" t="str">
        <f t="shared" si="6"/>
        <v>Repeat Customer</v>
      </c>
    </row>
    <row r="405" spans="1:10" x14ac:dyDescent="0.25">
      <c r="A405">
        <v>10250</v>
      </c>
      <c r="B405" t="s">
        <v>155</v>
      </c>
      <c r="C405" s="1">
        <v>46020</v>
      </c>
      <c r="D405" t="s">
        <v>18</v>
      </c>
      <c r="E405" t="s">
        <v>25</v>
      </c>
      <c r="F405">
        <v>3</v>
      </c>
      <c r="G405">
        <v>397.88</v>
      </c>
      <c r="H405">
        <v>1193.6400000000001</v>
      </c>
      <c r="I405" t="s">
        <v>12</v>
      </c>
      <c r="J405" t="str">
        <f t="shared" si="6"/>
        <v>Repeat Customer</v>
      </c>
    </row>
    <row r="406" spans="1:10" x14ac:dyDescent="0.25">
      <c r="A406">
        <v>10410</v>
      </c>
      <c r="B406" t="s">
        <v>155</v>
      </c>
      <c r="C406" s="1">
        <v>45743</v>
      </c>
      <c r="D406" t="s">
        <v>21</v>
      </c>
      <c r="E406" t="s">
        <v>25</v>
      </c>
      <c r="F406">
        <v>8</v>
      </c>
      <c r="G406">
        <v>5.33</v>
      </c>
      <c r="H406">
        <v>42.64</v>
      </c>
      <c r="I406" t="s">
        <v>14</v>
      </c>
      <c r="J406" t="str">
        <f t="shared" si="6"/>
        <v>Repeat Customer</v>
      </c>
    </row>
    <row r="407" spans="1:10" x14ac:dyDescent="0.25">
      <c r="A407">
        <v>10436</v>
      </c>
      <c r="B407" t="s">
        <v>155</v>
      </c>
      <c r="C407" s="1">
        <v>45553</v>
      </c>
      <c r="D407" t="s">
        <v>24</v>
      </c>
      <c r="E407" t="s">
        <v>25</v>
      </c>
      <c r="F407">
        <v>2</v>
      </c>
      <c r="G407">
        <v>447.66</v>
      </c>
      <c r="H407">
        <v>895.32</v>
      </c>
      <c r="I407" t="s">
        <v>12</v>
      </c>
      <c r="J407" t="str">
        <f t="shared" si="6"/>
        <v>Repeat Customer</v>
      </c>
    </row>
    <row r="408" spans="1:10" x14ac:dyDescent="0.25">
      <c r="A408">
        <v>10563</v>
      </c>
      <c r="B408" t="s">
        <v>155</v>
      </c>
      <c r="C408" s="1">
        <v>45809</v>
      </c>
      <c r="D408" t="s">
        <v>10</v>
      </c>
      <c r="E408" t="s">
        <v>11</v>
      </c>
      <c r="F408">
        <v>8</v>
      </c>
      <c r="G408">
        <v>426.68</v>
      </c>
      <c r="H408">
        <v>3413.44</v>
      </c>
      <c r="I408" t="s">
        <v>32</v>
      </c>
      <c r="J408" t="str">
        <f t="shared" si="6"/>
        <v>Repeat Customer</v>
      </c>
    </row>
    <row r="409" spans="1:10" x14ac:dyDescent="0.25">
      <c r="A409">
        <v>10923</v>
      </c>
      <c r="B409" t="s">
        <v>155</v>
      </c>
      <c r="C409" s="1">
        <v>45945</v>
      </c>
      <c r="D409" t="s">
        <v>18</v>
      </c>
      <c r="E409" t="s">
        <v>25</v>
      </c>
      <c r="F409">
        <v>10</v>
      </c>
      <c r="G409">
        <v>453.26</v>
      </c>
      <c r="H409">
        <v>4532.6000000000004</v>
      </c>
      <c r="I409" t="s">
        <v>12</v>
      </c>
      <c r="J409" t="str">
        <f t="shared" si="6"/>
        <v>Repeat Customer</v>
      </c>
    </row>
    <row r="410" spans="1:10" x14ac:dyDescent="0.25">
      <c r="A410">
        <v>11109</v>
      </c>
      <c r="B410" t="s">
        <v>155</v>
      </c>
      <c r="C410" s="1">
        <v>45912</v>
      </c>
      <c r="D410" t="s">
        <v>21</v>
      </c>
      <c r="E410" t="s">
        <v>31</v>
      </c>
      <c r="F410">
        <v>8</v>
      </c>
      <c r="G410">
        <v>54.95</v>
      </c>
      <c r="H410">
        <v>439.6</v>
      </c>
      <c r="I410" t="s">
        <v>22</v>
      </c>
      <c r="J410" t="str">
        <f t="shared" si="6"/>
        <v>Repeat Customer</v>
      </c>
    </row>
    <row r="411" spans="1:10" x14ac:dyDescent="0.25">
      <c r="A411">
        <v>11451</v>
      </c>
      <c r="B411" t="s">
        <v>155</v>
      </c>
      <c r="C411" s="1">
        <v>45322</v>
      </c>
      <c r="D411" t="s">
        <v>24</v>
      </c>
      <c r="E411" t="s">
        <v>25</v>
      </c>
      <c r="F411">
        <v>3</v>
      </c>
      <c r="G411">
        <v>185.8</v>
      </c>
      <c r="H411">
        <v>557.4</v>
      </c>
      <c r="I411" t="s">
        <v>12</v>
      </c>
      <c r="J411" t="str">
        <f t="shared" si="6"/>
        <v>Repeat Customer</v>
      </c>
    </row>
    <row r="412" spans="1:10" x14ac:dyDescent="0.25">
      <c r="A412">
        <v>10304</v>
      </c>
      <c r="B412" t="s">
        <v>201</v>
      </c>
      <c r="C412" s="1">
        <v>45707</v>
      </c>
      <c r="D412" t="s">
        <v>16</v>
      </c>
      <c r="E412" t="s">
        <v>11</v>
      </c>
      <c r="F412">
        <v>9</v>
      </c>
      <c r="G412">
        <v>461.94</v>
      </c>
      <c r="H412">
        <v>4157.46</v>
      </c>
      <c r="I412" t="s">
        <v>22</v>
      </c>
      <c r="J412" t="str">
        <f t="shared" si="6"/>
        <v>Repeat Customer</v>
      </c>
    </row>
    <row r="413" spans="1:10" x14ac:dyDescent="0.25">
      <c r="A413">
        <v>10913</v>
      </c>
      <c r="B413" t="s">
        <v>201</v>
      </c>
      <c r="C413" s="1">
        <v>45978</v>
      </c>
      <c r="D413" t="s">
        <v>16</v>
      </c>
      <c r="E413" t="s">
        <v>19</v>
      </c>
      <c r="F413">
        <v>1</v>
      </c>
      <c r="G413">
        <v>31.74</v>
      </c>
      <c r="H413">
        <v>31.74</v>
      </c>
      <c r="I413" t="s">
        <v>14</v>
      </c>
      <c r="J413" t="str">
        <f t="shared" si="6"/>
        <v>Repeat Customer</v>
      </c>
    </row>
    <row r="414" spans="1:10" x14ac:dyDescent="0.25">
      <c r="A414">
        <v>10122</v>
      </c>
      <c r="B414" t="s">
        <v>116</v>
      </c>
      <c r="C414" s="1">
        <v>45629</v>
      </c>
      <c r="D414" t="s">
        <v>16</v>
      </c>
      <c r="E414" t="s">
        <v>31</v>
      </c>
      <c r="F414">
        <v>7</v>
      </c>
      <c r="G414">
        <v>348.37</v>
      </c>
      <c r="H414">
        <v>2438.59</v>
      </c>
      <c r="I414" t="s">
        <v>12</v>
      </c>
      <c r="J414" t="str">
        <f t="shared" si="6"/>
        <v>Repeat Customer</v>
      </c>
    </row>
    <row r="415" spans="1:10" x14ac:dyDescent="0.25">
      <c r="A415">
        <v>10591</v>
      </c>
      <c r="B415" t="s">
        <v>116</v>
      </c>
      <c r="C415" s="1">
        <v>45890</v>
      </c>
      <c r="D415" t="s">
        <v>21</v>
      </c>
      <c r="E415" t="s">
        <v>25</v>
      </c>
      <c r="F415">
        <v>5</v>
      </c>
      <c r="G415">
        <v>7.79</v>
      </c>
      <c r="H415">
        <v>38.950000000000003</v>
      </c>
      <c r="I415" t="s">
        <v>12</v>
      </c>
      <c r="J415" t="str">
        <f t="shared" si="6"/>
        <v>Repeat Customer</v>
      </c>
    </row>
    <row r="416" spans="1:10" x14ac:dyDescent="0.25">
      <c r="A416">
        <v>10988</v>
      </c>
      <c r="B416" t="s">
        <v>116</v>
      </c>
      <c r="C416" s="1">
        <v>45804</v>
      </c>
      <c r="D416" t="s">
        <v>18</v>
      </c>
      <c r="E416" t="s">
        <v>11</v>
      </c>
      <c r="F416">
        <v>10</v>
      </c>
      <c r="G416">
        <v>124.7</v>
      </c>
      <c r="H416">
        <v>1247</v>
      </c>
      <c r="I416" t="s">
        <v>12</v>
      </c>
      <c r="J416" t="str">
        <f t="shared" si="6"/>
        <v>Repeat Customer</v>
      </c>
    </row>
    <row r="417" spans="1:10" x14ac:dyDescent="0.25">
      <c r="A417">
        <v>10010</v>
      </c>
      <c r="B417" t="s">
        <v>28</v>
      </c>
      <c r="C417" s="1">
        <v>45765</v>
      </c>
      <c r="D417" t="s">
        <v>18</v>
      </c>
      <c r="E417" t="s">
        <v>25</v>
      </c>
      <c r="F417">
        <v>7</v>
      </c>
      <c r="G417">
        <v>138.62</v>
      </c>
      <c r="H417">
        <v>970.34</v>
      </c>
      <c r="I417" t="s">
        <v>22</v>
      </c>
      <c r="J417" t="str">
        <f t="shared" si="6"/>
        <v>Repeat Customer</v>
      </c>
    </row>
    <row r="418" spans="1:10" x14ac:dyDescent="0.25">
      <c r="A418">
        <v>10515</v>
      </c>
      <c r="B418" t="s">
        <v>28</v>
      </c>
      <c r="C418" s="1">
        <v>45556</v>
      </c>
      <c r="D418" t="s">
        <v>21</v>
      </c>
      <c r="E418" t="s">
        <v>11</v>
      </c>
      <c r="F418">
        <v>2</v>
      </c>
      <c r="G418">
        <v>146.11000000000001</v>
      </c>
      <c r="H418">
        <v>292.22000000000003</v>
      </c>
      <c r="I418" t="s">
        <v>14</v>
      </c>
      <c r="J418" t="str">
        <f t="shared" si="6"/>
        <v>Repeat Customer</v>
      </c>
    </row>
    <row r="419" spans="1:10" x14ac:dyDescent="0.25">
      <c r="A419">
        <v>10794</v>
      </c>
      <c r="B419" t="s">
        <v>28</v>
      </c>
      <c r="C419" s="1">
        <v>45440</v>
      </c>
      <c r="D419" t="s">
        <v>24</v>
      </c>
      <c r="E419" t="s">
        <v>31</v>
      </c>
      <c r="F419">
        <v>3</v>
      </c>
      <c r="G419">
        <v>385.73</v>
      </c>
      <c r="H419">
        <v>1157.19</v>
      </c>
      <c r="I419" t="s">
        <v>22</v>
      </c>
      <c r="J419" t="str">
        <f t="shared" si="6"/>
        <v>Repeat Customer</v>
      </c>
    </row>
    <row r="420" spans="1:10" x14ac:dyDescent="0.25">
      <c r="A420">
        <v>11336</v>
      </c>
      <c r="B420" t="s">
        <v>28</v>
      </c>
      <c r="C420" s="1">
        <v>45883</v>
      </c>
      <c r="D420" t="s">
        <v>21</v>
      </c>
      <c r="E420" t="s">
        <v>19</v>
      </c>
      <c r="F420">
        <v>3</v>
      </c>
      <c r="G420">
        <v>223.73</v>
      </c>
      <c r="H420">
        <v>671.19</v>
      </c>
      <c r="I420" t="s">
        <v>14</v>
      </c>
      <c r="J420" t="str">
        <f t="shared" si="6"/>
        <v>Repeat Customer</v>
      </c>
    </row>
    <row r="421" spans="1:10" x14ac:dyDescent="0.25">
      <c r="A421">
        <v>11356</v>
      </c>
      <c r="B421" t="s">
        <v>28</v>
      </c>
      <c r="C421" s="1">
        <v>45701</v>
      </c>
      <c r="D421" t="s">
        <v>16</v>
      </c>
      <c r="E421" t="s">
        <v>31</v>
      </c>
      <c r="F421">
        <v>8</v>
      </c>
      <c r="G421">
        <v>46.21</v>
      </c>
      <c r="H421">
        <v>369.68</v>
      </c>
      <c r="I421" t="s">
        <v>14</v>
      </c>
      <c r="J421" t="str">
        <f t="shared" si="6"/>
        <v>Repeat Customer</v>
      </c>
    </row>
    <row r="422" spans="1:10" x14ac:dyDescent="0.25">
      <c r="A422">
        <v>10116</v>
      </c>
      <c r="B422" t="s">
        <v>111</v>
      </c>
      <c r="C422" s="1">
        <v>45606</v>
      </c>
      <c r="D422" t="s">
        <v>18</v>
      </c>
      <c r="E422" t="s">
        <v>19</v>
      </c>
      <c r="F422">
        <v>10</v>
      </c>
      <c r="G422">
        <v>375.73</v>
      </c>
      <c r="H422">
        <v>3757.3</v>
      </c>
      <c r="I422" t="s">
        <v>32</v>
      </c>
      <c r="J422" t="str">
        <f t="shared" si="6"/>
        <v>Repeat Customer</v>
      </c>
    </row>
    <row r="423" spans="1:10" x14ac:dyDescent="0.25">
      <c r="A423">
        <v>10309</v>
      </c>
      <c r="B423" t="s">
        <v>111</v>
      </c>
      <c r="C423" s="1">
        <v>45627</v>
      </c>
      <c r="D423" t="s">
        <v>10</v>
      </c>
      <c r="E423" t="s">
        <v>31</v>
      </c>
      <c r="F423">
        <v>9</v>
      </c>
      <c r="G423">
        <v>223.71</v>
      </c>
      <c r="H423">
        <v>2013.39</v>
      </c>
      <c r="I423" t="s">
        <v>12</v>
      </c>
      <c r="J423" t="str">
        <f t="shared" si="6"/>
        <v>Repeat Customer</v>
      </c>
    </row>
    <row r="424" spans="1:10" x14ac:dyDescent="0.25">
      <c r="A424">
        <v>10572</v>
      </c>
      <c r="B424" t="s">
        <v>111</v>
      </c>
      <c r="C424" s="1">
        <v>45796</v>
      </c>
      <c r="D424" t="s">
        <v>21</v>
      </c>
      <c r="E424" t="s">
        <v>11</v>
      </c>
      <c r="F424">
        <v>3</v>
      </c>
      <c r="G424">
        <v>411.81</v>
      </c>
      <c r="H424">
        <v>1235.43</v>
      </c>
      <c r="I424" t="s">
        <v>22</v>
      </c>
      <c r="J424" t="str">
        <f t="shared" si="6"/>
        <v>Repeat Customer</v>
      </c>
    </row>
    <row r="425" spans="1:10" x14ac:dyDescent="0.25">
      <c r="A425">
        <v>10626</v>
      </c>
      <c r="B425" t="s">
        <v>111</v>
      </c>
      <c r="C425" s="1">
        <v>45818</v>
      </c>
      <c r="D425" t="s">
        <v>10</v>
      </c>
      <c r="E425" t="s">
        <v>25</v>
      </c>
      <c r="F425">
        <v>3</v>
      </c>
      <c r="G425">
        <v>225.88</v>
      </c>
      <c r="H425">
        <v>677.64</v>
      </c>
      <c r="I425" t="s">
        <v>32</v>
      </c>
      <c r="J425" t="str">
        <f t="shared" si="6"/>
        <v>Repeat Customer</v>
      </c>
    </row>
    <row r="426" spans="1:10" x14ac:dyDescent="0.25">
      <c r="A426">
        <v>10633</v>
      </c>
      <c r="B426" t="s">
        <v>111</v>
      </c>
      <c r="C426" s="1">
        <v>45527</v>
      </c>
      <c r="D426" t="s">
        <v>16</v>
      </c>
      <c r="E426" t="s">
        <v>25</v>
      </c>
      <c r="F426">
        <v>2</v>
      </c>
      <c r="G426">
        <v>259.7</v>
      </c>
      <c r="H426">
        <v>519.4</v>
      </c>
      <c r="I426" t="s">
        <v>14</v>
      </c>
      <c r="J426" t="str">
        <f t="shared" si="6"/>
        <v>Repeat Customer</v>
      </c>
    </row>
    <row r="427" spans="1:10" x14ac:dyDescent="0.25">
      <c r="A427">
        <v>11255</v>
      </c>
      <c r="B427" t="s">
        <v>111</v>
      </c>
      <c r="C427" s="1">
        <v>45550</v>
      </c>
      <c r="D427" t="s">
        <v>21</v>
      </c>
      <c r="E427" t="s">
        <v>11</v>
      </c>
      <c r="F427">
        <v>4</v>
      </c>
      <c r="G427">
        <v>255.5</v>
      </c>
      <c r="H427">
        <v>1022</v>
      </c>
      <c r="I427" t="s">
        <v>12</v>
      </c>
      <c r="J427" t="str">
        <f t="shared" si="6"/>
        <v>Repeat Customer</v>
      </c>
    </row>
    <row r="428" spans="1:10" x14ac:dyDescent="0.25">
      <c r="A428">
        <v>11489</v>
      </c>
      <c r="B428" t="s">
        <v>111</v>
      </c>
      <c r="C428" s="1">
        <v>45495</v>
      </c>
      <c r="D428" t="s">
        <v>21</v>
      </c>
      <c r="E428" t="s">
        <v>31</v>
      </c>
      <c r="F428">
        <v>6</v>
      </c>
      <c r="G428">
        <v>471.26</v>
      </c>
      <c r="H428">
        <v>2827.56</v>
      </c>
      <c r="I428" t="s">
        <v>14</v>
      </c>
      <c r="J428" t="str">
        <f t="shared" si="6"/>
        <v>Repeat Customer</v>
      </c>
    </row>
    <row r="429" spans="1:10" x14ac:dyDescent="0.25">
      <c r="A429">
        <v>10693</v>
      </c>
      <c r="B429" t="s">
        <v>286</v>
      </c>
      <c r="C429" s="1">
        <v>45480</v>
      </c>
      <c r="D429" t="s">
        <v>10</v>
      </c>
      <c r="E429" t="s">
        <v>19</v>
      </c>
      <c r="F429">
        <v>1</v>
      </c>
      <c r="G429">
        <v>66.89</v>
      </c>
      <c r="H429">
        <v>66.89</v>
      </c>
      <c r="I429" t="s">
        <v>12</v>
      </c>
      <c r="J429" t="str">
        <f t="shared" si="6"/>
        <v>Repeat Customer</v>
      </c>
    </row>
    <row r="430" spans="1:10" x14ac:dyDescent="0.25">
      <c r="A430">
        <v>11116</v>
      </c>
      <c r="B430" t="s">
        <v>286</v>
      </c>
      <c r="C430" s="1">
        <v>45937</v>
      </c>
      <c r="D430" t="s">
        <v>16</v>
      </c>
      <c r="E430" t="s">
        <v>25</v>
      </c>
      <c r="F430">
        <v>2</v>
      </c>
      <c r="G430">
        <v>436.08</v>
      </c>
      <c r="H430">
        <v>872.16</v>
      </c>
      <c r="I430" t="s">
        <v>22</v>
      </c>
      <c r="J430" t="str">
        <f t="shared" si="6"/>
        <v>Repeat Customer</v>
      </c>
    </row>
    <row r="431" spans="1:10" x14ac:dyDescent="0.25">
      <c r="A431">
        <v>11266</v>
      </c>
      <c r="B431" t="s">
        <v>286</v>
      </c>
      <c r="C431" s="1">
        <v>45463</v>
      </c>
      <c r="D431" t="s">
        <v>24</v>
      </c>
      <c r="E431" t="s">
        <v>19</v>
      </c>
      <c r="F431">
        <v>1</v>
      </c>
      <c r="G431">
        <v>210.76</v>
      </c>
      <c r="H431">
        <v>210.76</v>
      </c>
      <c r="I431" t="s">
        <v>22</v>
      </c>
      <c r="J431" t="str">
        <f t="shared" si="6"/>
        <v>Repeat Customer</v>
      </c>
    </row>
    <row r="432" spans="1:10" x14ac:dyDescent="0.25">
      <c r="A432">
        <v>11286</v>
      </c>
      <c r="B432" t="s">
        <v>286</v>
      </c>
      <c r="C432" s="1">
        <v>45774</v>
      </c>
      <c r="D432" t="s">
        <v>18</v>
      </c>
      <c r="E432" t="s">
        <v>31</v>
      </c>
      <c r="F432">
        <v>8</v>
      </c>
      <c r="G432">
        <v>214.24</v>
      </c>
      <c r="H432">
        <v>1713.92</v>
      </c>
      <c r="I432" t="s">
        <v>14</v>
      </c>
      <c r="J432" t="str">
        <f t="shared" si="6"/>
        <v>Repeat Customer</v>
      </c>
    </row>
    <row r="433" spans="1:10" x14ac:dyDescent="0.25">
      <c r="A433">
        <v>11305</v>
      </c>
      <c r="B433" t="s">
        <v>286</v>
      </c>
      <c r="C433" s="1">
        <v>45373</v>
      </c>
      <c r="D433" t="s">
        <v>24</v>
      </c>
      <c r="E433" t="s">
        <v>19</v>
      </c>
      <c r="F433">
        <v>5</v>
      </c>
      <c r="G433">
        <v>47.42</v>
      </c>
      <c r="H433">
        <v>237.1</v>
      </c>
      <c r="I433" t="s">
        <v>12</v>
      </c>
      <c r="J433" t="str">
        <f t="shared" si="6"/>
        <v>Repeat Customer</v>
      </c>
    </row>
    <row r="434" spans="1:10" x14ac:dyDescent="0.25">
      <c r="A434">
        <v>10339</v>
      </c>
      <c r="B434" t="s">
        <v>215</v>
      </c>
      <c r="C434" s="1">
        <v>45652</v>
      </c>
      <c r="D434" t="s">
        <v>18</v>
      </c>
      <c r="E434" t="s">
        <v>31</v>
      </c>
      <c r="F434">
        <v>3</v>
      </c>
      <c r="G434">
        <v>74.28</v>
      </c>
      <c r="H434">
        <v>222.84</v>
      </c>
      <c r="I434" t="s">
        <v>14</v>
      </c>
      <c r="J434" t="str">
        <f t="shared" si="6"/>
        <v>Repeat Customer</v>
      </c>
    </row>
    <row r="435" spans="1:10" x14ac:dyDescent="0.25">
      <c r="A435">
        <v>10998</v>
      </c>
      <c r="B435" t="s">
        <v>215</v>
      </c>
      <c r="C435" s="1">
        <v>45358</v>
      </c>
      <c r="D435" t="s">
        <v>16</v>
      </c>
      <c r="E435" t="s">
        <v>25</v>
      </c>
      <c r="F435">
        <v>6</v>
      </c>
      <c r="G435">
        <v>487.73</v>
      </c>
      <c r="H435">
        <v>2926.38</v>
      </c>
      <c r="I435" t="s">
        <v>32</v>
      </c>
      <c r="J435" t="str">
        <f t="shared" si="6"/>
        <v>Repeat Customer</v>
      </c>
    </row>
    <row r="436" spans="1:10" x14ac:dyDescent="0.25">
      <c r="A436">
        <v>11159</v>
      </c>
      <c r="B436" t="s">
        <v>215</v>
      </c>
      <c r="C436" s="1">
        <v>45352</v>
      </c>
      <c r="D436" t="s">
        <v>10</v>
      </c>
      <c r="E436" t="s">
        <v>11</v>
      </c>
      <c r="F436">
        <v>10</v>
      </c>
      <c r="G436">
        <v>480.76</v>
      </c>
      <c r="H436">
        <v>4807.6000000000004</v>
      </c>
      <c r="I436" t="s">
        <v>12</v>
      </c>
      <c r="J436" t="str">
        <f t="shared" si="6"/>
        <v>Repeat Customer</v>
      </c>
    </row>
    <row r="437" spans="1:10" x14ac:dyDescent="0.25">
      <c r="A437">
        <v>11376</v>
      </c>
      <c r="B437" t="s">
        <v>215</v>
      </c>
      <c r="C437" s="1">
        <v>45982</v>
      </c>
      <c r="D437" t="s">
        <v>10</v>
      </c>
      <c r="E437" t="s">
        <v>11</v>
      </c>
      <c r="F437">
        <v>9</v>
      </c>
      <c r="G437">
        <v>452.38</v>
      </c>
      <c r="H437">
        <v>4071.42</v>
      </c>
      <c r="I437" t="s">
        <v>22</v>
      </c>
      <c r="J437" t="str">
        <f t="shared" si="6"/>
        <v>Repeat Customer</v>
      </c>
    </row>
    <row r="438" spans="1:10" x14ac:dyDescent="0.25">
      <c r="A438">
        <v>10259</v>
      </c>
      <c r="B438" t="s">
        <v>184</v>
      </c>
      <c r="C438" s="1">
        <v>45966</v>
      </c>
      <c r="D438" t="s">
        <v>18</v>
      </c>
      <c r="E438" t="s">
        <v>19</v>
      </c>
      <c r="F438">
        <v>10</v>
      </c>
      <c r="G438">
        <v>361.71</v>
      </c>
      <c r="H438">
        <v>3617.1</v>
      </c>
      <c r="I438" t="s">
        <v>12</v>
      </c>
      <c r="J438" t="str">
        <f t="shared" si="6"/>
        <v>Repeat Customer</v>
      </c>
    </row>
    <row r="439" spans="1:10" x14ac:dyDescent="0.25">
      <c r="A439">
        <v>10526</v>
      </c>
      <c r="B439" t="s">
        <v>184</v>
      </c>
      <c r="C439" s="1">
        <v>45965</v>
      </c>
      <c r="D439" t="s">
        <v>24</v>
      </c>
      <c r="E439" t="s">
        <v>31</v>
      </c>
      <c r="F439">
        <v>9</v>
      </c>
      <c r="G439">
        <v>94.66</v>
      </c>
      <c r="H439">
        <v>851.94</v>
      </c>
      <c r="I439" t="s">
        <v>14</v>
      </c>
      <c r="J439" t="str">
        <f t="shared" si="6"/>
        <v>Repeat Customer</v>
      </c>
    </row>
    <row r="440" spans="1:10" x14ac:dyDescent="0.25">
      <c r="A440">
        <v>10764</v>
      </c>
      <c r="B440" t="s">
        <v>184</v>
      </c>
      <c r="C440" s="1">
        <v>45353</v>
      </c>
      <c r="D440" t="s">
        <v>18</v>
      </c>
      <c r="E440" t="s">
        <v>19</v>
      </c>
      <c r="F440">
        <v>5</v>
      </c>
      <c r="G440">
        <v>104.34</v>
      </c>
      <c r="H440">
        <v>521.70000000000005</v>
      </c>
      <c r="I440" t="s">
        <v>12</v>
      </c>
      <c r="J440" t="str">
        <f t="shared" si="6"/>
        <v>Repeat Customer</v>
      </c>
    </row>
    <row r="441" spans="1:10" x14ac:dyDescent="0.25">
      <c r="A441">
        <v>10837</v>
      </c>
      <c r="B441" t="s">
        <v>184</v>
      </c>
      <c r="C441" s="1">
        <v>45581</v>
      </c>
      <c r="D441" t="s">
        <v>10</v>
      </c>
      <c r="E441" t="s">
        <v>11</v>
      </c>
      <c r="F441">
        <v>6</v>
      </c>
      <c r="G441">
        <v>304.2</v>
      </c>
      <c r="H441">
        <v>1825.2</v>
      </c>
      <c r="I441" t="s">
        <v>32</v>
      </c>
      <c r="J441" t="str">
        <f t="shared" si="6"/>
        <v>Repeat Customer</v>
      </c>
    </row>
    <row r="442" spans="1:10" x14ac:dyDescent="0.25">
      <c r="A442">
        <v>11244</v>
      </c>
      <c r="B442" t="s">
        <v>184</v>
      </c>
      <c r="C442" s="1">
        <v>45626</v>
      </c>
      <c r="D442" t="s">
        <v>24</v>
      </c>
      <c r="E442" t="s">
        <v>25</v>
      </c>
      <c r="F442">
        <v>7</v>
      </c>
      <c r="G442">
        <v>198.6</v>
      </c>
      <c r="H442">
        <v>1390.2</v>
      </c>
      <c r="I442" t="s">
        <v>32</v>
      </c>
      <c r="J442" t="str">
        <f t="shared" si="6"/>
        <v>Repeat Customer</v>
      </c>
    </row>
    <row r="443" spans="1:10" x14ac:dyDescent="0.25">
      <c r="A443">
        <v>11319</v>
      </c>
      <c r="B443" t="s">
        <v>184</v>
      </c>
      <c r="C443" s="1">
        <v>45967</v>
      </c>
      <c r="D443" t="s">
        <v>24</v>
      </c>
      <c r="E443" t="s">
        <v>25</v>
      </c>
      <c r="F443">
        <v>2</v>
      </c>
      <c r="G443">
        <v>57.21</v>
      </c>
      <c r="H443">
        <v>114.42</v>
      </c>
      <c r="I443" t="s">
        <v>22</v>
      </c>
      <c r="J443" t="str">
        <f t="shared" si="6"/>
        <v>Repeat Customer</v>
      </c>
    </row>
    <row r="444" spans="1:10" x14ac:dyDescent="0.25">
      <c r="A444">
        <v>11378</v>
      </c>
      <c r="B444" t="s">
        <v>184</v>
      </c>
      <c r="C444" s="1">
        <v>45674</v>
      </c>
      <c r="D444" t="s">
        <v>10</v>
      </c>
      <c r="E444" t="s">
        <v>11</v>
      </c>
      <c r="F444">
        <v>2</v>
      </c>
      <c r="G444">
        <v>172.29</v>
      </c>
      <c r="H444">
        <v>344.58</v>
      </c>
      <c r="I444" t="s">
        <v>22</v>
      </c>
      <c r="J444" t="str">
        <f t="shared" si="6"/>
        <v>Repeat Customer</v>
      </c>
    </row>
    <row r="445" spans="1:10" x14ac:dyDescent="0.25">
      <c r="A445">
        <v>10120</v>
      </c>
      <c r="B445" t="s">
        <v>115</v>
      </c>
      <c r="C445" s="1">
        <v>45773</v>
      </c>
      <c r="D445" t="s">
        <v>16</v>
      </c>
      <c r="E445" t="s">
        <v>25</v>
      </c>
      <c r="F445">
        <v>9</v>
      </c>
      <c r="G445">
        <v>327.5</v>
      </c>
      <c r="H445">
        <v>2947.5</v>
      </c>
      <c r="I445" t="s">
        <v>32</v>
      </c>
      <c r="J445" t="str">
        <f t="shared" si="6"/>
        <v>Repeat Customer</v>
      </c>
    </row>
    <row r="446" spans="1:10" x14ac:dyDescent="0.25">
      <c r="A446">
        <v>10169</v>
      </c>
      <c r="B446" t="s">
        <v>115</v>
      </c>
      <c r="C446" s="1">
        <v>45563</v>
      </c>
      <c r="D446" t="s">
        <v>21</v>
      </c>
      <c r="E446" t="s">
        <v>11</v>
      </c>
      <c r="F446">
        <v>1</v>
      </c>
      <c r="G446">
        <v>67.75</v>
      </c>
      <c r="H446">
        <v>67.75</v>
      </c>
      <c r="I446" t="s">
        <v>12</v>
      </c>
      <c r="J446" t="str">
        <f t="shared" si="6"/>
        <v>Repeat Customer</v>
      </c>
    </row>
    <row r="447" spans="1:10" x14ac:dyDescent="0.25">
      <c r="A447">
        <v>10431</v>
      </c>
      <c r="B447" t="s">
        <v>115</v>
      </c>
      <c r="C447" s="1">
        <v>45414</v>
      </c>
      <c r="D447" t="s">
        <v>24</v>
      </c>
      <c r="E447" t="s">
        <v>25</v>
      </c>
      <c r="F447">
        <v>1</v>
      </c>
      <c r="G447">
        <v>355.41</v>
      </c>
      <c r="H447">
        <v>355.41</v>
      </c>
      <c r="I447" t="s">
        <v>32</v>
      </c>
      <c r="J447" t="str">
        <f t="shared" si="6"/>
        <v>Repeat Customer</v>
      </c>
    </row>
    <row r="448" spans="1:10" x14ac:dyDescent="0.25">
      <c r="A448">
        <v>10471</v>
      </c>
      <c r="B448" t="s">
        <v>115</v>
      </c>
      <c r="C448" s="1">
        <v>45794</v>
      </c>
      <c r="D448" t="s">
        <v>10</v>
      </c>
      <c r="E448" t="s">
        <v>25</v>
      </c>
      <c r="F448">
        <v>1</v>
      </c>
      <c r="G448">
        <v>49.68</v>
      </c>
      <c r="H448">
        <v>49.68</v>
      </c>
      <c r="I448" t="s">
        <v>12</v>
      </c>
      <c r="J448" t="str">
        <f t="shared" si="6"/>
        <v>Repeat Customer</v>
      </c>
    </row>
    <row r="449" spans="1:10" x14ac:dyDescent="0.25">
      <c r="A449">
        <v>10476</v>
      </c>
      <c r="B449" t="s">
        <v>115</v>
      </c>
      <c r="C449" s="1">
        <v>46016</v>
      </c>
      <c r="D449" t="s">
        <v>18</v>
      </c>
      <c r="E449" t="s">
        <v>19</v>
      </c>
      <c r="F449">
        <v>9</v>
      </c>
      <c r="G449">
        <v>348.31</v>
      </c>
      <c r="H449">
        <v>3134.79</v>
      </c>
      <c r="I449" t="s">
        <v>14</v>
      </c>
      <c r="J449" t="str">
        <f t="shared" si="6"/>
        <v>Repeat Customer</v>
      </c>
    </row>
    <row r="450" spans="1:10" x14ac:dyDescent="0.25">
      <c r="A450">
        <v>10477</v>
      </c>
      <c r="B450" t="s">
        <v>115</v>
      </c>
      <c r="C450" s="1">
        <v>45679</v>
      </c>
      <c r="D450" t="s">
        <v>16</v>
      </c>
      <c r="E450" t="s">
        <v>25</v>
      </c>
      <c r="F450">
        <v>5</v>
      </c>
      <c r="G450">
        <v>368.33</v>
      </c>
      <c r="H450">
        <v>1841.65</v>
      </c>
      <c r="I450" t="s">
        <v>14</v>
      </c>
      <c r="J450" t="str">
        <f t="shared" ref="J450:J513" si="7">IF(COUNTIF($B:$B,B450)&gt;1,"Repeat Customer","New Customer")</f>
        <v>Repeat Customer</v>
      </c>
    </row>
    <row r="451" spans="1:10" x14ac:dyDescent="0.25">
      <c r="A451">
        <v>10658</v>
      </c>
      <c r="B451" t="s">
        <v>115</v>
      </c>
      <c r="C451" s="1">
        <v>45947</v>
      </c>
      <c r="D451" t="s">
        <v>10</v>
      </c>
      <c r="E451" t="s">
        <v>19</v>
      </c>
      <c r="F451">
        <v>8</v>
      </c>
      <c r="G451">
        <v>222.29</v>
      </c>
      <c r="H451">
        <v>1778.32</v>
      </c>
      <c r="I451" t="s">
        <v>14</v>
      </c>
      <c r="J451" t="str">
        <f t="shared" si="7"/>
        <v>Repeat Customer</v>
      </c>
    </row>
    <row r="452" spans="1:10" x14ac:dyDescent="0.25">
      <c r="A452">
        <v>10677</v>
      </c>
      <c r="B452" t="s">
        <v>115</v>
      </c>
      <c r="C452" s="1">
        <v>45760</v>
      </c>
      <c r="D452" t="s">
        <v>21</v>
      </c>
      <c r="E452" t="s">
        <v>19</v>
      </c>
      <c r="F452">
        <v>2</v>
      </c>
      <c r="G452">
        <v>350.63</v>
      </c>
      <c r="H452">
        <v>701.26</v>
      </c>
      <c r="I452" t="s">
        <v>12</v>
      </c>
      <c r="J452" t="str">
        <f t="shared" si="7"/>
        <v>Repeat Customer</v>
      </c>
    </row>
    <row r="453" spans="1:10" x14ac:dyDescent="0.25">
      <c r="A453">
        <v>10866</v>
      </c>
      <c r="B453" t="s">
        <v>115</v>
      </c>
      <c r="C453" s="1">
        <v>45897</v>
      </c>
      <c r="D453" t="s">
        <v>16</v>
      </c>
      <c r="E453" t="s">
        <v>25</v>
      </c>
      <c r="F453">
        <v>3</v>
      </c>
      <c r="G453">
        <v>331.28</v>
      </c>
      <c r="H453">
        <v>993.84</v>
      </c>
      <c r="I453" t="s">
        <v>22</v>
      </c>
      <c r="J453" t="str">
        <f t="shared" si="7"/>
        <v>Repeat Customer</v>
      </c>
    </row>
    <row r="454" spans="1:10" x14ac:dyDescent="0.25">
      <c r="A454">
        <v>10950</v>
      </c>
      <c r="B454" t="s">
        <v>115</v>
      </c>
      <c r="C454" s="1">
        <v>46017</v>
      </c>
      <c r="D454" t="s">
        <v>24</v>
      </c>
      <c r="E454" t="s">
        <v>11</v>
      </c>
      <c r="F454">
        <v>3</v>
      </c>
      <c r="G454">
        <v>84.82</v>
      </c>
      <c r="H454">
        <v>254.46</v>
      </c>
      <c r="I454" t="s">
        <v>22</v>
      </c>
      <c r="J454" t="str">
        <f t="shared" si="7"/>
        <v>Repeat Customer</v>
      </c>
    </row>
    <row r="455" spans="1:10" x14ac:dyDescent="0.25">
      <c r="A455">
        <v>11273</v>
      </c>
      <c r="B455" t="s">
        <v>115</v>
      </c>
      <c r="C455" s="1">
        <v>45942</v>
      </c>
      <c r="D455" t="s">
        <v>21</v>
      </c>
      <c r="E455" t="s">
        <v>11</v>
      </c>
      <c r="F455">
        <v>6</v>
      </c>
      <c r="G455">
        <v>489.12</v>
      </c>
      <c r="H455">
        <v>2934.72</v>
      </c>
      <c r="I455" t="s">
        <v>22</v>
      </c>
      <c r="J455" t="str">
        <f t="shared" si="7"/>
        <v>Repeat Customer</v>
      </c>
    </row>
    <row r="456" spans="1:10" x14ac:dyDescent="0.25">
      <c r="A456">
        <v>10200</v>
      </c>
      <c r="B456" t="s">
        <v>160</v>
      </c>
      <c r="C456" s="1">
        <v>45935</v>
      </c>
      <c r="D456" t="s">
        <v>18</v>
      </c>
      <c r="E456" t="s">
        <v>31</v>
      </c>
      <c r="F456">
        <v>8</v>
      </c>
      <c r="G456">
        <v>234.66</v>
      </c>
      <c r="H456">
        <v>1877.28</v>
      </c>
      <c r="I456" t="s">
        <v>22</v>
      </c>
      <c r="J456" t="str">
        <f t="shared" si="7"/>
        <v>Repeat Customer</v>
      </c>
    </row>
    <row r="457" spans="1:10" x14ac:dyDescent="0.25">
      <c r="A457">
        <v>10295</v>
      </c>
      <c r="B457" t="s">
        <v>160</v>
      </c>
      <c r="C457" s="1">
        <v>45329</v>
      </c>
      <c r="D457" t="s">
        <v>10</v>
      </c>
      <c r="E457" t="s">
        <v>19</v>
      </c>
      <c r="F457">
        <v>7</v>
      </c>
      <c r="G457">
        <v>395.04</v>
      </c>
      <c r="H457">
        <v>2765.28</v>
      </c>
      <c r="I457" t="s">
        <v>12</v>
      </c>
      <c r="J457" t="str">
        <f t="shared" si="7"/>
        <v>Repeat Customer</v>
      </c>
    </row>
    <row r="458" spans="1:10" x14ac:dyDescent="0.25">
      <c r="A458">
        <v>10843</v>
      </c>
      <c r="B458" t="s">
        <v>160</v>
      </c>
      <c r="C458" s="1">
        <v>45607</v>
      </c>
      <c r="D458" t="s">
        <v>24</v>
      </c>
      <c r="E458" t="s">
        <v>31</v>
      </c>
      <c r="F458">
        <v>7</v>
      </c>
      <c r="G458">
        <v>39.46</v>
      </c>
      <c r="H458">
        <v>276.22000000000003</v>
      </c>
      <c r="I458" t="s">
        <v>22</v>
      </c>
      <c r="J458" t="str">
        <f t="shared" si="7"/>
        <v>Repeat Customer</v>
      </c>
    </row>
    <row r="459" spans="1:10" x14ac:dyDescent="0.25">
      <c r="A459">
        <v>11284</v>
      </c>
      <c r="B459" t="s">
        <v>160</v>
      </c>
      <c r="C459" s="1">
        <v>45912</v>
      </c>
      <c r="D459" t="s">
        <v>18</v>
      </c>
      <c r="E459" t="s">
        <v>31</v>
      </c>
      <c r="F459">
        <v>4</v>
      </c>
      <c r="G459">
        <v>155.03</v>
      </c>
      <c r="H459">
        <v>620.12</v>
      </c>
      <c r="I459" t="s">
        <v>14</v>
      </c>
      <c r="J459" t="str">
        <f t="shared" si="7"/>
        <v>Repeat Customer</v>
      </c>
    </row>
    <row r="460" spans="1:10" x14ac:dyDescent="0.25">
      <c r="A460">
        <v>11302</v>
      </c>
      <c r="B460" t="s">
        <v>160</v>
      </c>
      <c r="C460" s="1">
        <v>45675</v>
      </c>
      <c r="D460" t="s">
        <v>10</v>
      </c>
      <c r="E460" t="s">
        <v>31</v>
      </c>
      <c r="F460">
        <v>3</v>
      </c>
      <c r="G460">
        <v>353.5</v>
      </c>
      <c r="H460">
        <v>1060.5</v>
      </c>
      <c r="I460" t="s">
        <v>14</v>
      </c>
      <c r="J460" t="str">
        <f t="shared" si="7"/>
        <v>Repeat Customer</v>
      </c>
    </row>
    <row r="461" spans="1:10" x14ac:dyDescent="0.25">
      <c r="A461">
        <v>10438</v>
      </c>
      <c r="B461" t="s">
        <v>238</v>
      </c>
      <c r="C461" s="1">
        <v>45328</v>
      </c>
      <c r="D461" t="s">
        <v>21</v>
      </c>
      <c r="E461" t="s">
        <v>25</v>
      </c>
      <c r="F461">
        <v>9</v>
      </c>
      <c r="G461">
        <v>402.54</v>
      </c>
      <c r="H461">
        <v>3622.86</v>
      </c>
      <c r="I461" t="s">
        <v>22</v>
      </c>
      <c r="J461" t="str">
        <f t="shared" si="7"/>
        <v>Repeat Customer</v>
      </c>
    </row>
    <row r="462" spans="1:10" x14ac:dyDescent="0.25">
      <c r="A462">
        <v>11090</v>
      </c>
      <c r="B462" t="s">
        <v>238</v>
      </c>
      <c r="C462" s="1">
        <v>45478</v>
      </c>
      <c r="D462" t="s">
        <v>21</v>
      </c>
      <c r="E462" t="s">
        <v>19</v>
      </c>
      <c r="F462">
        <v>7</v>
      </c>
      <c r="G462">
        <v>27.4</v>
      </c>
      <c r="H462">
        <v>191.8</v>
      </c>
      <c r="I462" t="s">
        <v>22</v>
      </c>
      <c r="J462" t="str">
        <f t="shared" si="7"/>
        <v>Repeat Customer</v>
      </c>
    </row>
    <row r="463" spans="1:10" x14ac:dyDescent="0.25">
      <c r="A463">
        <v>11251</v>
      </c>
      <c r="B463" t="s">
        <v>238</v>
      </c>
      <c r="C463" s="1">
        <v>45924</v>
      </c>
      <c r="D463" t="s">
        <v>10</v>
      </c>
      <c r="E463" t="s">
        <v>11</v>
      </c>
      <c r="F463">
        <v>7</v>
      </c>
      <c r="G463">
        <v>231.62</v>
      </c>
      <c r="H463">
        <v>1621.34</v>
      </c>
      <c r="I463" t="s">
        <v>32</v>
      </c>
      <c r="J463" t="str">
        <f t="shared" si="7"/>
        <v>Repeat Customer</v>
      </c>
    </row>
    <row r="464" spans="1:10" x14ac:dyDescent="0.25">
      <c r="A464">
        <v>11438</v>
      </c>
      <c r="B464" t="s">
        <v>238</v>
      </c>
      <c r="C464" s="1">
        <v>45730</v>
      </c>
      <c r="D464" t="s">
        <v>10</v>
      </c>
      <c r="E464" t="s">
        <v>31</v>
      </c>
      <c r="F464">
        <v>9</v>
      </c>
      <c r="G464">
        <v>170.75</v>
      </c>
      <c r="H464">
        <v>1536.75</v>
      </c>
      <c r="I464" t="s">
        <v>14</v>
      </c>
      <c r="J464" t="str">
        <f t="shared" si="7"/>
        <v>Repeat Customer</v>
      </c>
    </row>
    <row r="465" spans="1:10" x14ac:dyDescent="0.25">
      <c r="A465">
        <v>10558</v>
      </c>
      <c r="B465" t="s">
        <v>266</v>
      </c>
      <c r="C465" s="1">
        <v>45917</v>
      </c>
      <c r="D465" t="s">
        <v>18</v>
      </c>
      <c r="E465" t="s">
        <v>11</v>
      </c>
      <c r="F465">
        <v>7</v>
      </c>
      <c r="G465">
        <v>390.69</v>
      </c>
      <c r="H465">
        <v>2734.83</v>
      </c>
      <c r="I465" t="s">
        <v>14</v>
      </c>
      <c r="J465" t="str">
        <f t="shared" si="7"/>
        <v>Repeat Customer</v>
      </c>
    </row>
    <row r="466" spans="1:10" x14ac:dyDescent="0.25">
      <c r="A466">
        <v>10739</v>
      </c>
      <c r="B466" t="s">
        <v>266</v>
      </c>
      <c r="C466" s="1">
        <v>45855</v>
      </c>
      <c r="D466" t="s">
        <v>10</v>
      </c>
      <c r="E466" t="s">
        <v>31</v>
      </c>
      <c r="F466">
        <v>7</v>
      </c>
      <c r="G466">
        <v>254.82</v>
      </c>
      <c r="H466">
        <v>1783.74</v>
      </c>
      <c r="I466" t="s">
        <v>22</v>
      </c>
      <c r="J466" t="str">
        <f t="shared" si="7"/>
        <v>Repeat Customer</v>
      </c>
    </row>
    <row r="467" spans="1:10" x14ac:dyDescent="0.25">
      <c r="A467">
        <v>10876</v>
      </c>
      <c r="B467" t="s">
        <v>266</v>
      </c>
      <c r="C467" s="1">
        <v>45612</v>
      </c>
      <c r="D467" t="s">
        <v>24</v>
      </c>
      <c r="E467" t="s">
        <v>11</v>
      </c>
      <c r="F467">
        <v>9</v>
      </c>
      <c r="G467">
        <v>10.24</v>
      </c>
      <c r="H467">
        <v>92.16</v>
      </c>
      <c r="I467" t="s">
        <v>12</v>
      </c>
      <c r="J467" t="str">
        <f t="shared" si="7"/>
        <v>Repeat Customer</v>
      </c>
    </row>
    <row r="468" spans="1:10" x14ac:dyDescent="0.25">
      <c r="A468">
        <v>11057</v>
      </c>
      <c r="B468" t="s">
        <v>266</v>
      </c>
      <c r="C468" s="1">
        <v>45710</v>
      </c>
      <c r="D468" t="s">
        <v>16</v>
      </c>
      <c r="E468" t="s">
        <v>25</v>
      </c>
      <c r="F468">
        <v>3</v>
      </c>
      <c r="G468">
        <v>19.239999999999998</v>
      </c>
      <c r="H468">
        <v>57.72</v>
      </c>
      <c r="I468" t="s">
        <v>32</v>
      </c>
      <c r="J468" t="str">
        <f t="shared" si="7"/>
        <v>Repeat Customer</v>
      </c>
    </row>
    <row r="469" spans="1:10" x14ac:dyDescent="0.25">
      <c r="A469">
        <v>11348</v>
      </c>
      <c r="B469" t="s">
        <v>266</v>
      </c>
      <c r="C469" s="1">
        <v>45905</v>
      </c>
      <c r="D469" t="s">
        <v>21</v>
      </c>
      <c r="E469" t="s">
        <v>19</v>
      </c>
      <c r="F469">
        <v>3</v>
      </c>
      <c r="G469">
        <v>7.64</v>
      </c>
      <c r="H469">
        <v>22.92</v>
      </c>
      <c r="I469" t="s">
        <v>12</v>
      </c>
      <c r="J469" t="str">
        <f t="shared" si="7"/>
        <v>Repeat Customer</v>
      </c>
    </row>
    <row r="470" spans="1:10" x14ac:dyDescent="0.25">
      <c r="A470">
        <v>11424</v>
      </c>
      <c r="B470" t="s">
        <v>266</v>
      </c>
      <c r="C470" s="1">
        <v>45762</v>
      </c>
      <c r="D470" t="s">
        <v>10</v>
      </c>
      <c r="E470" t="s">
        <v>25</v>
      </c>
      <c r="F470">
        <v>3</v>
      </c>
      <c r="G470">
        <v>408.72</v>
      </c>
      <c r="H470">
        <v>1226.1600000000001</v>
      </c>
      <c r="I470" t="s">
        <v>32</v>
      </c>
      <c r="J470" t="str">
        <f t="shared" si="7"/>
        <v>Repeat Customer</v>
      </c>
    </row>
    <row r="471" spans="1:10" x14ac:dyDescent="0.25">
      <c r="A471">
        <v>11425</v>
      </c>
      <c r="B471" t="s">
        <v>266</v>
      </c>
      <c r="C471" s="1">
        <v>45955</v>
      </c>
      <c r="D471" t="s">
        <v>10</v>
      </c>
      <c r="E471" t="s">
        <v>25</v>
      </c>
      <c r="F471">
        <v>5</v>
      </c>
      <c r="G471">
        <v>15.42</v>
      </c>
      <c r="H471">
        <v>77.099999999999994</v>
      </c>
      <c r="I471" t="s">
        <v>32</v>
      </c>
      <c r="J471" t="str">
        <f t="shared" si="7"/>
        <v>Repeat Customer</v>
      </c>
    </row>
    <row r="472" spans="1:10" x14ac:dyDescent="0.25">
      <c r="A472">
        <v>11481</v>
      </c>
      <c r="B472" t="s">
        <v>266</v>
      </c>
      <c r="C472" s="1">
        <v>45402</v>
      </c>
      <c r="D472" t="s">
        <v>10</v>
      </c>
      <c r="E472" t="s">
        <v>31</v>
      </c>
      <c r="F472">
        <v>7</v>
      </c>
      <c r="G472">
        <v>385.27</v>
      </c>
      <c r="H472">
        <v>2696.89</v>
      </c>
      <c r="I472" t="s">
        <v>22</v>
      </c>
      <c r="J472" t="str">
        <f t="shared" si="7"/>
        <v>Repeat Customer</v>
      </c>
    </row>
    <row r="473" spans="1:10" x14ac:dyDescent="0.25">
      <c r="A473">
        <v>10082</v>
      </c>
      <c r="B473" t="s">
        <v>88</v>
      </c>
      <c r="C473" s="1">
        <v>45343</v>
      </c>
      <c r="D473" t="s">
        <v>10</v>
      </c>
      <c r="E473" t="s">
        <v>31</v>
      </c>
      <c r="F473">
        <v>5</v>
      </c>
      <c r="G473">
        <v>192.66</v>
      </c>
      <c r="H473">
        <v>963.3</v>
      </c>
      <c r="I473" t="s">
        <v>22</v>
      </c>
      <c r="J473" t="str">
        <f t="shared" si="7"/>
        <v>Repeat Customer</v>
      </c>
    </row>
    <row r="474" spans="1:10" x14ac:dyDescent="0.25">
      <c r="A474">
        <v>10233</v>
      </c>
      <c r="B474" t="s">
        <v>88</v>
      </c>
      <c r="C474" s="1">
        <v>45430</v>
      </c>
      <c r="D474" t="s">
        <v>21</v>
      </c>
      <c r="E474" t="s">
        <v>11</v>
      </c>
      <c r="F474">
        <v>2</v>
      </c>
      <c r="G474">
        <v>359.44</v>
      </c>
      <c r="H474">
        <v>718.88</v>
      </c>
      <c r="I474" t="s">
        <v>22</v>
      </c>
      <c r="J474" t="str">
        <f t="shared" si="7"/>
        <v>Repeat Customer</v>
      </c>
    </row>
    <row r="475" spans="1:10" x14ac:dyDescent="0.25">
      <c r="A475">
        <v>10389</v>
      </c>
      <c r="B475" t="s">
        <v>88</v>
      </c>
      <c r="C475" s="1">
        <v>45674</v>
      </c>
      <c r="D475" t="s">
        <v>21</v>
      </c>
      <c r="E475" t="s">
        <v>25</v>
      </c>
      <c r="F475">
        <v>3</v>
      </c>
      <c r="G475">
        <v>257.86</v>
      </c>
      <c r="H475">
        <v>773.58</v>
      </c>
      <c r="I475" t="s">
        <v>32</v>
      </c>
      <c r="J475" t="str">
        <f t="shared" si="7"/>
        <v>Repeat Customer</v>
      </c>
    </row>
    <row r="476" spans="1:10" x14ac:dyDescent="0.25">
      <c r="A476">
        <v>10675</v>
      </c>
      <c r="B476" t="s">
        <v>88</v>
      </c>
      <c r="C476" s="1">
        <v>45815</v>
      </c>
      <c r="D476" t="s">
        <v>18</v>
      </c>
      <c r="E476" t="s">
        <v>25</v>
      </c>
      <c r="F476">
        <v>5</v>
      </c>
      <c r="G476">
        <v>201.95</v>
      </c>
      <c r="H476">
        <v>1009.75</v>
      </c>
      <c r="I476" t="s">
        <v>12</v>
      </c>
      <c r="J476" t="str">
        <f t="shared" si="7"/>
        <v>Repeat Customer</v>
      </c>
    </row>
    <row r="477" spans="1:10" x14ac:dyDescent="0.25">
      <c r="A477">
        <v>10493</v>
      </c>
      <c r="B477" t="s">
        <v>250</v>
      </c>
      <c r="C477" s="1">
        <v>45671</v>
      </c>
      <c r="D477" t="s">
        <v>21</v>
      </c>
      <c r="E477" t="s">
        <v>11</v>
      </c>
      <c r="F477">
        <v>7</v>
      </c>
      <c r="G477">
        <v>187.85</v>
      </c>
      <c r="H477">
        <v>1314.95</v>
      </c>
      <c r="I477" t="s">
        <v>22</v>
      </c>
      <c r="J477" t="str">
        <f t="shared" si="7"/>
        <v>Repeat Customer</v>
      </c>
    </row>
    <row r="478" spans="1:10" x14ac:dyDescent="0.25">
      <c r="A478">
        <v>10613</v>
      </c>
      <c r="B478" t="s">
        <v>250</v>
      </c>
      <c r="C478" s="1">
        <v>45518</v>
      </c>
      <c r="D478" t="s">
        <v>10</v>
      </c>
      <c r="E478" t="s">
        <v>11</v>
      </c>
      <c r="F478">
        <v>10</v>
      </c>
      <c r="G478">
        <v>418.2</v>
      </c>
      <c r="H478">
        <v>4182</v>
      </c>
      <c r="I478" t="s">
        <v>14</v>
      </c>
      <c r="J478" t="str">
        <f t="shared" si="7"/>
        <v>Repeat Customer</v>
      </c>
    </row>
    <row r="479" spans="1:10" x14ac:dyDescent="0.25">
      <c r="A479">
        <v>10778</v>
      </c>
      <c r="B479" t="s">
        <v>250</v>
      </c>
      <c r="C479" s="1">
        <v>45318</v>
      </c>
      <c r="D479" t="s">
        <v>18</v>
      </c>
      <c r="E479" t="s">
        <v>25</v>
      </c>
      <c r="F479">
        <v>10</v>
      </c>
      <c r="G479">
        <v>310.39</v>
      </c>
      <c r="H479">
        <v>3103.9</v>
      </c>
      <c r="I479" t="s">
        <v>14</v>
      </c>
      <c r="J479" t="str">
        <f t="shared" si="7"/>
        <v>Repeat Customer</v>
      </c>
    </row>
    <row r="480" spans="1:10" x14ac:dyDescent="0.25">
      <c r="A480">
        <v>10991</v>
      </c>
      <c r="B480" t="s">
        <v>250</v>
      </c>
      <c r="C480" s="1">
        <v>45742</v>
      </c>
      <c r="D480" t="s">
        <v>16</v>
      </c>
      <c r="E480" t="s">
        <v>31</v>
      </c>
      <c r="F480">
        <v>2</v>
      </c>
      <c r="G480">
        <v>94.52</v>
      </c>
      <c r="H480">
        <v>189.04</v>
      </c>
      <c r="I480" t="s">
        <v>32</v>
      </c>
      <c r="J480" t="str">
        <f t="shared" si="7"/>
        <v>Repeat Customer</v>
      </c>
    </row>
    <row r="481" spans="1:10" x14ac:dyDescent="0.25">
      <c r="A481">
        <v>11046</v>
      </c>
      <c r="B481" t="s">
        <v>250</v>
      </c>
      <c r="C481" s="1">
        <v>45937</v>
      </c>
      <c r="D481" t="s">
        <v>10</v>
      </c>
      <c r="E481" t="s">
        <v>11</v>
      </c>
      <c r="F481">
        <v>8</v>
      </c>
      <c r="G481">
        <v>396.55</v>
      </c>
      <c r="H481">
        <v>3172.4</v>
      </c>
      <c r="I481" t="s">
        <v>32</v>
      </c>
      <c r="J481" t="str">
        <f t="shared" si="7"/>
        <v>Repeat Customer</v>
      </c>
    </row>
    <row r="482" spans="1:10" x14ac:dyDescent="0.25">
      <c r="A482">
        <v>11488</v>
      </c>
      <c r="B482" t="s">
        <v>250</v>
      </c>
      <c r="C482" s="1">
        <v>45347</v>
      </c>
      <c r="D482" t="s">
        <v>21</v>
      </c>
      <c r="E482" t="s">
        <v>19</v>
      </c>
      <c r="F482">
        <v>2</v>
      </c>
      <c r="G482">
        <v>448</v>
      </c>
      <c r="H482">
        <v>896</v>
      </c>
      <c r="I482" t="s">
        <v>22</v>
      </c>
      <c r="J482" t="str">
        <f t="shared" si="7"/>
        <v>Repeat Customer</v>
      </c>
    </row>
    <row r="483" spans="1:10" x14ac:dyDescent="0.25">
      <c r="A483">
        <v>10634</v>
      </c>
      <c r="B483" t="s">
        <v>279</v>
      </c>
      <c r="C483" s="1">
        <v>45453</v>
      </c>
      <c r="D483" t="s">
        <v>24</v>
      </c>
      <c r="E483" t="s">
        <v>25</v>
      </c>
      <c r="F483">
        <v>6</v>
      </c>
      <c r="G483">
        <v>303</v>
      </c>
      <c r="H483">
        <v>1818</v>
      </c>
      <c r="I483" t="s">
        <v>32</v>
      </c>
      <c r="J483" t="str">
        <f t="shared" si="7"/>
        <v>Repeat Customer</v>
      </c>
    </row>
    <row r="484" spans="1:10" x14ac:dyDescent="0.25">
      <c r="A484">
        <v>10818</v>
      </c>
      <c r="B484" t="s">
        <v>279</v>
      </c>
      <c r="C484" s="1">
        <v>45901</v>
      </c>
      <c r="D484" t="s">
        <v>16</v>
      </c>
      <c r="E484" t="s">
        <v>19</v>
      </c>
      <c r="F484">
        <v>2</v>
      </c>
      <c r="G484">
        <v>432.97</v>
      </c>
      <c r="H484">
        <v>865.94</v>
      </c>
      <c r="I484" t="s">
        <v>12</v>
      </c>
      <c r="J484" t="str">
        <f t="shared" si="7"/>
        <v>Repeat Customer</v>
      </c>
    </row>
    <row r="485" spans="1:10" x14ac:dyDescent="0.25">
      <c r="A485">
        <v>10856</v>
      </c>
      <c r="B485" t="s">
        <v>279</v>
      </c>
      <c r="C485" s="1">
        <v>45726</v>
      </c>
      <c r="D485" t="s">
        <v>21</v>
      </c>
      <c r="E485" t="s">
        <v>25</v>
      </c>
      <c r="F485">
        <v>10</v>
      </c>
      <c r="G485">
        <v>8.68</v>
      </c>
      <c r="H485">
        <v>86.8</v>
      </c>
      <c r="I485" t="s">
        <v>22</v>
      </c>
      <c r="J485" t="str">
        <f t="shared" si="7"/>
        <v>Repeat Customer</v>
      </c>
    </row>
    <row r="486" spans="1:10" x14ac:dyDescent="0.25">
      <c r="A486">
        <v>11242</v>
      </c>
      <c r="B486" t="s">
        <v>279</v>
      </c>
      <c r="C486" s="1">
        <v>45495</v>
      </c>
      <c r="D486" t="s">
        <v>21</v>
      </c>
      <c r="E486" t="s">
        <v>19</v>
      </c>
      <c r="F486">
        <v>2</v>
      </c>
      <c r="G486">
        <v>456.12</v>
      </c>
      <c r="H486">
        <v>912.24</v>
      </c>
      <c r="I486" t="s">
        <v>14</v>
      </c>
      <c r="J486" t="str">
        <f t="shared" si="7"/>
        <v>Repeat Customer</v>
      </c>
    </row>
    <row r="487" spans="1:10" x14ac:dyDescent="0.25">
      <c r="A487">
        <v>10941</v>
      </c>
      <c r="B487" t="s">
        <v>310</v>
      </c>
      <c r="C487" s="1">
        <v>45760</v>
      </c>
      <c r="D487" t="s">
        <v>10</v>
      </c>
      <c r="E487" t="s">
        <v>19</v>
      </c>
      <c r="F487">
        <v>2</v>
      </c>
      <c r="G487">
        <v>44.68</v>
      </c>
      <c r="H487">
        <v>89.36</v>
      </c>
      <c r="I487" t="s">
        <v>12</v>
      </c>
      <c r="J487" t="str">
        <f t="shared" si="7"/>
        <v>Repeat Customer</v>
      </c>
    </row>
    <row r="488" spans="1:10" x14ac:dyDescent="0.25">
      <c r="A488">
        <v>11217</v>
      </c>
      <c r="B488" t="s">
        <v>310</v>
      </c>
      <c r="C488" s="1">
        <v>45840</v>
      </c>
      <c r="D488" t="s">
        <v>16</v>
      </c>
      <c r="E488" t="s">
        <v>25</v>
      </c>
      <c r="F488">
        <v>5</v>
      </c>
      <c r="G488">
        <v>395.85</v>
      </c>
      <c r="H488">
        <v>1979.25</v>
      </c>
      <c r="I488" t="s">
        <v>12</v>
      </c>
      <c r="J488" t="str">
        <f t="shared" si="7"/>
        <v>Repeat Customer</v>
      </c>
    </row>
    <row r="489" spans="1:10" x14ac:dyDescent="0.25">
      <c r="A489">
        <v>11324</v>
      </c>
      <c r="B489" t="s">
        <v>310</v>
      </c>
      <c r="C489" s="1">
        <v>45410</v>
      </c>
      <c r="D489" t="s">
        <v>16</v>
      </c>
      <c r="E489" t="s">
        <v>31</v>
      </c>
      <c r="F489">
        <v>10</v>
      </c>
      <c r="G489">
        <v>187.03</v>
      </c>
      <c r="H489">
        <v>1870.3</v>
      </c>
      <c r="I489" t="s">
        <v>12</v>
      </c>
      <c r="J489" t="str">
        <f t="shared" si="7"/>
        <v>Repeat Customer</v>
      </c>
    </row>
    <row r="490" spans="1:10" x14ac:dyDescent="0.25">
      <c r="A490">
        <v>11426</v>
      </c>
      <c r="B490" t="s">
        <v>310</v>
      </c>
      <c r="C490" s="1">
        <v>45363</v>
      </c>
      <c r="D490" t="s">
        <v>10</v>
      </c>
      <c r="E490" t="s">
        <v>31</v>
      </c>
      <c r="F490">
        <v>3</v>
      </c>
      <c r="G490">
        <v>40.659999999999997</v>
      </c>
      <c r="H490">
        <v>121.98</v>
      </c>
      <c r="I490" t="s">
        <v>32</v>
      </c>
      <c r="J490" t="str">
        <f t="shared" si="7"/>
        <v>Repeat Customer</v>
      </c>
    </row>
    <row r="491" spans="1:10" x14ac:dyDescent="0.25">
      <c r="A491">
        <v>10574</v>
      </c>
      <c r="B491" t="s">
        <v>269</v>
      </c>
      <c r="C491" s="1">
        <v>45638</v>
      </c>
      <c r="D491" t="s">
        <v>24</v>
      </c>
      <c r="E491" t="s">
        <v>11</v>
      </c>
      <c r="F491">
        <v>2</v>
      </c>
      <c r="G491">
        <v>379.79</v>
      </c>
      <c r="H491">
        <v>759.58</v>
      </c>
      <c r="I491" t="s">
        <v>32</v>
      </c>
      <c r="J491" t="str">
        <f t="shared" si="7"/>
        <v>Repeat Customer</v>
      </c>
    </row>
    <row r="492" spans="1:10" x14ac:dyDescent="0.25">
      <c r="A492">
        <v>10671</v>
      </c>
      <c r="B492" t="s">
        <v>269</v>
      </c>
      <c r="C492" s="1">
        <v>45802</v>
      </c>
      <c r="D492" t="s">
        <v>10</v>
      </c>
      <c r="E492" t="s">
        <v>19</v>
      </c>
      <c r="F492">
        <v>4</v>
      </c>
      <c r="G492">
        <v>121.26</v>
      </c>
      <c r="H492">
        <v>485.04</v>
      </c>
      <c r="I492" t="s">
        <v>14</v>
      </c>
      <c r="J492" t="str">
        <f t="shared" si="7"/>
        <v>Repeat Customer</v>
      </c>
    </row>
    <row r="493" spans="1:10" x14ac:dyDescent="0.25">
      <c r="A493">
        <v>10893</v>
      </c>
      <c r="B493" t="s">
        <v>269</v>
      </c>
      <c r="C493" s="1">
        <v>45598</v>
      </c>
      <c r="D493" t="s">
        <v>16</v>
      </c>
      <c r="E493" t="s">
        <v>31</v>
      </c>
      <c r="F493">
        <v>7</v>
      </c>
      <c r="G493">
        <v>448.75</v>
      </c>
      <c r="H493">
        <v>3141.25</v>
      </c>
      <c r="I493" t="s">
        <v>12</v>
      </c>
      <c r="J493" t="str">
        <f t="shared" si="7"/>
        <v>Repeat Customer</v>
      </c>
    </row>
    <row r="494" spans="1:10" x14ac:dyDescent="0.25">
      <c r="A494">
        <v>10298</v>
      </c>
      <c r="B494" t="s">
        <v>196</v>
      </c>
      <c r="C494" s="1">
        <v>45407</v>
      </c>
      <c r="D494" t="s">
        <v>21</v>
      </c>
      <c r="E494" t="s">
        <v>19</v>
      </c>
      <c r="F494">
        <v>6</v>
      </c>
      <c r="G494">
        <v>85.43</v>
      </c>
      <c r="H494">
        <v>512.58000000000004</v>
      </c>
      <c r="I494" t="s">
        <v>14</v>
      </c>
      <c r="J494" t="str">
        <f t="shared" si="7"/>
        <v>Repeat Customer</v>
      </c>
    </row>
    <row r="495" spans="1:10" x14ac:dyDescent="0.25">
      <c r="A495">
        <v>10714</v>
      </c>
      <c r="B495" t="s">
        <v>196</v>
      </c>
      <c r="C495" s="1">
        <v>45548</v>
      </c>
      <c r="D495" t="s">
        <v>24</v>
      </c>
      <c r="E495" t="s">
        <v>25</v>
      </c>
      <c r="F495">
        <v>7</v>
      </c>
      <c r="G495">
        <v>414.98</v>
      </c>
      <c r="H495">
        <v>2904.86</v>
      </c>
      <c r="I495" t="s">
        <v>32</v>
      </c>
      <c r="J495" t="str">
        <f t="shared" si="7"/>
        <v>Repeat Customer</v>
      </c>
    </row>
    <row r="496" spans="1:10" x14ac:dyDescent="0.25">
      <c r="A496">
        <v>10737</v>
      </c>
      <c r="B496" t="s">
        <v>196</v>
      </c>
      <c r="C496" s="1">
        <v>45830</v>
      </c>
      <c r="D496" t="s">
        <v>10</v>
      </c>
      <c r="E496" t="s">
        <v>31</v>
      </c>
      <c r="F496">
        <v>4</v>
      </c>
      <c r="G496">
        <v>287.16000000000003</v>
      </c>
      <c r="H496">
        <v>1148.6400000000001</v>
      </c>
      <c r="I496" t="s">
        <v>12</v>
      </c>
      <c r="J496" t="str">
        <f t="shared" si="7"/>
        <v>Repeat Customer</v>
      </c>
    </row>
    <row r="497" spans="1:10" x14ac:dyDescent="0.25">
      <c r="A497">
        <v>11029</v>
      </c>
      <c r="B497" t="s">
        <v>196</v>
      </c>
      <c r="C497" s="1">
        <v>45320</v>
      </c>
      <c r="D497" t="s">
        <v>16</v>
      </c>
      <c r="E497" t="s">
        <v>31</v>
      </c>
      <c r="F497">
        <v>4</v>
      </c>
      <c r="G497">
        <v>399.54</v>
      </c>
      <c r="H497">
        <v>1598.16</v>
      </c>
      <c r="I497" t="s">
        <v>32</v>
      </c>
      <c r="J497" t="str">
        <f t="shared" si="7"/>
        <v>Repeat Customer</v>
      </c>
    </row>
    <row r="498" spans="1:10" x14ac:dyDescent="0.25">
      <c r="A498">
        <v>11178</v>
      </c>
      <c r="B498" t="s">
        <v>196</v>
      </c>
      <c r="C498" s="1">
        <v>45384</v>
      </c>
      <c r="D498" t="s">
        <v>10</v>
      </c>
      <c r="E498" t="s">
        <v>25</v>
      </c>
      <c r="F498">
        <v>10</v>
      </c>
      <c r="G498">
        <v>314.49</v>
      </c>
      <c r="H498">
        <v>3144.9</v>
      </c>
      <c r="I498" t="s">
        <v>32</v>
      </c>
      <c r="J498" t="str">
        <f t="shared" si="7"/>
        <v>Repeat Customer</v>
      </c>
    </row>
    <row r="499" spans="1:10" x14ac:dyDescent="0.25">
      <c r="A499">
        <v>11183</v>
      </c>
      <c r="B499" t="s">
        <v>196</v>
      </c>
      <c r="C499" s="1">
        <v>45986</v>
      </c>
      <c r="D499" t="s">
        <v>18</v>
      </c>
      <c r="E499" t="s">
        <v>19</v>
      </c>
      <c r="F499">
        <v>1</v>
      </c>
      <c r="G499">
        <v>496.02</v>
      </c>
      <c r="H499">
        <v>496.02</v>
      </c>
      <c r="I499" t="s">
        <v>32</v>
      </c>
      <c r="J499" t="str">
        <f t="shared" si="7"/>
        <v>Repeat Customer</v>
      </c>
    </row>
    <row r="500" spans="1:10" x14ac:dyDescent="0.25">
      <c r="A500">
        <v>10813</v>
      </c>
      <c r="B500" t="s">
        <v>304</v>
      </c>
      <c r="C500" s="1">
        <v>45630</v>
      </c>
      <c r="D500" t="s">
        <v>21</v>
      </c>
      <c r="E500" t="s">
        <v>31</v>
      </c>
      <c r="F500">
        <v>6</v>
      </c>
      <c r="G500">
        <v>461.53</v>
      </c>
      <c r="H500">
        <v>2769.18</v>
      </c>
      <c r="I500" t="s">
        <v>12</v>
      </c>
      <c r="J500" t="str">
        <f t="shared" si="7"/>
        <v>Repeat Customer</v>
      </c>
    </row>
    <row r="501" spans="1:10" x14ac:dyDescent="0.25">
      <c r="A501">
        <v>10912</v>
      </c>
      <c r="B501" t="s">
        <v>304</v>
      </c>
      <c r="C501" s="1">
        <v>45407</v>
      </c>
      <c r="D501" t="s">
        <v>21</v>
      </c>
      <c r="E501" t="s">
        <v>31</v>
      </c>
      <c r="F501">
        <v>3</v>
      </c>
      <c r="G501">
        <v>344.2</v>
      </c>
      <c r="H501">
        <v>1032.5999999999999</v>
      </c>
      <c r="I501" t="s">
        <v>14</v>
      </c>
      <c r="J501" t="str">
        <f t="shared" si="7"/>
        <v>Repeat Customer</v>
      </c>
    </row>
    <row r="502" spans="1:10" x14ac:dyDescent="0.25">
      <c r="A502">
        <v>10958</v>
      </c>
      <c r="B502" t="s">
        <v>304</v>
      </c>
      <c r="C502" s="1">
        <v>45889</v>
      </c>
      <c r="D502" t="s">
        <v>16</v>
      </c>
      <c r="E502" t="s">
        <v>25</v>
      </c>
      <c r="F502">
        <v>9</v>
      </c>
      <c r="G502">
        <v>114.96</v>
      </c>
      <c r="H502">
        <v>1034.6400000000001</v>
      </c>
      <c r="I502" t="s">
        <v>12</v>
      </c>
      <c r="J502" t="str">
        <f t="shared" si="7"/>
        <v>Repeat Customer</v>
      </c>
    </row>
    <row r="503" spans="1:10" x14ac:dyDescent="0.25">
      <c r="A503">
        <v>11187</v>
      </c>
      <c r="B503" t="s">
        <v>304</v>
      </c>
      <c r="C503" s="1">
        <v>45634</v>
      </c>
      <c r="D503" t="s">
        <v>24</v>
      </c>
      <c r="E503" t="s">
        <v>25</v>
      </c>
      <c r="F503">
        <v>2</v>
      </c>
      <c r="G503">
        <v>440.65</v>
      </c>
      <c r="H503">
        <v>881.3</v>
      </c>
      <c r="I503" t="s">
        <v>32</v>
      </c>
      <c r="J503" t="str">
        <f t="shared" si="7"/>
        <v>Repeat Customer</v>
      </c>
    </row>
    <row r="504" spans="1:10" x14ac:dyDescent="0.25">
      <c r="A504">
        <v>10573</v>
      </c>
      <c r="B504" t="s">
        <v>268</v>
      </c>
      <c r="C504" s="1">
        <v>45484</v>
      </c>
      <c r="D504" t="s">
        <v>21</v>
      </c>
      <c r="E504" t="s">
        <v>25</v>
      </c>
      <c r="F504">
        <v>2</v>
      </c>
      <c r="G504">
        <v>465.46</v>
      </c>
      <c r="H504">
        <v>930.92</v>
      </c>
      <c r="I504" t="s">
        <v>32</v>
      </c>
      <c r="J504" t="str">
        <f t="shared" si="7"/>
        <v>Repeat Customer</v>
      </c>
    </row>
    <row r="505" spans="1:10" x14ac:dyDescent="0.25">
      <c r="A505">
        <v>11180</v>
      </c>
      <c r="B505" t="s">
        <v>268</v>
      </c>
      <c r="C505" s="1">
        <v>45945</v>
      </c>
      <c r="D505" t="s">
        <v>16</v>
      </c>
      <c r="E505" t="s">
        <v>31</v>
      </c>
      <c r="F505">
        <v>7</v>
      </c>
      <c r="G505">
        <v>59.92</v>
      </c>
      <c r="H505">
        <v>419.44</v>
      </c>
      <c r="I505" t="s">
        <v>14</v>
      </c>
      <c r="J505" t="str">
        <f t="shared" si="7"/>
        <v>Repeat Customer</v>
      </c>
    </row>
    <row r="506" spans="1:10" x14ac:dyDescent="0.25">
      <c r="A506">
        <v>11290</v>
      </c>
      <c r="B506" t="s">
        <v>268</v>
      </c>
      <c r="C506" s="1">
        <v>45450</v>
      </c>
      <c r="D506" t="s">
        <v>18</v>
      </c>
      <c r="E506" t="s">
        <v>19</v>
      </c>
      <c r="F506">
        <v>4</v>
      </c>
      <c r="G506">
        <v>7.07</v>
      </c>
      <c r="H506">
        <v>28.28</v>
      </c>
      <c r="I506" t="s">
        <v>32</v>
      </c>
      <c r="J506" t="str">
        <f t="shared" si="7"/>
        <v>Repeat Customer</v>
      </c>
    </row>
    <row r="507" spans="1:10" x14ac:dyDescent="0.25">
      <c r="A507">
        <v>10089</v>
      </c>
      <c r="B507" t="s">
        <v>94</v>
      </c>
      <c r="C507" s="1">
        <v>45369</v>
      </c>
      <c r="D507" t="s">
        <v>10</v>
      </c>
      <c r="E507" t="s">
        <v>11</v>
      </c>
      <c r="F507">
        <v>10</v>
      </c>
      <c r="G507">
        <v>346.85</v>
      </c>
      <c r="H507">
        <v>3468.5</v>
      </c>
      <c r="I507" t="s">
        <v>22</v>
      </c>
      <c r="J507" t="str">
        <f t="shared" si="7"/>
        <v>Repeat Customer</v>
      </c>
    </row>
    <row r="508" spans="1:10" x14ac:dyDescent="0.25">
      <c r="A508">
        <v>10274</v>
      </c>
      <c r="B508" t="s">
        <v>94</v>
      </c>
      <c r="C508" s="1">
        <v>45908</v>
      </c>
      <c r="D508" t="s">
        <v>24</v>
      </c>
      <c r="E508" t="s">
        <v>11</v>
      </c>
      <c r="F508">
        <v>9</v>
      </c>
      <c r="G508">
        <v>203.69</v>
      </c>
      <c r="H508">
        <v>1833.21</v>
      </c>
      <c r="I508" t="s">
        <v>12</v>
      </c>
      <c r="J508" t="str">
        <f t="shared" si="7"/>
        <v>Repeat Customer</v>
      </c>
    </row>
    <row r="509" spans="1:10" x14ac:dyDescent="0.25">
      <c r="A509">
        <v>10384</v>
      </c>
      <c r="B509" t="s">
        <v>94</v>
      </c>
      <c r="C509" s="1">
        <v>45752</v>
      </c>
      <c r="D509" t="s">
        <v>24</v>
      </c>
      <c r="E509" t="s">
        <v>25</v>
      </c>
      <c r="F509">
        <v>10</v>
      </c>
      <c r="G509">
        <v>217.63</v>
      </c>
      <c r="H509">
        <v>2176.3000000000002</v>
      </c>
      <c r="I509" t="s">
        <v>14</v>
      </c>
      <c r="J509" t="str">
        <f t="shared" si="7"/>
        <v>Repeat Customer</v>
      </c>
    </row>
    <row r="510" spans="1:10" x14ac:dyDescent="0.25">
      <c r="A510">
        <v>10458</v>
      </c>
      <c r="B510" t="s">
        <v>94</v>
      </c>
      <c r="C510" s="1">
        <v>45702</v>
      </c>
      <c r="D510" t="s">
        <v>24</v>
      </c>
      <c r="E510" t="s">
        <v>19</v>
      </c>
      <c r="F510">
        <v>6</v>
      </c>
      <c r="G510">
        <v>344.71</v>
      </c>
      <c r="H510">
        <v>2068.2600000000002</v>
      </c>
      <c r="I510" t="s">
        <v>12</v>
      </c>
      <c r="J510" t="str">
        <f t="shared" si="7"/>
        <v>Repeat Customer</v>
      </c>
    </row>
    <row r="511" spans="1:10" x14ac:dyDescent="0.25">
      <c r="A511">
        <v>10548</v>
      </c>
      <c r="B511" t="s">
        <v>94</v>
      </c>
      <c r="C511" s="1">
        <v>45915</v>
      </c>
      <c r="D511" t="s">
        <v>18</v>
      </c>
      <c r="E511" t="s">
        <v>25</v>
      </c>
      <c r="F511">
        <v>4</v>
      </c>
      <c r="G511">
        <v>390.09</v>
      </c>
      <c r="H511">
        <v>1560.36</v>
      </c>
      <c r="I511" t="s">
        <v>22</v>
      </c>
      <c r="J511" t="str">
        <f t="shared" si="7"/>
        <v>Repeat Customer</v>
      </c>
    </row>
    <row r="512" spans="1:10" x14ac:dyDescent="0.25">
      <c r="A512">
        <v>11050</v>
      </c>
      <c r="B512" t="s">
        <v>94</v>
      </c>
      <c r="C512" s="1">
        <v>45378</v>
      </c>
      <c r="D512" t="s">
        <v>21</v>
      </c>
      <c r="E512" t="s">
        <v>31</v>
      </c>
      <c r="F512">
        <v>7</v>
      </c>
      <c r="G512">
        <v>186.96</v>
      </c>
      <c r="H512">
        <v>1308.72</v>
      </c>
      <c r="I512" t="s">
        <v>14</v>
      </c>
      <c r="J512" t="str">
        <f t="shared" si="7"/>
        <v>Repeat Customer</v>
      </c>
    </row>
    <row r="513" spans="1:10" x14ac:dyDescent="0.25">
      <c r="A513">
        <v>11052</v>
      </c>
      <c r="B513" t="s">
        <v>94</v>
      </c>
      <c r="C513" s="1">
        <v>45560</v>
      </c>
      <c r="D513" t="s">
        <v>18</v>
      </c>
      <c r="E513" t="s">
        <v>31</v>
      </c>
      <c r="F513">
        <v>3</v>
      </c>
      <c r="G513">
        <v>29.64</v>
      </c>
      <c r="H513">
        <v>88.92</v>
      </c>
      <c r="I513" t="s">
        <v>22</v>
      </c>
      <c r="J513" t="str">
        <f t="shared" si="7"/>
        <v>Repeat Customer</v>
      </c>
    </row>
    <row r="514" spans="1:10" x14ac:dyDescent="0.25">
      <c r="A514">
        <v>11211</v>
      </c>
      <c r="B514" t="s">
        <v>94</v>
      </c>
      <c r="C514" s="1">
        <v>45494</v>
      </c>
      <c r="D514" t="s">
        <v>16</v>
      </c>
      <c r="E514" t="s">
        <v>25</v>
      </c>
      <c r="F514">
        <v>5</v>
      </c>
      <c r="G514">
        <v>91.2</v>
      </c>
      <c r="H514">
        <v>456</v>
      </c>
      <c r="I514" t="s">
        <v>22</v>
      </c>
      <c r="J514" t="str">
        <f t="shared" ref="J514:J577" si="8">IF(COUNTIF($B:$B,B514)&gt;1,"Repeat Customer","New Customer")</f>
        <v>Repeat Customer</v>
      </c>
    </row>
    <row r="515" spans="1:10" x14ac:dyDescent="0.25">
      <c r="A515">
        <v>10218</v>
      </c>
      <c r="B515" t="s">
        <v>169</v>
      </c>
      <c r="C515" s="1">
        <v>45911</v>
      </c>
      <c r="D515" t="s">
        <v>24</v>
      </c>
      <c r="E515" t="s">
        <v>31</v>
      </c>
      <c r="F515">
        <v>3</v>
      </c>
      <c r="G515">
        <v>437.14</v>
      </c>
      <c r="H515">
        <v>1311.42</v>
      </c>
      <c r="I515" t="s">
        <v>22</v>
      </c>
      <c r="J515" t="str">
        <f t="shared" si="8"/>
        <v>Repeat Customer</v>
      </c>
    </row>
    <row r="516" spans="1:10" x14ac:dyDescent="0.25">
      <c r="A516">
        <v>10251</v>
      </c>
      <c r="B516" t="s">
        <v>169</v>
      </c>
      <c r="C516" s="1">
        <v>45434</v>
      </c>
      <c r="D516" t="s">
        <v>24</v>
      </c>
      <c r="E516" t="s">
        <v>19</v>
      </c>
      <c r="F516">
        <v>4</v>
      </c>
      <c r="G516">
        <v>396.23</v>
      </c>
      <c r="H516">
        <v>1584.92</v>
      </c>
      <c r="I516" t="s">
        <v>22</v>
      </c>
      <c r="J516" t="str">
        <f t="shared" si="8"/>
        <v>Repeat Customer</v>
      </c>
    </row>
    <row r="517" spans="1:10" x14ac:dyDescent="0.25">
      <c r="A517">
        <v>10584</v>
      </c>
      <c r="B517" t="s">
        <v>169</v>
      </c>
      <c r="C517" s="1">
        <v>45565</v>
      </c>
      <c r="D517" t="s">
        <v>16</v>
      </c>
      <c r="E517" t="s">
        <v>25</v>
      </c>
      <c r="F517">
        <v>3</v>
      </c>
      <c r="G517">
        <v>491.85</v>
      </c>
      <c r="H517">
        <v>1475.55</v>
      </c>
      <c r="I517" t="s">
        <v>12</v>
      </c>
      <c r="J517" t="str">
        <f t="shared" si="8"/>
        <v>Repeat Customer</v>
      </c>
    </row>
    <row r="518" spans="1:10" x14ac:dyDescent="0.25">
      <c r="A518">
        <v>10918</v>
      </c>
      <c r="B518" t="s">
        <v>169</v>
      </c>
      <c r="C518" s="1">
        <v>45676</v>
      </c>
      <c r="D518" t="s">
        <v>18</v>
      </c>
      <c r="E518" t="s">
        <v>31</v>
      </c>
      <c r="F518">
        <v>4</v>
      </c>
      <c r="G518">
        <v>41.4</v>
      </c>
      <c r="H518">
        <v>165.6</v>
      </c>
      <c r="I518" t="s">
        <v>12</v>
      </c>
      <c r="J518" t="str">
        <f t="shared" si="8"/>
        <v>Repeat Customer</v>
      </c>
    </row>
    <row r="519" spans="1:10" x14ac:dyDescent="0.25">
      <c r="A519">
        <v>11047</v>
      </c>
      <c r="B519" t="s">
        <v>169</v>
      </c>
      <c r="C519" s="1">
        <v>45935</v>
      </c>
      <c r="D519" t="s">
        <v>24</v>
      </c>
      <c r="E519" t="s">
        <v>11</v>
      </c>
      <c r="F519">
        <v>5</v>
      </c>
      <c r="G519">
        <v>160.29</v>
      </c>
      <c r="H519">
        <v>801.45</v>
      </c>
      <c r="I519" t="s">
        <v>14</v>
      </c>
      <c r="J519" t="str">
        <f t="shared" si="8"/>
        <v>Repeat Customer</v>
      </c>
    </row>
    <row r="520" spans="1:10" x14ac:dyDescent="0.25">
      <c r="A520">
        <v>11204</v>
      </c>
      <c r="B520" t="s">
        <v>169</v>
      </c>
      <c r="C520" s="1">
        <v>45947</v>
      </c>
      <c r="D520" t="s">
        <v>16</v>
      </c>
      <c r="E520" t="s">
        <v>25</v>
      </c>
      <c r="F520">
        <v>4</v>
      </c>
      <c r="G520">
        <v>393.71</v>
      </c>
      <c r="H520">
        <v>1574.84</v>
      </c>
      <c r="I520" t="s">
        <v>32</v>
      </c>
      <c r="J520" t="str">
        <f t="shared" si="8"/>
        <v>Repeat Customer</v>
      </c>
    </row>
    <row r="521" spans="1:10" x14ac:dyDescent="0.25">
      <c r="A521">
        <v>10234</v>
      </c>
      <c r="B521" t="s">
        <v>175</v>
      </c>
      <c r="C521" s="1">
        <v>45336</v>
      </c>
      <c r="D521" t="s">
        <v>16</v>
      </c>
      <c r="E521" t="s">
        <v>19</v>
      </c>
      <c r="F521">
        <v>4</v>
      </c>
      <c r="G521">
        <v>443.47</v>
      </c>
      <c r="H521">
        <v>1773.88</v>
      </c>
      <c r="I521" t="s">
        <v>32</v>
      </c>
      <c r="J521" t="str">
        <f t="shared" si="8"/>
        <v>Repeat Customer</v>
      </c>
    </row>
    <row r="522" spans="1:10" x14ac:dyDescent="0.25">
      <c r="A522">
        <v>10588</v>
      </c>
      <c r="B522" t="s">
        <v>175</v>
      </c>
      <c r="C522" s="1">
        <v>45927</v>
      </c>
      <c r="D522" t="s">
        <v>16</v>
      </c>
      <c r="E522" t="s">
        <v>25</v>
      </c>
      <c r="F522">
        <v>8</v>
      </c>
      <c r="G522">
        <v>415.84</v>
      </c>
      <c r="H522">
        <v>3326.72</v>
      </c>
      <c r="I522" t="s">
        <v>14</v>
      </c>
      <c r="J522" t="str">
        <f t="shared" si="8"/>
        <v>Repeat Customer</v>
      </c>
    </row>
    <row r="523" spans="1:10" x14ac:dyDescent="0.25">
      <c r="A523">
        <v>10821</v>
      </c>
      <c r="B523" t="s">
        <v>175</v>
      </c>
      <c r="C523" s="1">
        <v>45386</v>
      </c>
      <c r="D523" t="s">
        <v>21</v>
      </c>
      <c r="E523" t="s">
        <v>25</v>
      </c>
      <c r="F523">
        <v>8</v>
      </c>
      <c r="G523">
        <v>255.47</v>
      </c>
      <c r="H523">
        <v>2043.76</v>
      </c>
      <c r="I523" t="s">
        <v>14</v>
      </c>
      <c r="J523" t="str">
        <f t="shared" si="8"/>
        <v>Repeat Customer</v>
      </c>
    </row>
    <row r="524" spans="1:10" x14ac:dyDescent="0.25">
      <c r="A524">
        <v>11019</v>
      </c>
      <c r="B524" t="s">
        <v>175</v>
      </c>
      <c r="C524" s="1">
        <v>45800</v>
      </c>
      <c r="D524" t="s">
        <v>18</v>
      </c>
      <c r="E524" t="s">
        <v>25</v>
      </c>
      <c r="F524">
        <v>2</v>
      </c>
      <c r="G524">
        <v>420.99</v>
      </c>
      <c r="H524">
        <v>841.98</v>
      </c>
      <c r="I524" t="s">
        <v>22</v>
      </c>
      <c r="J524" t="str">
        <f t="shared" si="8"/>
        <v>Repeat Customer</v>
      </c>
    </row>
    <row r="525" spans="1:10" x14ac:dyDescent="0.25">
      <c r="A525">
        <v>10047</v>
      </c>
      <c r="B525" t="s">
        <v>61</v>
      </c>
      <c r="C525" s="1">
        <v>45995</v>
      </c>
      <c r="D525" t="s">
        <v>16</v>
      </c>
      <c r="E525" t="s">
        <v>11</v>
      </c>
      <c r="F525">
        <v>5</v>
      </c>
      <c r="G525">
        <v>255.18</v>
      </c>
      <c r="H525">
        <v>1275.9000000000001</v>
      </c>
      <c r="I525" t="s">
        <v>12</v>
      </c>
      <c r="J525" t="str">
        <f t="shared" si="8"/>
        <v>Repeat Customer</v>
      </c>
    </row>
    <row r="526" spans="1:10" x14ac:dyDescent="0.25">
      <c r="A526">
        <v>10762</v>
      </c>
      <c r="B526" t="s">
        <v>61</v>
      </c>
      <c r="C526" s="1">
        <v>45851</v>
      </c>
      <c r="D526" t="s">
        <v>18</v>
      </c>
      <c r="E526" t="s">
        <v>31</v>
      </c>
      <c r="F526">
        <v>9</v>
      </c>
      <c r="G526">
        <v>376.43</v>
      </c>
      <c r="H526">
        <v>3387.87</v>
      </c>
      <c r="I526" t="s">
        <v>14</v>
      </c>
      <c r="J526" t="str">
        <f t="shared" si="8"/>
        <v>Repeat Customer</v>
      </c>
    </row>
    <row r="527" spans="1:10" x14ac:dyDescent="0.25">
      <c r="A527">
        <v>10943</v>
      </c>
      <c r="B527" t="s">
        <v>61</v>
      </c>
      <c r="C527" s="1">
        <v>45825</v>
      </c>
      <c r="D527" t="s">
        <v>18</v>
      </c>
      <c r="E527" t="s">
        <v>25</v>
      </c>
      <c r="F527">
        <v>1</v>
      </c>
      <c r="G527">
        <v>150.12</v>
      </c>
      <c r="H527">
        <v>150.12</v>
      </c>
      <c r="I527" t="s">
        <v>32</v>
      </c>
      <c r="J527" t="str">
        <f t="shared" si="8"/>
        <v>Repeat Customer</v>
      </c>
    </row>
    <row r="528" spans="1:10" x14ac:dyDescent="0.25">
      <c r="A528">
        <v>11055</v>
      </c>
      <c r="B528" t="s">
        <v>61</v>
      </c>
      <c r="C528" s="1">
        <v>45487</v>
      </c>
      <c r="D528" t="s">
        <v>21</v>
      </c>
      <c r="E528" t="s">
        <v>31</v>
      </c>
      <c r="F528">
        <v>5</v>
      </c>
      <c r="G528">
        <v>147.54</v>
      </c>
      <c r="H528">
        <v>737.7</v>
      </c>
      <c r="I528" t="s">
        <v>14</v>
      </c>
      <c r="J528" t="str">
        <f t="shared" si="8"/>
        <v>Repeat Customer</v>
      </c>
    </row>
    <row r="529" spans="1:10" x14ac:dyDescent="0.25">
      <c r="A529">
        <v>11239</v>
      </c>
      <c r="B529" t="s">
        <v>61</v>
      </c>
      <c r="C529" s="1">
        <v>45692</v>
      </c>
      <c r="D529" t="s">
        <v>10</v>
      </c>
      <c r="E529" t="s">
        <v>31</v>
      </c>
      <c r="F529">
        <v>2</v>
      </c>
      <c r="G529">
        <v>269.57</v>
      </c>
      <c r="H529">
        <v>539.14</v>
      </c>
      <c r="I529" t="s">
        <v>12</v>
      </c>
      <c r="J529" t="str">
        <f t="shared" si="8"/>
        <v>Repeat Customer</v>
      </c>
    </row>
    <row r="530" spans="1:10" x14ac:dyDescent="0.25">
      <c r="A530">
        <v>10400</v>
      </c>
      <c r="B530" t="s">
        <v>227</v>
      </c>
      <c r="C530" s="1">
        <v>45352</v>
      </c>
      <c r="D530" t="s">
        <v>16</v>
      </c>
      <c r="E530" t="s">
        <v>25</v>
      </c>
      <c r="F530">
        <v>10</v>
      </c>
      <c r="G530">
        <v>178.65</v>
      </c>
      <c r="H530">
        <v>1786.5</v>
      </c>
      <c r="I530" t="s">
        <v>22</v>
      </c>
      <c r="J530" t="str">
        <f t="shared" si="8"/>
        <v>Repeat Customer</v>
      </c>
    </row>
    <row r="531" spans="1:10" x14ac:dyDescent="0.25">
      <c r="A531">
        <v>10828</v>
      </c>
      <c r="B531" t="s">
        <v>227</v>
      </c>
      <c r="C531" s="1">
        <v>45847</v>
      </c>
      <c r="D531" t="s">
        <v>16</v>
      </c>
      <c r="E531" t="s">
        <v>25</v>
      </c>
      <c r="F531">
        <v>6</v>
      </c>
      <c r="G531">
        <v>276.94</v>
      </c>
      <c r="H531">
        <v>1661.64</v>
      </c>
      <c r="I531" t="s">
        <v>22</v>
      </c>
      <c r="J531" t="str">
        <f t="shared" si="8"/>
        <v>Repeat Customer</v>
      </c>
    </row>
    <row r="532" spans="1:10" x14ac:dyDescent="0.25">
      <c r="A532">
        <v>10846</v>
      </c>
      <c r="B532" t="s">
        <v>227</v>
      </c>
      <c r="C532" s="1">
        <v>45989</v>
      </c>
      <c r="D532" t="s">
        <v>16</v>
      </c>
      <c r="E532" t="s">
        <v>31</v>
      </c>
      <c r="F532">
        <v>6</v>
      </c>
      <c r="G532">
        <v>153.37</v>
      </c>
      <c r="H532">
        <v>920.22</v>
      </c>
      <c r="I532" t="s">
        <v>22</v>
      </c>
      <c r="J532" t="str">
        <f t="shared" si="8"/>
        <v>Repeat Customer</v>
      </c>
    </row>
    <row r="533" spans="1:10" x14ac:dyDescent="0.25">
      <c r="A533">
        <v>10453</v>
      </c>
      <c r="B533" t="s">
        <v>242</v>
      </c>
      <c r="C533" s="1">
        <v>45754</v>
      </c>
      <c r="D533" t="s">
        <v>24</v>
      </c>
      <c r="E533" t="s">
        <v>11</v>
      </c>
      <c r="F533">
        <v>5</v>
      </c>
      <c r="G533">
        <v>234.36</v>
      </c>
      <c r="H533">
        <v>1171.8</v>
      </c>
      <c r="I533" t="s">
        <v>14</v>
      </c>
      <c r="J533" t="str">
        <f t="shared" si="8"/>
        <v>Repeat Customer</v>
      </c>
    </row>
    <row r="534" spans="1:10" x14ac:dyDescent="0.25">
      <c r="A534">
        <v>11108</v>
      </c>
      <c r="B534" t="s">
        <v>242</v>
      </c>
      <c r="C534" s="1">
        <v>45581</v>
      </c>
      <c r="D534" t="s">
        <v>10</v>
      </c>
      <c r="E534" t="s">
        <v>25</v>
      </c>
      <c r="F534">
        <v>2</v>
      </c>
      <c r="G534">
        <v>335.19</v>
      </c>
      <c r="H534">
        <v>670.38</v>
      </c>
      <c r="I534" t="s">
        <v>14</v>
      </c>
      <c r="J534" t="str">
        <f t="shared" si="8"/>
        <v>Repeat Customer</v>
      </c>
    </row>
    <row r="535" spans="1:10" x14ac:dyDescent="0.25">
      <c r="A535">
        <v>10612</v>
      </c>
      <c r="B535" t="s">
        <v>276</v>
      </c>
      <c r="C535" s="1">
        <v>45644</v>
      </c>
      <c r="D535" t="s">
        <v>18</v>
      </c>
      <c r="E535" t="s">
        <v>25</v>
      </c>
      <c r="F535">
        <v>4</v>
      </c>
      <c r="G535">
        <v>209.26</v>
      </c>
      <c r="H535">
        <v>837.04</v>
      </c>
      <c r="I535" t="s">
        <v>14</v>
      </c>
      <c r="J535" t="str">
        <f t="shared" si="8"/>
        <v>Repeat Customer</v>
      </c>
    </row>
    <row r="536" spans="1:10" x14ac:dyDescent="0.25">
      <c r="A536">
        <v>10694</v>
      </c>
      <c r="B536" t="s">
        <v>276</v>
      </c>
      <c r="C536" s="1">
        <v>45462</v>
      </c>
      <c r="D536" t="s">
        <v>24</v>
      </c>
      <c r="E536" t="s">
        <v>31</v>
      </c>
      <c r="F536">
        <v>7</v>
      </c>
      <c r="G536">
        <v>55.99</v>
      </c>
      <c r="H536">
        <v>391.93</v>
      </c>
      <c r="I536" t="s">
        <v>12</v>
      </c>
      <c r="J536" t="str">
        <f t="shared" si="8"/>
        <v>Repeat Customer</v>
      </c>
    </row>
    <row r="537" spans="1:10" x14ac:dyDescent="0.25">
      <c r="A537">
        <v>10826</v>
      </c>
      <c r="B537" t="s">
        <v>276</v>
      </c>
      <c r="C537" s="1">
        <v>45620</v>
      </c>
      <c r="D537" t="s">
        <v>16</v>
      </c>
      <c r="E537" t="s">
        <v>19</v>
      </c>
      <c r="F537">
        <v>4</v>
      </c>
      <c r="G537">
        <v>100.31</v>
      </c>
      <c r="H537">
        <v>401.24</v>
      </c>
      <c r="I537" t="s">
        <v>32</v>
      </c>
      <c r="J537" t="str">
        <f t="shared" si="8"/>
        <v>Repeat Customer</v>
      </c>
    </row>
    <row r="538" spans="1:10" x14ac:dyDescent="0.25">
      <c r="A538">
        <v>11022</v>
      </c>
      <c r="B538" t="s">
        <v>276</v>
      </c>
      <c r="C538" s="1">
        <v>45647</v>
      </c>
      <c r="D538" t="s">
        <v>16</v>
      </c>
      <c r="E538" t="s">
        <v>19</v>
      </c>
      <c r="F538">
        <v>2</v>
      </c>
      <c r="G538">
        <v>327.51</v>
      </c>
      <c r="H538">
        <v>655.02</v>
      </c>
      <c r="I538" t="s">
        <v>32</v>
      </c>
      <c r="J538" t="str">
        <f t="shared" si="8"/>
        <v>Repeat Customer</v>
      </c>
    </row>
    <row r="539" spans="1:10" x14ac:dyDescent="0.25">
      <c r="A539">
        <v>11171</v>
      </c>
      <c r="B539" t="s">
        <v>276</v>
      </c>
      <c r="C539" s="1">
        <v>45917</v>
      </c>
      <c r="D539" t="s">
        <v>16</v>
      </c>
      <c r="E539" t="s">
        <v>19</v>
      </c>
      <c r="F539">
        <v>9</v>
      </c>
      <c r="G539">
        <v>478.92</v>
      </c>
      <c r="H539">
        <v>4310.28</v>
      </c>
      <c r="I539" t="s">
        <v>22</v>
      </c>
      <c r="J539" t="str">
        <f t="shared" si="8"/>
        <v>Repeat Customer</v>
      </c>
    </row>
    <row r="540" spans="1:10" x14ac:dyDescent="0.25">
      <c r="A540">
        <v>11300</v>
      </c>
      <c r="B540" t="s">
        <v>276</v>
      </c>
      <c r="C540" s="1">
        <v>45699</v>
      </c>
      <c r="D540" t="s">
        <v>10</v>
      </c>
      <c r="E540" t="s">
        <v>31</v>
      </c>
      <c r="F540">
        <v>5</v>
      </c>
      <c r="G540">
        <v>8.18</v>
      </c>
      <c r="H540">
        <v>40.9</v>
      </c>
      <c r="I540" t="s">
        <v>12</v>
      </c>
      <c r="J540" t="str">
        <f t="shared" si="8"/>
        <v>Repeat Customer</v>
      </c>
    </row>
    <row r="541" spans="1:10" x14ac:dyDescent="0.25">
      <c r="A541">
        <v>11337</v>
      </c>
      <c r="B541" t="s">
        <v>276</v>
      </c>
      <c r="C541" s="1">
        <v>45515</v>
      </c>
      <c r="D541" t="s">
        <v>24</v>
      </c>
      <c r="E541" t="s">
        <v>19</v>
      </c>
      <c r="F541">
        <v>4</v>
      </c>
      <c r="G541">
        <v>368.98</v>
      </c>
      <c r="H541">
        <v>1475.92</v>
      </c>
      <c r="I541" t="s">
        <v>12</v>
      </c>
      <c r="J541" t="str">
        <f t="shared" si="8"/>
        <v>Repeat Customer</v>
      </c>
    </row>
    <row r="542" spans="1:10" x14ac:dyDescent="0.25">
      <c r="A542">
        <v>11405</v>
      </c>
      <c r="B542" t="s">
        <v>276</v>
      </c>
      <c r="C542" s="1">
        <v>45890</v>
      </c>
      <c r="D542" t="s">
        <v>24</v>
      </c>
      <c r="E542" t="s">
        <v>25</v>
      </c>
      <c r="F542">
        <v>7</v>
      </c>
      <c r="G542">
        <v>48.18</v>
      </c>
      <c r="H542">
        <v>337.26</v>
      </c>
      <c r="I542" t="s">
        <v>12</v>
      </c>
      <c r="J542" t="str">
        <f t="shared" si="8"/>
        <v>Repeat Customer</v>
      </c>
    </row>
    <row r="543" spans="1:10" x14ac:dyDescent="0.25">
      <c r="A543">
        <v>10012</v>
      </c>
      <c r="B543" t="s">
        <v>30</v>
      </c>
      <c r="C543" s="1">
        <v>45872</v>
      </c>
      <c r="D543" t="s">
        <v>21</v>
      </c>
      <c r="E543" t="s">
        <v>31</v>
      </c>
      <c r="F543">
        <v>6</v>
      </c>
      <c r="G543">
        <v>110.25</v>
      </c>
      <c r="H543">
        <v>661.5</v>
      </c>
      <c r="I543" t="s">
        <v>32</v>
      </c>
      <c r="J543" t="str">
        <f t="shared" si="8"/>
        <v>Repeat Customer</v>
      </c>
    </row>
    <row r="544" spans="1:10" x14ac:dyDescent="0.25">
      <c r="A544">
        <v>10023</v>
      </c>
      <c r="B544" t="s">
        <v>30</v>
      </c>
      <c r="C544" s="1">
        <v>45844</v>
      </c>
      <c r="D544" t="s">
        <v>21</v>
      </c>
      <c r="E544" t="s">
        <v>19</v>
      </c>
      <c r="F544">
        <v>4</v>
      </c>
      <c r="G544">
        <v>357.91</v>
      </c>
      <c r="H544">
        <v>1431.64</v>
      </c>
      <c r="I544" t="s">
        <v>32</v>
      </c>
      <c r="J544" t="str">
        <f t="shared" si="8"/>
        <v>Repeat Customer</v>
      </c>
    </row>
    <row r="545" spans="1:10" x14ac:dyDescent="0.25">
      <c r="A545">
        <v>10350</v>
      </c>
      <c r="B545" t="s">
        <v>30</v>
      </c>
      <c r="C545" s="1">
        <v>46000</v>
      </c>
      <c r="D545" t="s">
        <v>24</v>
      </c>
      <c r="E545" t="s">
        <v>11</v>
      </c>
      <c r="F545">
        <v>10</v>
      </c>
      <c r="G545">
        <v>240.37</v>
      </c>
      <c r="H545">
        <v>2403.6999999999998</v>
      </c>
      <c r="I545" t="s">
        <v>22</v>
      </c>
      <c r="J545" t="str">
        <f t="shared" si="8"/>
        <v>Repeat Customer</v>
      </c>
    </row>
    <row r="546" spans="1:10" x14ac:dyDescent="0.25">
      <c r="A546">
        <v>10897</v>
      </c>
      <c r="B546" t="s">
        <v>30</v>
      </c>
      <c r="C546" s="1">
        <v>45961</v>
      </c>
      <c r="D546" t="s">
        <v>18</v>
      </c>
      <c r="E546" t="s">
        <v>25</v>
      </c>
      <c r="F546">
        <v>9</v>
      </c>
      <c r="G546">
        <v>231.89</v>
      </c>
      <c r="H546">
        <v>2087.0100000000002</v>
      </c>
      <c r="I546" t="s">
        <v>14</v>
      </c>
      <c r="J546" t="str">
        <f t="shared" si="8"/>
        <v>Repeat Customer</v>
      </c>
    </row>
    <row r="547" spans="1:10" x14ac:dyDescent="0.25">
      <c r="A547">
        <v>11092</v>
      </c>
      <c r="B547" t="s">
        <v>30</v>
      </c>
      <c r="C547" s="1">
        <v>45481</v>
      </c>
      <c r="D547" t="s">
        <v>18</v>
      </c>
      <c r="E547" t="s">
        <v>19</v>
      </c>
      <c r="F547">
        <v>2</v>
      </c>
      <c r="G547">
        <v>374.78</v>
      </c>
      <c r="H547">
        <v>749.56</v>
      </c>
      <c r="I547" t="s">
        <v>12</v>
      </c>
      <c r="J547" t="str">
        <f t="shared" si="8"/>
        <v>Repeat Customer</v>
      </c>
    </row>
    <row r="548" spans="1:10" x14ac:dyDescent="0.25">
      <c r="A548">
        <v>11169</v>
      </c>
      <c r="B548" t="s">
        <v>30</v>
      </c>
      <c r="C548" s="1">
        <v>45891</v>
      </c>
      <c r="D548" t="s">
        <v>10</v>
      </c>
      <c r="E548" t="s">
        <v>11</v>
      </c>
      <c r="F548">
        <v>9</v>
      </c>
      <c r="G548">
        <v>144.25</v>
      </c>
      <c r="H548">
        <v>1298.25</v>
      </c>
      <c r="I548" t="s">
        <v>22</v>
      </c>
      <c r="J548" t="str">
        <f t="shared" si="8"/>
        <v>Repeat Customer</v>
      </c>
    </row>
    <row r="549" spans="1:10" x14ac:dyDescent="0.25">
      <c r="A549">
        <v>11457</v>
      </c>
      <c r="B549" t="s">
        <v>30</v>
      </c>
      <c r="C549" s="1">
        <v>45702</v>
      </c>
      <c r="D549" t="s">
        <v>21</v>
      </c>
      <c r="E549" t="s">
        <v>25</v>
      </c>
      <c r="F549">
        <v>10</v>
      </c>
      <c r="G549">
        <v>32.72</v>
      </c>
      <c r="H549">
        <v>327.2</v>
      </c>
      <c r="I549" t="s">
        <v>12</v>
      </c>
      <c r="J549" t="str">
        <f t="shared" si="8"/>
        <v>Repeat Customer</v>
      </c>
    </row>
    <row r="550" spans="1:10" x14ac:dyDescent="0.25">
      <c r="A550">
        <v>10027</v>
      </c>
      <c r="B550" t="s">
        <v>46</v>
      </c>
      <c r="C550" s="1">
        <v>45844</v>
      </c>
      <c r="D550" t="s">
        <v>18</v>
      </c>
      <c r="E550" t="s">
        <v>31</v>
      </c>
      <c r="F550">
        <v>3</v>
      </c>
      <c r="G550">
        <v>363.06</v>
      </c>
      <c r="H550">
        <v>1089.18</v>
      </c>
      <c r="I550" t="s">
        <v>14</v>
      </c>
      <c r="J550" t="str">
        <f t="shared" si="8"/>
        <v>Repeat Customer</v>
      </c>
    </row>
    <row r="551" spans="1:10" x14ac:dyDescent="0.25">
      <c r="A551">
        <v>10076</v>
      </c>
      <c r="B551" t="s">
        <v>46</v>
      </c>
      <c r="C551" s="1">
        <v>45357</v>
      </c>
      <c r="D551" t="s">
        <v>18</v>
      </c>
      <c r="E551" t="s">
        <v>31</v>
      </c>
      <c r="F551">
        <v>7</v>
      </c>
      <c r="G551">
        <v>206.76</v>
      </c>
      <c r="H551">
        <v>1447.32</v>
      </c>
      <c r="I551" t="s">
        <v>32</v>
      </c>
      <c r="J551" t="str">
        <f t="shared" si="8"/>
        <v>Repeat Customer</v>
      </c>
    </row>
    <row r="552" spans="1:10" x14ac:dyDescent="0.25">
      <c r="A552">
        <v>10418</v>
      </c>
      <c r="B552" t="s">
        <v>46</v>
      </c>
      <c r="C552" s="1">
        <v>45935</v>
      </c>
      <c r="D552" t="s">
        <v>18</v>
      </c>
      <c r="E552" t="s">
        <v>31</v>
      </c>
      <c r="F552">
        <v>3</v>
      </c>
      <c r="G552">
        <v>460.35</v>
      </c>
      <c r="H552">
        <v>1381.05</v>
      </c>
      <c r="I552" t="s">
        <v>14</v>
      </c>
      <c r="J552" t="str">
        <f t="shared" si="8"/>
        <v>Repeat Customer</v>
      </c>
    </row>
    <row r="553" spans="1:10" x14ac:dyDescent="0.25">
      <c r="A553">
        <v>10462</v>
      </c>
      <c r="B553" t="s">
        <v>46</v>
      </c>
      <c r="C553" s="1">
        <v>45483</v>
      </c>
      <c r="D553" t="s">
        <v>10</v>
      </c>
      <c r="E553" t="s">
        <v>11</v>
      </c>
      <c r="F553">
        <v>5</v>
      </c>
      <c r="G553">
        <v>143.53</v>
      </c>
      <c r="H553">
        <v>717.65</v>
      </c>
      <c r="I553" t="s">
        <v>14</v>
      </c>
      <c r="J553" t="str">
        <f t="shared" si="8"/>
        <v>Repeat Customer</v>
      </c>
    </row>
    <row r="554" spans="1:10" x14ac:dyDescent="0.25">
      <c r="A554">
        <v>10903</v>
      </c>
      <c r="B554" t="s">
        <v>46</v>
      </c>
      <c r="C554" s="1">
        <v>45338</v>
      </c>
      <c r="D554" t="s">
        <v>24</v>
      </c>
      <c r="E554" t="s">
        <v>11</v>
      </c>
      <c r="F554">
        <v>10</v>
      </c>
      <c r="G554">
        <v>90.86</v>
      </c>
      <c r="H554">
        <v>908.6</v>
      </c>
      <c r="I554" t="s">
        <v>22</v>
      </c>
      <c r="J554" t="str">
        <f t="shared" si="8"/>
        <v>Repeat Customer</v>
      </c>
    </row>
    <row r="555" spans="1:10" x14ac:dyDescent="0.25">
      <c r="A555">
        <v>10992</v>
      </c>
      <c r="B555" t="s">
        <v>46</v>
      </c>
      <c r="C555" s="1">
        <v>45818</v>
      </c>
      <c r="D555" t="s">
        <v>16</v>
      </c>
      <c r="E555" t="s">
        <v>11</v>
      </c>
      <c r="F555">
        <v>4</v>
      </c>
      <c r="G555">
        <v>206.75</v>
      </c>
      <c r="H555">
        <v>827</v>
      </c>
      <c r="I555" t="s">
        <v>32</v>
      </c>
      <c r="J555" t="str">
        <f t="shared" si="8"/>
        <v>Repeat Customer</v>
      </c>
    </row>
    <row r="556" spans="1:10" x14ac:dyDescent="0.25">
      <c r="A556">
        <v>11129</v>
      </c>
      <c r="B556" t="s">
        <v>46</v>
      </c>
      <c r="C556" s="1">
        <v>45387</v>
      </c>
      <c r="D556" t="s">
        <v>18</v>
      </c>
      <c r="E556" t="s">
        <v>19</v>
      </c>
      <c r="F556">
        <v>9</v>
      </c>
      <c r="G556">
        <v>278.13</v>
      </c>
      <c r="H556">
        <v>2503.17</v>
      </c>
      <c r="I556" t="s">
        <v>14</v>
      </c>
      <c r="J556" t="str">
        <f t="shared" si="8"/>
        <v>Repeat Customer</v>
      </c>
    </row>
    <row r="557" spans="1:10" x14ac:dyDescent="0.25">
      <c r="A557">
        <v>11484</v>
      </c>
      <c r="B557" t="s">
        <v>46</v>
      </c>
      <c r="C557" s="1">
        <v>45619</v>
      </c>
      <c r="D557" t="s">
        <v>18</v>
      </c>
      <c r="E557" t="s">
        <v>31</v>
      </c>
      <c r="F557">
        <v>10</v>
      </c>
      <c r="G557">
        <v>20.51</v>
      </c>
      <c r="H557">
        <v>205.1</v>
      </c>
      <c r="I557" t="s">
        <v>12</v>
      </c>
      <c r="J557" t="str">
        <f t="shared" si="8"/>
        <v>Repeat Customer</v>
      </c>
    </row>
    <row r="558" spans="1:10" x14ac:dyDescent="0.25">
      <c r="A558">
        <v>10166</v>
      </c>
      <c r="B558" t="s">
        <v>144</v>
      </c>
      <c r="C558" s="1">
        <v>45530</v>
      </c>
      <c r="D558" t="s">
        <v>18</v>
      </c>
      <c r="E558" t="s">
        <v>11</v>
      </c>
      <c r="F558">
        <v>6</v>
      </c>
      <c r="G558">
        <v>388.31</v>
      </c>
      <c r="H558">
        <v>2329.86</v>
      </c>
      <c r="I558" t="s">
        <v>22</v>
      </c>
      <c r="J558" t="str">
        <f t="shared" si="8"/>
        <v>Repeat Customer</v>
      </c>
    </row>
    <row r="559" spans="1:10" x14ac:dyDescent="0.25">
      <c r="A559">
        <v>10269</v>
      </c>
      <c r="B559" t="s">
        <v>144</v>
      </c>
      <c r="C559" s="1">
        <v>45889</v>
      </c>
      <c r="D559" t="s">
        <v>16</v>
      </c>
      <c r="E559" t="s">
        <v>31</v>
      </c>
      <c r="F559">
        <v>6</v>
      </c>
      <c r="G559">
        <v>29.09</v>
      </c>
      <c r="H559">
        <v>174.54</v>
      </c>
      <c r="I559" t="s">
        <v>32</v>
      </c>
      <c r="J559" t="str">
        <f t="shared" si="8"/>
        <v>Repeat Customer</v>
      </c>
    </row>
    <row r="560" spans="1:10" x14ac:dyDescent="0.25">
      <c r="A560">
        <v>10639</v>
      </c>
      <c r="B560" t="s">
        <v>144</v>
      </c>
      <c r="C560" s="1">
        <v>45751</v>
      </c>
      <c r="D560" t="s">
        <v>21</v>
      </c>
      <c r="E560" t="s">
        <v>25</v>
      </c>
      <c r="F560">
        <v>10</v>
      </c>
      <c r="G560">
        <v>496.42</v>
      </c>
      <c r="H560">
        <v>4964.2</v>
      </c>
      <c r="I560" t="s">
        <v>14</v>
      </c>
      <c r="J560" t="str">
        <f t="shared" si="8"/>
        <v>Repeat Customer</v>
      </c>
    </row>
    <row r="561" spans="1:10" x14ac:dyDescent="0.25">
      <c r="A561">
        <v>11330</v>
      </c>
      <c r="B561" t="s">
        <v>144</v>
      </c>
      <c r="C561" s="1">
        <v>45798</v>
      </c>
      <c r="D561" t="s">
        <v>21</v>
      </c>
      <c r="E561" t="s">
        <v>11</v>
      </c>
      <c r="F561">
        <v>5</v>
      </c>
      <c r="G561">
        <v>353.55</v>
      </c>
      <c r="H561">
        <v>1767.75</v>
      </c>
      <c r="I561" t="s">
        <v>22</v>
      </c>
      <c r="J561" t="str">
        <f t="shared" si="8"/>
        <v>Repeat Customer</v>
      </c>
    </row>
    <row r="562" spans="1:10" x14ac:dyDescent="0.25">
      <c r="A562">
        <v>11354</v>
      </c>
      <c r="B562" t="s">
        <v>144</v>
      </c>
      <c r="C562" s="1">
        <v>45429</v>
      </c>
      <c r="D562" t="s">
        <v>18</v>
      </c>
      <c r="E562" t="s">
        <v>19</v>
      </c>
      <c r="F562">
        <v>10</v>
      </c>
      <c r="G562">
        <v>278.27</v>
      </c>
      <c r="H562">
        <v>2782.7</v>
      </c>
      <c r="I562" t="s">
        <v>22</v>
      </c>
      <c r="J562" t="str">
        <f t="shared" si="8"/>
        <v>Repeat Customer</v>
      </c>
    </row>
    <row r="563" spans="1:10" x14ac:dyDescent="0.25">
      <c r="A563">
        <v>11495</v>
      </c>
      <c r="B563" t="s">
        <v>144</v>
      </c>
      <c r="C563" s="1">
        <v>45648</v>
      </c>
      <c r="D563" t="s">
        <v>18</v>
      </c>
      <c r="E563" t="s">
        <v>11</v>
      </c>
      <c r="F563">
        <v>4</v>
      </c>
      <c r="G563">
        <v>476.43</v>
      </c>
      <c r="H563">
        <v>1905.72</v>
      </c>
      <c r="I563" t="s">
        <v>22</v>
      </c>
      <c r="J563" t="str">
        <f t="shared" si="8"/>
        <v>Repeat Customer</v>
      </c>
    </row>
    <row r="564" spans="1:10" x14ac:dyDescent="0.25">
      <c r="A564">
        <v>10162</v>
      </c>
      <c r="B564" t="s">
        <v>142</v>
      </c>
      <c r="C564" s="1">
        <v>45746</v>
      </c>
      <c r="D564" t="s">
        <v>16</v>
      </c>
      <c r="E564" t="s">
        <v>11</v>
      </c>
      <c r="F564">
        <v>8</v>
      </c>
      <c r="G564">
        <v>475.52</v>
      </c>
      <c r="H564">
        <v>3804.16</v>
      </c>
      <c r="I564" t="s">
        <v>22</v>
      </c>
      <c r="J564" t="str">
        <f t="shared" si="8"/>
        <v>Repeat Customer</v>
      </c>
    </row>
    <row r="565" spans="1:10" x14ac:dyDescent="0.25">
      <c r="A565">
        <v>10596</v>
      </c>
      <c r="B565" t="s">
        <v>142</v>
      </c>
      <c r="C565" s="1">
        <v>45925</v>
      </c>
      <c r="D565" t="s">
        <v>18</v>
      </c>
      <c r="E565" t="s">
        <v>11</v>
      </c>
      <c r="F565">
        <v>9</v>
      </c>
      <c r="G565">
        <v>240.05</v>
      </c>
      <c r="H565">
        <v>2160.4499999999998</v>
      </c>
      <c r="I565" t="s">
        <v>12</v>
      </c>
      <c r="J565" t="str">
        <f t="shared" si="8"/>
        <v>Repeat Customer</v>
      </c>
    </row>
    <row r="566" spans="1:10" x14ac:dyDescent="0.25">
      <c r="A566">
        <v>10879</v>
      </c>
      <c r="B566" t="s">
        <v>142</v>
      </c>
      <c r="C566" s="1">
        <v>45905</v>
      </c>
      <c r="D566" t="s">
        <v>24</v>
      </c>
      <c r="E566" t="s">
        <v>11</v>
      </c>
      <c r="F566">
        <v>2</v>
      </c>
      <c r="G566">
        <v>355.5</v>
      </c>
      <c r="H566">
        <v>711</v>
      </c>
      <c r="I566" t="s">
        <v>14</v>
      </c>
      <c r="J566" t="str">
        <f t="shared" si="8"/>
        <v>Repeat Customer</v>
      </c>
    </row>
    <row r="567" spans="1:10" x14ac:dyDescent="0.25">
      <c r="A567">
        <v>11253</v>
      </c>
      <c r="B567" t="s">
        <v>142</v>
      </c>
      <c r="C567" s="1">
        <v>45797</v>
      </c>
      <c r="D567" t="s">
        <v>18</v>
      </c>
      <c r="E567" t="s">
        <v>11</v>
      </c>
      <c r="F567">
        <v>7</v>
      </c>
      <c r="G567">
        <v>496.23</v>
      </c>
      <c r="H567">
        <v>3473.61</v>
      </c>
      <c r="I567" t="s">
        <v>22</v>
      </c>
      <c r="J567" t="str">
        <f t="shared" si="8"/>
        <v>Repeat Customer</v>
      </c>
    </row>
    <row r="568" spans="1:10" x14ac:dyDescent="0.25">
      <c r="A568">
        <v>11271</v>
      </c>
      <c r="B568" t="s">
        <v>142</v>
      </c>
      <c r="C568" s="1">
        <v>45712</v>
      </c>
      <c r="D568" t="s">
        <v>21</v>
      </c>
      <c r="E568" t="s">
        <v>11</v>
      </c>
      <c r="F568">
        <v>5</v>
      </c>
      <c r="G568">
        <v>384.93</v>
      </c>
      <c r="H568">
        <v>1924.65</v>
      </c>
      <c r="I568" t="s">
        <v>14</v>
      </c>
      <c r="J568" t="str">
        <f t="shared" si="8"/>
        <v>Repeat Customer</v>
      </c>
    </row>
    <row r="569" spans="1:10" x14ac:dyDescent="0.25">
      <c r="A569">
        <v>10706</v>
      </c>
      <c r="B569" t="s">
        <v>289</v>
      </c>
      <c r="C569" s="1">
        <v>45561</v>
      </c>
      <c r="D569" t="s">
        <v>10</v>
      </c>
      <c r="E569" t="s">
        <v>19</v>
      </c>
      <c r="F569">
        <v>2</v>
      </c>
      <c r="G569">
        <v>214.01</v>
      </c>
      <c r="H569">
        <v>428.02</v>
      </c>
      <c r="I569" t="s">
        <v>22</v>
      </c>
      <c r="J569" t="str">
        <f t="shared" si="8"/>
        <v>Repeat Customer</v>
      </c>
    </row>
    <row r="570" spans="1:10" x14ac:dyDescent="0.25">
      <c r="A570">
        <v>11222</v>
      </c>
      <c r="B570" t="s">
        <v>289</v>
      </c>
      <c r="C570" s="1">
        <v>45499</v>
      </c>
      <c r="D570" t="s">
        <v>21</v>
      </c>
      <c r="E570" t="s">
        <v>25</v>
      </c>
      <c r="F570">
        <v>8</v>
      </c>
      <c r="G570">
        <v>432.27</v>
      </c>
      <c r="H570">
        <v>3458.16</v>
      </c>
      <c r="I570" t="s">
        <v>22</v>
      </c>
      <c r="J570" t="str">
        <f t="shared" si="8"/>
        <v>Repeat Customer</v>
      </c>
    </row>
    <row r="571" spans="1:10" x14ac:dyDescent="0.25">
      <c r="A571">
        <v>11328</v>
      </c>
      <c r="B571" t="s">
        <v>289</v>
      </c>
      <c r="C571" s="1">
        <v>45803</v>
      </c>
      <c r="D571" t="s">
        <v>16</v>
      </c>
      <c r="E571" t="s">
        <v>25</v>
      </c>
      <c r="F571">
        <v>8</v>
      </c>
      <c r="G571">
        <v>77.98</v>
      </c>
      <c r="H571">
        <v>623.84</v>
      </c>
      <c r="I571" t="s">
        <v>12</v>
      </c>
      <c r="J571" t="str">
        <f t="shared" si="8"/>
        <v>Repeat Customer</v>
      </c>
    </row>
    <row r="572" spans="1:10" x14ac:dyDescent="0.25">
      <c r="A572">
        <v>11415</v>
      </c>
      <c r="B572" t="s">
        <v>289</v>
      </c>
      <c r="C572" s="1">
        <v>45595</v>
      </c>
      <c r="D572" t="s">
        <v>10</v>
      </c>
      <c r="E572" t="s">
        <v>25</v>
      </c>
      <c r="F572">
        <v>5</v>
      </c>
      <c r="G572">
        <v>278.31</v>
      </c>
      <c r="H572">
        <v>1391.55</v>
      </c>
      <c r="I572" t="s">
        <v>12</v>
      </c>
      <c r="J572" t="str">
        <f t="shared" si="8"/>
        <v>Repeat Customer</v>
      </c>
    </row>
    <row r="573" spans="1:10" x14ac:dyDescent="0.25">
      <c r="A573">
        <v>11420</v>
      </c>
      <c r="B573" t="s">
        <v>289</v>
      </c>
      <c r="C573" s="1">
        <v>45578</v>
      </c>
      <c r="D573" t="s">
        <v>24</v>
      </c>
      <c r="E573" t="s">
        <v>11</v>
      </c>
      <c r="F573">
        <v>3</v>
      </c>
      <c r="G573">
        <v>131.71</v>
      </c>
      <c r="H573">
        <v>395.13</v>
      </c>
      <c r="I573" t="s">
        <v>32</v>
      </c>
      <c r="J573" t="str">
        <f t="shared" si="8"/>
        <v>Repeat Customer</v>
      </c>
    </row>
    <row r="574" spans="1:10" x14ac:dyDescent="0.25">
      <c r="A574">
        <v>10099</v>
      </c>
      <c r="B574" t="s">
        <v>100</v>
      </c>
      <c r="C574" s="1">
        <v>45706</v>
      </c>
      <c r="D574" t="s">
        <v>18</v>
      </c>
      <c r="E574" t="s">
        <v>19</v>
      </c>
      <c r="F574">
        <v>4</v>
      </c>
      <c r="G574">
        <v>156.57</v>
      </c>
      <c r="H574">
        <v>626.28</v>
      </c>
      <c r="I574" t="s">
        <v>32</v>
      </c>
      <c r="J574" t="str">
        <f t="shared" si="8"/>
        <v>Repeat Customer</v>
      </c>
    </row>
    <row r="575" spans="1:10" x14ac:dyDescent="0.25">
      <c r="A575">
        <v>10525</v>
      </c>
      <c r="B575" t="s">
        <v>100</v>
      </c>
      <c r="C575" s="1">
        <v>45994</v>
      </c>
      <c r="D575" t="s">
        <v>21</v>
      </c>
      <c r="E575" t="s">
        <v>19</v>
      </c>
      <c r="F575">
        <v>9</v>
      </c>
      <c r="G575">
        <v>320.97000000000003</v>
      </c>
      <c r="H575">
        <v>2888.73</v>
      </c>
      <c r="I575" t="s">
        <v>22</v>
      </c>
      <c r="J575" t="str">
        <f t="shared" si="8"/>
        <v>Repeat Customer</v>
      </c>
    </row>
    <row r="576" spans="1:10" x14ac:dyDescent="0.25">
      <c r="A576">
        <v>10752</v>
      </c>
      <c r="B576" t="s">
        <v>100</v>
      </c>
      <c r="C576" s="1">
        <v>45734</v>
      </c>
      <c r="D576" t="s">
        <v>10</v>
      </c>
      <c r="E576" t="s">
        <v>25</v>
      </c>
      <c r="F576">
        <v>5</v>
      </c>
      <c r="G576">
        <v>394.25</v>
      </c>
      <c r="H576">
        <v>1971.25</v>
      </c>
      <c r="I576" t="s">
        <v>22</v>
      </c>
      <c r="J576" t="str">
        <f t="shared" si="8"/>
        <v>Repeat Customer</v>
      </c>
    </row>
    <row r="577" spans="1:10" x14ac:dyDescent="0.25">
      <c r="A577">
        <v>10782</v>
      </c>
      <c r="B577" t="s">
        <v>100</v>
      </c>
      <c r="C577" s="1">
        <v>45979</v>
      </c>
      <c r="D577" t="s">
        <v>24</v>
      </c>
      <c r="E577" t="s">
        <v>25</v>
      </c>
      <c r="F577">
        <v>4</v>
      </c>
      <c r="G577">
        <v>380.1</v>
      </c>
      <c r="H577">
        <v>1520.4</v>
      </c>
      <c r="I577" t="s">
        <v>32</v>
      </c>
      <c r="J577" t="str">
        <f t="shared" si="8"/>
        <v>Repeat Customer</v>
      </c>
    </row>
    <row r="578" spans="1:10" x14ac:dyDescent="0.25">
      <c r="A578">
        <v>11280</v>
      </c>
      <c r="B578" t="s">
        <v>100</v>
      </c>
      <c r="C578" s="1">
        <v>45914</v>
      </c>
      <c r="D578" t="s">
        <v>10</v>
      </c>
      <c r="E578" t="s">
        <v>31</v>
      </c>
      <c r="F578">
        <v>7</v>
      </c>
      <c r="G578">
        <v>263.13</v>
      </c>
      <c r="H578">
        <v>1841.91</v>
      </c>
      <c r="I578" t="s">
        <v>12</v>
      </c>
      <c r="J578" t="str">
        <f t="shared" ref="J578:J641" si="9">IF(COUNTIF($B:$B,B578)&gt;1,"Repeat Customer","New Customer")</f>
        <v>Repeat Customer</v>
      </c>
    </row>
    <row r="579" spans="1:10" x14ac:dyDescent="0.25">
      <c r="A579">
        <v>10518</v>
      </c>
      <c r="B579" t="s">
        <v>258</v>
      </c>
      <c r="C579" s="1">
        <v>45550</v>
      </c>
      <c r="D579" t="s">
        <v>16</v>
      </c>
      <c r="E579" t="s">
        <v>19</v>
      </c>
      <c r="F579">
        <v>10</v>
      </c>
      <c r="G579">
        <v>403.52</v>
      </c>
      <c r="H579">
        <v>4035.2</v>
      </c>
      <c r="I579" t="s">
        <v>32</v>
      </c>
      <c r="J579" t="str">
        <f t="shared" si="9"/>
        <v>Repeat Customer</v>
      </c>
    </row>
    <row r="580" spans="1:10" x14ac:dyDescent="0.25">
      <c r="A580">
        <v>11323</v>
      </c>
      <c r="B580" t="s">
        <v>258</v>
      </c>
      <c r="C580" s="1">
        <v>45557</v>
      </c>
      <c r="D580" t="s">
        <v>24</v>
      </c>
      <c r="E580" t="s">
        <v>11</v>
      </c>
      <c r="F580">
        <v>2</v>
      </c>
      <c r="G580">
        <v>149.03</v>
      </c>
      <c r="H580">
        <v>298.06</v>
      </c>
      <c r="I580" t="s">
        <v>22</v>
      </c>
      <c r="J580" t="str">
        <f t="shared" si="9"/>
        <v>Repeat Customer</v>
      </c>
    </row>
    <row r="581" spans="1:10" x14ac:dyDescent="0.25">
      <c r="A581">
        <v>11449</v>
      </c>
      <c r="B581" t="s">
        <v>258</v>
      </c>
      <c r="C581" s="1">
        <v>45349</v>
      </c>
      <c r="D581" t="s">
        <v>10</v>
      </c>
      <c r="E581" t="s">
        <v>31</v>
      </c>
      <c r="F581">
        <v>3</v>
      </c>
      <c r="G581">
        <v>63.03</v>
      </c>
      <c r="H581">
        <v>189.09</v>
      </c>
      <c r="I581" t="s">
        <v>12</v>
      </c>
      <c r="J581" t="str">
        <f t="shared" si="9"/>
        <v>Repeat Customer</v>
      </c>
    </row>
    <row r="582" spans="1:10" x14ac:dyDescent="0.25">
      <c r="A582">
        <v>10154</v>
      </c>
      <c r="B582" t="s">
        <v>137</v>
      </c>
      <c r="C582" s="1">
        <v>45984</v>
      </c>
      <c r="D582" t="s">
        <v>18</v>
      </c>
      <c r="E582" t="s">
        <v>19</v>
      </c>
      <c r="F582">
        <v>7</v>
      </c>
      <c r="G582">
        <v>483.8</v>
      </c>
      <c r="H582">
        <v>3386.6</v>
      </c>
      <c r="I582" t="s">
        <v>12</v>
      </c>
      <c r="J582" t="str">
        <f t="shared" si="9"/>
        <v>Repeat Customer</v>
      </c>
    </row>
    <row r="583" spans="1:10" x14ac:dyDescent="0.25">
      <c r="A583">
        <v>10213</v>
      </c>
      <c r="B583" t="s">
        <v>137</v>
      </c>
      <c r="C583" s="1">
        <v>45432</v>
      </c>
      <c r="D583" t="s">
        <v>24</v>
      </c>
      <c r="E583" t="s">
        <v>11</v>
      </c>
      <c r="F583">
        <v>3</v>
      </c>
      <c r="G583">
        <v>43.2</v>
      </c>
      <c r="H583">
        <v>129.6</v>
      </c>
      <c r="I583" t="s">
        <v>22</v>
      </c>
      <c r="J583" t="str">
        <f t="shared" si="9"/>
        <v>Repeat Customer</v>
      </c>
    </row>
    <row r="584" spans="1:10" x14ac:dyDescent="0.25">
      <c r="A584">
        <v>10286</v>
      </c>
      <c r="B584" t="s">
        <v>137</v>
      </c>
      <c r="C584" s="1">
        <v>45596</v>
      </c>
      <c r="D584" t="s">
        <v>21</v>
      </c>
      <c r="E584" t="s">
        <v>19</v>
      </c>
      <c r="F584">
        <v>5</v>
      </c>
      <c r="G584">
        <v>353.93</v>
      </c>
      <c r="H584">
        <v>1769.65</v>
      </c>
      <c r="I584" t="s">
        <v>32</v>
      </c>
      <c r="J584" t="str">
        <f t="shared" si="9"/>
        <v>Repeat Customer</v>
      </c>
    </row>
    <row r="585" spans="1:10" x14ac:dyDescent="0.25">
      <c r="A585">
        <v>10327</v>
      </c>
      <c r="B585" t="s">
        <v>137</v>
      </c>
      <c r="C585" s="1">
        <v>45599</v>
      </c>
      <c r="D585" t="s">
        <v>24</v>
      </c>
      <c r="E585" t="s">
        <v>31</v>
      </c>
      <c r="F585">
        <v>3</v>
      </c>
      <c r="G585">
        <v>403.86</v>
      </c>
      <c r="H585">
        <v>1211.58</v>
      </c>
      <c r="I585" t="s">
        <v>32</v>
      </c>
      <c r="J585" t="str">
        <f t="shared" si="9"/>
        <v>Repeat Customer</v>
      </c>
    </row>
    <row r="586" spans="1:10" x14ac:dyDescent="0.25">
      <c r="A586">
        <v>10347</v>
      </c>
      <c r="B586" t="s">
        <v>137</v>
      </c>
      <c r="C586" s="1">
        <v>45599</v>
      </c>
      <c r="D586" t="s">
        <v>24</v>
      </c>
      <c r="E586" t="s">
        <v>11</v>
      </c>
      <c r="F586">
        <v>2</v>
      </c>
      <c r="G586">
        <v>328.6</v>
      </c>
      <c r="H586">
        <v>657.2</v>
      </c>
      <c r="I586" t="s">
        <v>32</v>
      </c>
      <c r="J586" t="str">
        <f t="shared" si="9"/>
        <v>Repeat Customer</v>
      </c>
    </row>
    <row r="587" spans="1:10" x14ac:dyDescent="0.25">
      <c r="A587">
        <v>10414</v>
      </c>
      <c r="B587" t="s">
        <v>137</v>
      </c>
      <c r="C587" s="1">
        <v>45823</v>
      </c>
      <c r="D587" t="s">
        <v>16</v>
      </c>
      <c r="E587" t="s">
        <v>11</v>
      </c>
      <c r="F587">
        <v>8</v>
      </c>
      <c r="G587">
        <v>9.6</v>
      </c>
      <c r="H587">
        <v>76.8</v>
      </c>
      <c r="I587" t="s">
        <v>32</v>
      </c>
      <c r="J587" t="str">
        <f t="shared" si="9"/>
        <v>Repeat Customer</v>
      </c>
    </row>
    <row r="588" spans="1:10" x14ac:dyDescent="0.25">
      <c r="A588">
        <v>10781</v>
      </c>
      <c r="B588" t="s">
        <v>137</v>
      </c>
      <c r="C588" s="1">
        <v>45325</v>
      </c>
      <c r="D588" t="s">
        <v>24</v>
      </c>
      <c r="E588" t="s">
        <v>19</v>
      </c>
      <c r="F588">
        <v>7</v>
      </c>
      <c r="G588">
        <v>383.45</v>
      </c>
      <c r="H588">
        <v>2684.15</v>
      </c>
      <c r="I588" t="s">
        <v>32</v>
      </c>
      <c r="J588" t="str">
        <f t="shared" si="9"/>
        <v>Repeat Customer</v>
      </c>
    </row>
    <row r="589" spans="1:10" x14ac:dyDescent="0.25">
      <c r="A589">
        <v>10056</v>
      </c>
      <c r="B589" t="s">
        <v>67</v>
      </c>
      <c r="C589" s="1">
        <v>45520</v>
      </c>
      <c r="D589" t="s">
        <v>21</v>
      </c>
      <c r="E589" t="s">
        <v>19</v>
      </c>
      <c r="F589">
        <v>1</v>
      </c>
      <c r="G589">
        <v>331.72</v>
      </c>
      <c r="H589">
        <v>331.72</v>
      </c>
      <c r="I589" t="s">
        <v>22</v>
      </c>
      <c r="J589" t="str">
        <f t="shared" si="9"/>
        <v>Repeat Customer</v>
      </c>
    </row>
    <row r="590" spans="1:10" x14ac:dyDescent="0.25">
      <c r="A590">
        <v>10948</v>
      </c>
      <c r="B590" t="s">
        <v>67</v>
      </c>
      <c r="C590" s="1">
        <v>45787</v>
      </c>
      <c r="D590" t="s">
        <v>24</v>
      </c>
      <c r="E590" t="s">
        <v>25</v>
      </c>
      <c r="F590">
        <v>6</v>
      </c>
      <c r="G590">
        <v>485.51</v>
      </c>
      <c r="H590">
        <v>2913.06</v>
      </c>
      <c r="I590" t="s">
        <v>22</v>
      </c>
      <c r="J590" t="str">
        <f t="shared" si="9"/>
        <v>Repeat Customer</v>
      </c>
    </row>
    <row r="591" spans="1:10" x14ac:dyDescent="0.25">
      <c r="A591">
        <v>11121</v>
      </c>
      <c r="B591" t="s">
        <v>67</v>
      </c>
      <c r="C591" s="1">
        <v>45433</v>
      </c>
      <c r="D591" t="s">
        <v>21</v>
      </c>
      <c r="E591" t="s">
        <v>31</v>
      </c>
      <c r="F591">
        <v>7</v>
      </c>
      <c r="G591">
        <v>209.64</v>
      </c>
      <c r="H591">
        <v>1467.48</v>
      </c>
      <c r="I591" t="s">
        <v>22</v>
      </c>
      <c r="J591" t="str">
        <f t="shared" si="9"/>
        <v>Repeat Customer</v>
      </c>
    </row>
    <row r="592" spans="1:10" x14ac:dyDescent="0.25">
      <c r="A592">
        <v>11233</v>
      </c>
      <c r="B592" t="s">
        <v>67</v>
      </c>
      <c r="C592" s="1">
        <v>45524</v>
      </c>
      <c r="D592" t="s">
        <v>18</v>
      </c>
      <c r="E592" t="s">
        <v>31</v>
      </c>
      <c r="F592">
        <v>4</v>
      </c>
      <c r="G592">
        <v>239.85</v>
      </c>
      <c r="H592">
        <v>959.4</v>
      </c>
      <c r="I592" t="s">
        <v>32</v>
      </c>
      <c r="J592" t="str">
        <f t="shared" si="9"/>
        <v>Repeat Customer</v>
      </c>
    </row>
    <row r="593" spans="1:10" x14ac:dyDescent="0.25">
      <c r="A593">
        <v>11456</v>
      </c>
      <c r="B593" t="s">
        <v>67</v>
      </c>
      <c r="C593" s="1">
        <v>45725</v>
      </c>
      <c r="D593" t="s">
        <v>24</v>
      </c>
      <c r="E593" t="s">
        <v>31</v>
      </c>
      <c r="F593">
        <v>3</v>
      </c>
      <c r="G593">
        <v>139.55000000000001</v>
      </c>
      <c r="H593">
        <v>418.65</v>
      </c>
      <c r="I593" t="s">
        <v>14</v>
      </c>
      <c r="J593" t="str">
        <f t="shared" si="9"/>
        <v>Repeat Customer</v>
      </c>
    </row>
    <row r="594" spans="1:10" x14ac:dyDescent="0.25">
      <c r="A594">
        <v>10149</v>
      </c>
      <c r="B594" t="s">
        <v>133</v>
      </c>
      <c r="C594" s="1">
        <v>45913</v>
      </c>
      <c r="D594" t="s">
        <v>10</v>
      </c>
      <c r="E594" t="s">
        <v>19</v>
      </c>
      <c r="F594">
        <v>6</v>
      </c>
      <c r="G594">
        <v>113.41</v>
      </c>
      <c r="H594">
        <v>680.46</v>
      </c>
      <c r="I594" t="s">
        <v>14</v>
      </c>
      <c r="J594" t="str">
        <f t="shared" si="9"/>
        <v>Repeat Customer</v>
      </c>
    </row>
    <row r="595" spans="1:10" x14ac:dyDescent="0.25">
      <c r="A595">
        <v>10318</v>
      </c>
      <c r="B595" t="s">
        <v>133</v>
      </c>
      <c r="C595" s="1">
        <v>45545</v>
      </c>
      <c r="D595" t="s">
        <v>16</v>
      </c>
      <c r="E595" t="s">
        <v>25</v>
      </c>
      <c r="F595">
        <v>8</v>
      </c>
      <c r="G595">
        <v>176.35</v>
      </c>
      <c r="H595">
        <v>1410.8</v>
      </c>
      <c r="I595" t="s">
        <v>12</v>
      </c>
      <c r="J595" t="str">
        <f t="shared" si="9"/>
        <v>Repeat Customer</v>
      </c>
    </row>
    <row r="596" spans="1:10" x14ac:dyDescent="0.25">
      <c r="A596">
        <v>10654</v>
      </c>
      <c r="B596" t="s">
        <v>133</v>
      </c>
      <c r="C596" s="1">
        <v>45749</v>
      </c>
      <c r="D596" t="s">
        <v>18</v>
      </c>
      <c r="E596" t="s">
        <v>31</v>
      </c>
      <c r="F596">
        <v>3</v>
      </c>
      <c r="G596">
        <v>54.64</v>
      </c>
      <c r="H596">
        <v>163.92</v>
      </c>
      <c r="I596" t="s">
        <v>22</v>
      </c>
      <c r="J596" t="str">
        <f t="shared" si="9"/>
        <v>Repeat Customer</v>
      </c>
    </row>
    <row r="597" spans="1:10" x14ac:dyDescent="0.25">
      <c r="A597">
        <v>10672</v>
      </c>
      <c r="B597" t="s">
        <v>133</v>
      </c>
      <c r="C597" s="1">
        <v>45499</v>
      </c>
      <c r="D597" t="s">
        <v>16</v>
      </c>
      <c r="E597" t="s">
        <v>25</v>
      </c>
      <c r="F597">
        <v>4</v>
      </c>
      <c r="G597">
        <v>418.99</v>
      </c>
      <c r="H597">
        <v>1675.96</v>
      </c>
      <c r="I597" t="s">
        <v>12</v>
      </c>
      <c r="J597" t="str">
        <f t="shared" si="9"/>
        <v>Repeat Customer</v>
      </c>
    </row>
    <row r="598" spans="1:10" x14ac:dyDescent="0.25">
      <c r="A598">
        <v>10113</v>
      </c>
      <c r="B598" t="s">
        <v>109</v>
      </c>
      <c r="C598" s="1">
        <v>45587</v>
      </c>
      <c r="D598" t="s">
        <v>21</v>
      </c>
      <c r="E598" t="s">
        <v>11</v>
      </c>
      <c r="F598">
        <v>5</v>
      </c>
      <c r="G598">
        <v>352.98</v>
      </c>
      <c r="H598">
        <v>1764.9</v>
      </c>
      <c r="I598" t="s">
        <v>14</v>
      </c>
      <c r="J598" t="str">
        <f t="shared" si="9"/>
        <v>Repeat Customer</v>
      </c>
    </row>
    <row r="599" spans="1:10" x14ac:dyDescent="0.25">
      <c r="A599">
        <v>10383</v>
      </c>
      <c r="B599" t="s">
        <v>109</v>
      </c>
      <c r="C599" s="1">
        <v>45706</v>
      </c>
      <c r="D599" t="s">
        <v>21</v>
      </c>
      <c r="E599" t="s">
        <v>31</v>
      </c>
      <c r="F599">
        <v>3</v>
      </c>
      <c r="G599">
        <v>97.26</v>
      </c>
      <c r="H599">
        <v>291.77999999999997</v>
      </c>
      <c r="I599" t="s">
        <v>12</v>
      </c>
      <c r="J599" t="str">
        <f t="shared" si="9"/>
        <v>Repeat Customer</v>
      </c>
    </row>
    <row r="600" spans="1:10" x14ac:dyDescent="0.25">
      <c r="A600">
        <v>10779</v>
      </c>
      <c r="B600" t="s">
        <v>109</v>
      </c>
      <c r="C600" s="1">
        <v>45995</v>
      </c>
      <c r="D600" t="s">
        <v>21</v>
      </c>
      <c r="E600" t="s">
        <v>25</v>
      </c>
      <c r="F600">
        <v>1</v>
      </c>
      <c r="G600">
        <v>182.83</v>
      </c>
      <c r="H600">
        <v>182.83</v>
      </c>
      <c r="I600" t="s">
        <v>32</v>
      </c>
      <c r="J600" t="str">
        <f t="shared" si="9"/>
        <v>Repeat Customer</v>
      </c>
    </row>
    <row r="601" spans="1:10" x14ac:dyDescent="0.25">
      <c r="A601">
        <v>11106</v>
      </c>
      <c r="B601" t="s">
        <v>109</v>
      </c>
      <c r="C601" s="1">
        <v>45811</v>
      </c>
      <c r="D601" t="s">
        <v>16</v>
      </c>
      <c r="E601" t="s">
        <v>31</v>
      </c>
      <c r="F601">
        <v>4</v>
      </c>
      <c r="G601">
        <v>295.89</v>
      </c>
      <c r="H601">
        <v>1183.56</v>
      </c>
      <c r="I601" t="s">
        <v>14</v>
      </c>
      <c r="J601" t="str">
        <f t="shared" si="9"/>
        <v>Repeat Customer</v>
      </c>
    </row>
    <row r="602" spans="1:10" x14ac:dyDescent="0.25">
      <c r="A602">
        <v>11423</v>
      </c>
      <c r="B602" t="s">
        <v>109</v>
      </c>
      <c r="C602" s="1">
        <v>45736</v>
      </c>
      <c r="D602" t="s">
        <v>21</v>
      </c>
      <c r="E602" t="s">
        <v>11</v>
      </c>
      <c r="F602">
        <v>6</v>
      </c>
      <c r="G602">
        <v>78.430000000000007</v>
      </c>
      <c r="H602">
        <v>470.58</v>
      </c>
      <c r="I602" t="s">
        <v>32</v>
      </c>
      <c r="J602" t="str">
        <f t="shared" si="9"/>
        <v>Repeat Customer</v>
      </c>
    </row>
    <row r="603" spans="1:10" x14ac:dyDescent="0.25">
      <c r="A603">
        <v>10722</v>
      </c>
      <c r="B603" t="s">
        <v>292</v>
      </c>
      <c r="C603" s="1">
        <v>45616</v>
      </c>
      <c r="D603" t="s">
        <v>16</v>
      </c>
      <c r="E603" t="s">
        <v>31</v>
      </c>
      <c r="F603">
        <v>9</v>
      </c>
      <c r="G603">
        <v>395.34</v>
      </c>
      <c r="H603">
        <v>3558.06</v>
      </c>
      <c r="I603" t="s">
        <v>14</v>
      </c>
      <c r="J603" t="str">
        <f t="shared" si="9"/>
        <v>Repeat Customer</v>
      </c>
    </row>
    <row r="604" spans="1:10" x14ac:dyDescent="0.25">
      <c r="A604">
        <v>10746</v>
      </c>
      <c r="B604" t="s">
        <v>292</v>
      </c>
      <c r="C604" s="1">
        <v>45554</v>
      </c>
      <c r="D604" t="s">
        <v>21</v>
      </c>
      <c r="E604" t="s">
        <v>25</v>
      </c>
      <c r="F604">
        <v>5</v>
      </c>
      <c r="G604">
        <v>50.49</v>
      </c>
      <c r="H604">
        <v>252.45</v>
      </c>
      <c r="I604" t="s">
        <v>12</v>
      </c>
      <c r="J604" t="str">
        <f t="shared" si="9"/>
        <v>Repeat Customer</v>
      </c>
    </row>
    <row r="605" spans="1:10" x14ac:dyDescent="0.25">
      <c r="A605">
        <v>10808</v>
      </c>
      <c r="B605" t="s">
        <v>292</v>
      </c>
      <c r="C605" s="1">
        <v>46017</v>
      </c>
      <c r="D605" t="s">
        <v>24</v>
      </c>
      <c r="E605" t="s">
        <v>11</v>
      </c>
      <c r="F605">
        <v>5</v>
      </c>
      <c r="G605">
        <v>489.73</v>
      </c>
      <c r="H605">
        <v>2448.65</v>
      </c>
      <c r="I605" t="s">
        <v>12</v>
      </c>
      <c r="J605" t="str">
        <f t="shared" si="9"/>
        <v>Repeat Customer</v>
      </c>
    </row>
    <row r="606" spans="1:10" x14ac:dyDescent="0.25">
      <c r="A606">
        <v>11243</v>
      </c>
      <c r="B606" t="s">
        <v>292</v>
      </c>
      <c r="C606" s="1">
        <v>45590</v>
      </c>
      <c r="D606" t="s">
        <v>24</v>
      </c>
      <c r="E606" t="s">
        <v>19</v>
      </c>
      <c r="F606">
        <v>9</v>
      </c>
      <c r="G606">
        <v>39.64</v>
      </c>
      <c r="H606">
        <v>356.76</v>
      </c>
      <c r="I606" t="s">
        <v>12</v>
      </c>
      <c r="J606" t="str">
        <f t="shared" si="9"/>
        <v>Repeat Customer</v>
      </c>
    </row>
    <row r="607" spans="1:10" x14ac:dyDescent="0.25">
      <c r="A607">
        <v>11275</v>
      </c>
      <c r="B607" t="s">
        <v>292</v>
      </c>
      <c r="C607" s="1">
        <v>45313</v>
      </c>
      <c r="D607" t="s">
        <v>24</v>
      </c>
      <c r="E607" t="s">
        <v>19</v>
      </c>
      <c r="F607">
        <v>10</v>
      </c>
      <c r="G607">
        <v>380.68</v>
      </c>
      <c r="H607">
        <v>3806.8</v>
      </c>
      <c r="I607" t="s">
        <v>14</v>
      </c>
      <c r="J607" t="str">
        <f t="shared" si="9"/>
        <v>Repeat Customer</v>
      </c>
    </row>
    <row r="608" spans="1:10" x14ac:dyDescent="0.25">
      <c r="A608">
        <v>10067</v>
      </c>
      <c r="B608" t="s">
        <v>76</v>
      </c>
      <c r="C608" s="1">
        <v>45980</v>
      </c>
      <c r="D608" t="s">
        <v>10</v>
      </c>
      <c r="E608" t="s">
        <v>25</v>
      </c>
      <c r="F608">
        <v>5</v>
      </c>
      <c r="G608">
        <v>116.2</v>
      </c>
      <c r="H608">
        <v>581</v>
      </c>
      <c r="I608" t="s">
        <v>12</v>
      </c>
      <c r="J608" t="str">
        <f t="shared" si="9"/>
        <v>Repeat Customer</v>
      </c>
    </row>
    <row r="609" spans="1:10" x14ac:dyDescent="0.25">
      <c r="A609">
        <v>10139</v>
      </c>
      <c r="B609" t="s">
        <v>76</v>
      </c>
      <c r="C609" s="1">
        <v>45938</v>
      </c>
      <c r="D609" t="s">
        <v>24</v>
      </c>
      <c r="E609" t="s">
        <v>31</v>
      </c>
      <c r="F609">
        <v>5</v>
      </c>
      <c r="G609">
        <v>498.73</v>
      </c>
      <c r="H609">
        <v>2493.65</v>
      </c>
      <c r="I609" t="s">
        <v>12</v>
      </c>
      <c r="J609" t="str">
        <f t="shared" si="9"/>
        <v>Repeat Customer</v>
      </c>
    </row>
    <row r="610" spans="1:10" x14ac:dyDescent="0.25">
      <c r="A610">
        <v>10199</v>
      </c>
      <c r="B610" t="s">
        <v>76</v>
      </c>
      <c r="C610" s="1">
        <v>45397</v>
      </c>
      <c r="D610" t="s">
        <v>10</v>
      </c>
      <c r="E610" t="s">
        <v>25</v>
      </c>
      <c r="F610">
        <v>3</v>
      </c>
      <c r="G610">
        <v>131.69999999999999</v>
      </c>
      <c r="H610">
        <v>395.1</v>
      </c>
      <c r="I610" t="s">
        <v>12</v>
      </c>
      <c r="J610" t="str">
        <f t="shared" si="9"/>
        <v>Repeat Customer</v>
      </c>
    </row>
    <row r="611" spans="1:10" x14ac:dyDescent="0.25">
      <c r="A611">
        <v>10718</v>
      </c>
      <c r="B611" t="s">
        <v>76</v>
      </c>
      <c r="C611" s="1">
        <v>45940</v>
      </c>
      <c r="D611" t="s">
        <v>10</v>
      </c>
      <c r="E611" t="s">
        <v>19</v>
      </c>
      <c r="F611">
        <v>7</v>
      </c>
      <c r="G611">
        <v>165.63</v>
      </c>
      <c r="H611">
        <v>1159.4100000000001</v>
      </c>
      <c r="I611" t="s">
        <v>12</v>
      </c>
      <c r="J611" t="str">
        <f t="shared" si="9"/>
        <v>Repeat Customer</v>
      </c>
    </row>
    <row r="612" spans="1:10" x14ac:dyDescent="0.25">
      <c r="A612">
        <v>10867</v>
      </c>
      <c r="B612" t="s">
        <v>76</v>
      </c>
      <c r="C612" s="1">
        <v>45788</v>
      </c>
      <c r="D612" t="s">
        <v>24</v>
      </c>
      <c r="E612" t="s">
        <v>19</v>
      </c>
      <c r="F612">
        <v>3</v>
      </c>
      <c r="G612">
        <v>400.69</v>
      </c>
      <c r="H612">
        <v>1202.07</v>
      </c>
      <c r="I612" t="s">
        <v>12</v>
      </c>
      <c r="J612" t="str">
        <f t="shared" si="9"/>
        <v>Repeat Customer</v>
      </c>
    </row>
    <row r="613" spans="1:10" x14ac:dyDescent="0.25">
      <c r="A613">
        <v>11034</v>
      </c>
      <c r="B613" t="s">
        <v>76</v>
      </c>
      <c r="C613" s="1">
        <v>45406</v>
      </c>
      <c r="D613" t="s">
        <v>24</v>
      </c>
      <c r="E613" t="s">
        <v>19</v>
      </c>
      <c r="F613">
        <v>10</v>
      </c>
      <c r="G613">
        <v>368.57</v>
      </c>
      <c r="H613">
        <v>3685.7</v>
      </c>
      <c r="I613" t="s">
        <v>32</v>
      </c>
      <c r="J613" t="str">
        <f t="shared" si="9"/>
        <v>Repeat Customer</v>
      </c>
    </row>
    <row r="614" spans="1:10" x14ac:dyDescent="0.25">
      <c r="A614">
        <v>11036</v>
      </c>
      <c r="B614" t="s">
        <v>76</v>
      </c>
      <c r="C614" s="1">
        <v>45725</v>
      </c>
      <c r="D614" t="s">
        <v>10</v>
      </c>
      <c r="E614" t="s">
        <v>25</v>
      </c>
      <c r="F614">
        <v>4</v>
      </c>
      <c r="G614">
        <v>76.42</v>
      </c>
      <c r="H614">
        <v>305.68</v>
      </c>
      <c r="I614" t="s">
        <v>22</v>
      </c>
      <c r="J614" t="str">
        <f t="shared" si="9"/>
        <v>Repeat Customer</v>
      </c>
    </row>
    <row r="615" spans="1:10" x14ac:dyDescent="0.25">
      <c r="A615">
        <v>11110</v>
      </c>
      <c r="B615" t="s">
        <v>76</v>
      </c>
      <c r="C615" s="1">
        <v>45506</v>
      </c>
      <c r="D615" t="s">
        <v>24</v>
      </c>
      <c r="E615" t="s">
        <v>19</v>
      </c>
      <c r="F615">
        <v>9</v>
      </c>
      <c r="G615">
        <v>28.29</v>
      </c>
      <c r="H615">
        <v>254.61</v>
      </c>
      <c r="I615" t="s">
        <v>22</v>
      </c>
      <c r="J615" t="str">
        <f t="shared" si="9"/>
        <v>Repeat Customer</v>
      </c>
    </row>
    <row r="616" spans="1:10" x14ac:dyDescent="0.25">
      <c r="A616">
        <v>10053</v>
      </c>
      <c r="B616" t="s">
        <v>65</v>
      </c>
      <c r="C616" s="1">
        <v>45458</v>
      </c>
      <c r="D616" t="s">
        <v>24</v>
      </c>
      <c r="E616" t="s">
        <v>25</v>
      </c>
      <c r="F616">
        <v>3</v>
      </c>
      <c r="G616">
        <v>441.3</v>
      </c>
      <c r="H616">
        <v>1323.9</v>
      </c>
      <c r="I616" t="s">
        <v>22</v>
      </c>
      <c r="J616" t="str">
        <f t="shared" si="9"/>
        <v>Repeat Customer</v>
      </c>
    </row>
    <row r="617" spans="1:10" x14ac:dyDescent="0.25">
      <c r="A617">
        <v>10323</v>
      </c>
      <c r="B617" t="s">
        <v>65</v>
      </c>
      <c r="C617" s="1">
        <v>45601</v>
      </c>
      <c r="D617" t="s">
        <v>18</v>
      </c>
      <c r="E617" t="s">
        <v>25</v>
      </c>
      <c r="F617">
        <v>3</v>
      </c>
      <c r="G617">
        <v>492.92</v>
      </c>
      <c r="H617">
        <v>1478.76</v>
      </c>
      <c r="I617" t="s">
        <v>32</v>
      </c>
      <c r="J617" t="str">
        <f t="shared" si="9"/>
        <v>Repeat Customer</v>
      </c>
    </row>
    <row r="618" spans="1:10" x14ac:dyDescent="0.25">
      <c r="A618">
        <v>11203</v>
      </c>
      <c r="B618" t="s">
        <v>65</v>
      </c>
      <c r="C618" s="1">
        <v>45811</v>
      </c>
      <c r="D618" t="s">
        <v>21</v>
      </c>
      <c r="E618" t="s">
        <v>19</v>
      </c>
      <c r="F618">
        <v>9</v>
      </c>
      <c r="G618">
        <v>430.06</v>
      </c>
      <c r="H618">
        <v>3870.54</v>
      </c>
      <c r="I618" t="s">
        <v>14</v>
      </c>
      <c r="J618" t="str">
        <f t="shared" si="9"/>
        <v>Repeat Customer</v>
      </c>
    </row>
    <row r="619" spans="1:10" x14ac:dyDescent="0.25">
      <c r="A619">
        <v>10041</v>
      </c>
      <c r="B619" t="s">
        <v>57</v>
      </c>
      <c r="C619" s="1">
        <v>45563</v>
      </c>
      <c r="D619" t="s">
        <v>16</v>
      </c>
      <c r="E619" t="s">
        <v>31</v>
      </c>
      <c r="F619">
        <v>7</v>
      </c>
      <c r="G619">
        <v>69.78</v>
      </c>
      <c r="H619">
        <v>488.46</v>
      </c>
      <c r="I619" t="s">
        <v>22</v>
      </c>
      <c r="J619" t="str">
        <f t="shared" si="9"/>
        <v>Repeat Customer</v>
      </c>
    </row>
    <row r="620" spans="1:10" x14ac:dyDescent="0.25">
      <c r="A620">
        <v>10728</v>
      </c>
      <c r="B620" t="s">
        <v>57</v>
      </c>
      <c r="C620" s="1">
        <v>45620</v>
      </c>
      <c r="D620" t="s">
        <v>18</v>
      </c>
      <c r="E620" t="s">
        <v>31</v>
      </c>
      <c r="F620">
        <v>2</v>
      </c>
      <c r="G620">
        <v>330.85</v>
      </c>
      <c r="H620">
        <v>661.7</v>
      </c>
      <c r="I620" t="s">
        <v>14</v>
      </c>
      <c r="J620" t="str">
        <f t="shared" si="9"/>
        <v>Repeat Customer</v>
      </c>
    </row>
    <row r="621" spans="1:10" x14ac:dyDescent="0.25">
      <c r="A621">
        <v>11040</v>
      </c>
      <c r="B621" t="s">
        <v>57</v>
      </c>
      <c r="C621" s="1">
        <v>45551</v>
      </c>
      <c r="D621" t="s">
        <v>16</v>
      </c>
      <c r="E621" t="s">
        <v>11</v>
      </c>
      <c r="F621">
        <v>9</v>
      </c>
      <c r="G621">
        <v>195.42</v>
      </c>
      <c r="H621">
        <v>1758.78</v>
      </c>
      <c r="I621" t="s">
        <v>14</v>
      </c>
      <c r="J621" t="str">
        <f t="shared" si="9"/>
        <v>Repeat Customer</v>
      </c>
    </row>
    <row r="622" spans="1:10" x14ac:dyDescent="0.25">
      <c r="A622">
        <v>11079</v>
      </c>
      <c r="B622" t="s">
        <v>57</v>
      </c>
      <c r="C622" s="1">
        <v>45700</v>
      </c>
      <c r="D622" t="s">
        <v>10</v>
      </c>
      <c r="E622" t="s">
        <v>25</v>
      </c>
      <c r="F622">
        <v>2</v>
      </c>
      <c r="G622">
        <v>15.15</v>
      </c>
      <c r="H622">
        <v>30.3</v>
      </c>
      <c r="I622" t="s">
        <v>32</v>
      </c>
      <c r="J622" t="str">
        <f t="shared" si="9"/>
        <v>Repeat Customer</v>
      </c>
    </row>
    <row r="623" spans="1:10" x14ac:dyDescent="0.25">
      <c r="A623">
        <v>11470</v>
      </c>
      <c r="B623" t="s">
        <v>57</v>
      </c>
      <c r="C623" s="1">
        <v>45505</v>
      </c>
      <c r="D623" t="s">
        <v>10</v>
      </c>
      <c r="E623" t="s">
        <v>31</v>
      </c>
      <c r="F623">
        <v>10</v>
      </c>
      <c r="G623">
        <v>305.39999999999998</v>
      </c>
      <c r="H623">
        <v>3054</v>
      </c>
      <c r="I623" t="s">
        <v>12</v>
      </c>
      <c r="J623" t="str">
        <f t="shared" si="9"/>
        <v>Repeat Customer</v>
      </c>
    </row>
    <row r="624" spans="1:10" x14ac:dyDescent="0.25">
      <c r="A624">
        <v>10021</v>
      </c>
      <c r="B624" t="s">
        <v>41</v>
      </c>
      <c r="C624" s="1">
        <v>45872</v>
      </c>
      <c r="D624" t="s">
        <v>21</v>
      </c>
      <c r="E624" t="s">
        <v>11</v>
      </c>
      <c r="F624">
        <v>2</v>
      </c>
      <c r="G624">
        <v>47.4</v>
      </c>
      <c r="H624">
        <v>94.8</v>
      </c>
      <c r="I624" t="s">
        <v>14</v>
      </c>
      <c r="J624" t="str">
        <f t="shared" si="9"/>
        <v>Repeat Customer</v>
      </c>
    </row>
    <row r="625" spans="1:10" x14ac:dyDescent="0.25">
      <c r="A625">
        <v>10265</v>
      </c>
      <c r="B625" t="s">
        <v>41</v>
      </c>
      <c r="C625" s="1">
        <v>45769</v>
      </c>
      <c r="D625" t="s">
        <v>10</v>
      </c>
      <c r="E625" t="s">
        <v>25</v>
      </c>
      <c r="F625">
        <v>2</v>
      </c>
      <c r="G625">
        <v>137.4</v>
      </c>
      <c r="H625">
        <v>274.8</v>
      </c>
      <c r="I625" t="s">
        <v>12</v>
      </c>
      <c r="J625" t="str">
        <f t="shared" si="9"/>
        <v>Repeat Customer</v>
      </c>
    </row>
    <row r="626" spans="1:10" x14ac:dyDescent="0.25">
      <c r="A626">
        <v>10741</v>
      </c>
      <c r="B626" t="s">
        <v>41</v>
      </c>
      <c r="C626" s="1">
        <v>45868</v>
      </c>
      <c r="D626" t="s">
        <v>18</v>
      </c>
      <c r="E626" t="s">
        <v>19</v>
      </c>
      <c r="F626">
        <v>9</v>
      </c>
      <c r="G626">
        <v>110.89</v>
      </c>
      <c r="H626">
        <v>998.01</v>
      </c>
      <c r="I626" t="s">
        <v>22</v>
      </c>
      <c r="J626" t="str">
        <f t="shared" si="9"/>
        <v>Repeat Customer</v>
      </c>
    </row>
    <row r="627" spans="1:10" x14ac:dyDescent="0.25">
      <c r="A627">
        <v>10929</v>
      </c>
      <c r="B627" t="s">
        <v>41</v>
      </c>
      <c r="C627" s="1">
        <v>45377</v>
      </c>
      <c r="D627" t="s">
        <v>21</v>
      </c>
      <c r="E627" t="s">
        <v>25</v>
      </c>
      <c r="F627">
        <v>9</v>
      </c>
      <c r="G627">
        <v>377.77</v>
      </c>
      <c r="H627">
        <v>3399.93</v>
      </c>
      <c r="I627" t="s">
        <v>14</v>
      </c>
      <c r="J627" t="str">
        <f t="shared" si="9"/>
        <v>Repeat Customer</v>
      </c>
    </row>
    <row r="628" spans="1:10" x14ac:dyDescent="0.25">
      <c r="A628">
        <v>10281</v>
      </c>
      <c r="B628" t="s">
        <v>192</v>
      </c>
      <c r="C628" s="1">
        <v>45324</v>
      </c>
      <c r="D628" t="s">
        <v>24</v>
      </c>
      <c r="E628" t="s">
        <v>25</v>
      </c>
      <c r="F628">
        <v>10</v>
      </c>
      <c r="G628">
        <v>474.36</v>
      </c>
      <c r="H628">
        <v>4743.6000000000004</v>
      </c>
      <c r="I628" t="s">
        <v>12</v>
      </c>
      <c r="J628" t="str">
        <f t="shared" si="9"/>
        <v>Repeat Customer</v>
      </c>
    </row>
    <row r="629" spans="1:10" x14ac:dyDescent="0.25">
      <c r="A629">
        <v>10382</v>
      </c>
      <c r="B629" t="s">
        <v>192</v>
      </c>
      <c r="C629" s="1">
        <v>45820</v>
      </c>
      <c r="D629" t="s">
        <v>16</v>
      </c>
      <c r="E629" t="s">
        <v>31</v>
      </c>
      <c r="F629">
        <v>3</v>
      </c>
      <c r="G629">
        <v>278.2</v>
      </c>
      <c r="H629">
        <v>834.6</v>
      </c>
      <c r="I629" t="s">
        <v>32</v>
      </c>
      <c r="J629" t="str">
        <f t="shared" si="9"/>
        <v>Repeat Customer</v>
      </c>
    </row>
    <row r="630" spans="1:10" x14ac:dyDescent="0.25">
      <c r="A630">
        <v>10756</v>
      </c>
      <c r="B630" t="s">
        <v>192</v>
      </c>
      <c r="C630" s="1">
        <v>45365</v>
      </c>
      <c r="D630" t="s">
        <v>16</v>
      </c>
      <c r="E630" t="s">
        <v>11</v>
      </c>
      <c r="F630">
        <v>5</v>
      </c>
      <c r="G630">
        <v>389.5</v>
      </c>
      <c r="H630">
        <v>1947.5</v>
      </c>
      <c r="I630" t="s">
        <v>12</v>
      </c>
      <c r="J630" t="str">
        <f t="shared" si="9"/>
        <v>Repeat Customer</v>
      </c>
    </row>
    <row r="631" spans="1:10" x14ac:dyDescent="0.25">
      <c r="A631">
        <v>10899</v>
      </c>
      <c r="B631" t="s">
        <v>192</v>
      </c>
      <c r="C631" s="1">
        <v>46010</v>
      </c>
      <c r="D631" t="s">
        <v>24</v>
      </c>
      <c r="E631" t="s">
        <v>19</v>
      </c>
      <c r="F631">
        <v>3</v>
      </c>
      <c r="G631">
        <v>12.11</v>
      </c>
      <c r="H631">
        <v>36.33</v>
      </c>
      <c r="I631" t="s">
        <v>12</v>
      </c>
      <c r="J631" t="str">
        <f t="shared" si="9"/>
        <v>Repeat Customer</v>
      </c>
    </row>
    <row r="632" spans="1:10" x14ac:dyDescent="0.25">
      <c r="A632">
        <v>10905</v>
      </c>
      <c r="B632" t="s">
        <v>192</v>
      </c>
      <c r="C632" s="1">
        <v>45887</v>
      </c>
      <c r="D632" t="s">
        <v>18</v>
      </c>
      <c r="E632" t="s">
        <v>31</v>
      </c>
      <c r="F632">
        <v>1</v>
      </c>
      <c r="G632">
        <v>71.02</v>
      </c>
      <c r="H632">
        <v>71.02</v>
      </c>
      <c r="I632" t="s">
        <v>14</v>
      </c>
      <c r="J632" t="str">
        <f t="shared" si="9"/>
        <v>Repeat Customer</v>
      </c>
    </row>
    <row r="633" spans="1:10" x14ac:dyDescent="0.25">
      <c r="A633">
        <v>10094</v>
      </c>
      <c r="B633" t="s">
        <v>97</v>
      </c>
      <c r="C633" s="1">
        <v>45380</v>
      </c>
      <c r="D633" t="s">
        <v>10</v>
      </c>
      <c r="E633" t="s">
        <v>31</v>
      </c>
      <c r="F633">
        <v>5</v>
      </c>
      <c r="G633">
        <v>441.41</v>
      </c>
      <c r="H633">
        <v>2207.0500000000002</v>
      </c>
      <c r="I633" t="s">
        <v>32</v>
      </c>
      <c r="J633" t="str">
        <f t="shared" si="9"/>
        <v>Repeat Customer</v>
      </c>
    </row>
    <row r="634" spans="1:10" x14ac:dyDescent="0.25">
      <c r="A634">
        <v>10430</v>
      </c>
      <c r="B634" t="s">
        <v>97</v>
      </c>
      <c r="C634" s="1">
        <v>45380</v>
      </c>
      <c r="D634" t="s">
        <v>18</v>
      </c>
      <c r="E634" t="s">
        <v>11</v>
      </c>
      <c r="F634">
        <v>7</v>
      </c>
      <c r="G634">
        <v>62.41</v>
      </c>
      <c r="H634">
        <v>436.87</v>
      </c>
      <c r="I634" t="s">
        <v>22</v>
      </c>
      <c r="J634" t="str">
        <f t="shared" si="9"/>
        <v>Repeat Customer</v>
      </c>
    </row>
    <row r="635" spans="1:10" x14ac:dyDescent="0.25">
      <c r="A635">
        <v>11119</v>
      </c>
      <c r="B635" t="s">
        <v>97</v>
      </c>
      <c r="C635" s="1">
        <v>45777</v>
      </c>
      <c r="D635" t="s">
        <v>10</v>
      </c>
      <c r="E635" t="s">
        <v>11</v>
      </c>
      <c r="F635">
        <v>6</v>
      </c>
      <c r="G635">
        <v>146.94999999999999</v>
      </c>
      <c r="H635">
        <v>881.7</v>
      </c>
      <c r="I635" t="s">
        <v>22</v>
      </c>
      <c r="J635" t="str">
        <f t="shared" si="9"/>
        <v>Repeat Customer</v>
      </c>
    </row>
    <row r="636" spans="1:10" x14ac:dyDescent="0.25">
      <c r="A636">
        <v>10307</v>
      </c>
      <c r="B636" t="s">
        <v>202</v>
      </c>
      <c r="C636" s="1">
        <v>45988</v>
      </c>
      <c r="D636" t="s">
        <v>24</v>
      </c>
      <c r="E636" t="s">
        <v>31</v>
      </c>
      <c r="F636">
        <v>10</v>
      </c>
      <c r="G636">
        <v>437.2</v>
      </c>
      <c r="H636">
        <v>4372</v>
      </c>
      <c r="I636" t="s">
        <v>22</v>
      </c>
      <c r="J636" t="str">
        <f t="shared" si="9"/>
        <v>Repeat Customer</v>
      </c>
    </row>
    <row r="637" spans="1:10" x14ac:dyDescent="0.25">
      <c r="A637">
        <v>11190</v>
      </c>
      <c r="B637" t="s">
        <v>202</v>
      </c>
      <c r="C637" s="1">
        <v>45402</v>
      </c>
      <c r="D637" t="s">
        <v>16</v>
      </c>
      <c r="E637" t="s">
        <v>11</v>
      </c>
      <c r="F637">
        <v>8</v>
      </c>
      <c r="G637">
        <v>122.99</v>
      </c>
      <c r="H637">
        <v>983.92</v>
      </c>
      <c r="I637" t="s">
        <v>22</v>
      </c>
      <c r="J637" t="str">
        <f t="shared" si="9"/>
        <v>Repeat Customer</v>
      </c>
    </row>
    <row r="638" spans="1:10" x14ac:dyDescent="0.25">
      <c r="A638">
        <v>10052</v>
      </c>
      <c r="B638" t="s">
        <v>64</v>
      </c>
      <c r="C638" s="1">
        <v>45974</v>
      </c>
      <c r="D638" t="s">
        <v>18</v>
      </c>
      <c r="E638" t="s">
        <v>31</v>
      </c>
      <c r="F638">
        <v>2</v>
      </c>
      <c r="G638">
        <v>180.07</v>
      </c>
      <c r="H638">
        <v>360.14</v>
      </c>
      <c r="I638" t="s">
        <v>14</v>
      </c>
      <c r="J638" t="str">
        <f t="shared" si="9"/>
        <v>Repeat Customer</v>
      </c>
    </row>
    <row r="639" spans="1:10" x14ac:dyDescent="0.25">
      <c r="A639">
        <v>10375</v>
      </c>
      <c r="B639" t="s">
        <v>64</v>
      </c>
      <c r="C639" s="1">
        <v>45965</v>
      </c>
      <c r="D639" t="s">
        <v>18</v>
      </c>
      <c r="E639" t="s">
        <v>11</v>
      </c>
      <c r="F639">
        <v>6</v>
      </c>
      <c r="G639">
        <v>87.34</v>
      </c>
      <c r="H639">
        <v>524.04</v>
      </c>
      <c r="I639" t="s">
        <v>32</v>
      </c>
      <c r="J639" t="str">
        <f t="shared" si="9"/>
        <v>Repeat Customer</v>
      </c>
    </row>
    <row r="640" spans="1:10" x14ac:dyDescent="0.25">
      <c r="A640">
        <v>10439</v>
      </c>
      <c r="B640" t="s">
        <v>64</v>
      </c>
      <c r="C640" s="1">
        <v>45718</v>
      </c>
      <c r="D640" t="s">
        <v>24</v>
      </c>
      <c r="E640" t="s">
        <v>19</v>
      </c>
      <c r="F640">
        <v>6</v>
      </c>
      <c r="G640">
        <v>139.27000000000001</v>
      </c>
      <c r="H640">
        <v>835.62</v>
      </c>
      <c r="I640" t="s">
        <v>12</v>
      </c>
      <c r="J640" t="str">
        <f t="shared" si="9"/>
        <v>Repeat Customer</v>
      </c>
    </row>
    <row r="641" spans="1:10" x14ac:dyDescent="0.25">
      <c r="A641">
        <v>10455</v>
      </c>
      <c r="B641" t="s">
        <v>64</v>
      </c>
      <c r="C641" s="1">
        <v>45656</v>
      </c>
      <c r="D641" t="s">
        <v>16</v>
      </c>
      <c r="E641" t="s">
        <v>19</v>
      </c>
      <c r="F641">
        <v>7</v>
      </c>
      <c r="G641">
        <v>259.16000000000003</v>
      </c>
      <c r="H641">
        <v>1814.12</v>
      </c>
      <c r="I641" t="s">
        <v>14</v>
      </c>
      <c r="J641" t="str">
        <f t="shared" si="9"/>
        <v>Repeat Customer</v>
      </c>
    </row>
    <row r="642" spans="1:10" x14ac:dyDescent="0.25">
      <c r="A642">
        <v>11048</v>
      </c>
      <c r="B642" t="s">
        <v>64</v>
      </c>
      <c r="C642" s="1">
        <v>45820</v>
      </c>
      <c r="D642" t="s">
        <v>21</v>
      </c>
      <c r="E642" t="s">
        <v>19</v>
      </c>
      <c r="F642">
        <v>3</v>
      </c>
      <c r="G642">
        <v>424.25</v>
      </c>
      <c r="H642">
        <v>1272.75</v>
      </c>
      <c r="I642" t="s">
        <v>32</v>
      </c>
      <c r="J642" t="str">
        <f t="shared" ref="J642:J705" si="10">IF(COUNTIF($B:$B,B642)&gt;1,"Repeat Customer","New Customer")</f>
        <v>Repeat Customer</v>
      </c>
    </row>
    <row r="643" spans="1:10" x14ac:dyDescent="0.25">
      <c r="A643">
        <v>11058</v>
      </c>
      <c r="B643" t="s">
        <v>64</v>
      </c>
      <c r="C643" s="1">
        <v>45670</v>
      </c>
      <c r="D643" t="s">
        <v>21</v>
      </c>
      <c r="E643" t="s">
        <v>11</v>
      </c>
      <c r="F643">
        <v>10</v>
      </c>
      <c r="G643">
        <v>343.71</v>
      </c>
      <c r="H643">
        <v>3437.1</v>
      </c>
      <c r="I643" t="s">
        <v>12</v>
      </c>
      <c r="J643" t="str">
        <f t="shared" si="10"/>
        <v>Repeat Customer</v>
      </c>
    </row>
    <row r="644" spans="1:10" x14ac:dyDescent="0.25">
      <c r="A644">
        <v>11264</v>
      </c>
      <c r="B644" t="s">
        <v>64</v>
      </c>
      <c r="C644" s="1">
        <v>45675</v>
      </c>
      <c r="D644" t="s">
        <v>24</v>
      </c>
      <c r="E644" t="s">
        <v>31</v>
      </c>
      <c r="F644">
        <v>4</v>
      </c>
      <c r="G644">
        <v>103.99</v>
      </c>
      <c r="H644">
        <v>415.96</v>
      </c>
      <c r="I644" t="s">
        <v>12</v>
      </c>
      <c r="J644" t="str">
        <f t="shared" si="10"/>
        <v>Repeat Customer</v>
      </c>
    </row>
    <row r="645" spans="1:10" x14ac:dyDescent="0.25">
      <c r="A645">
        <v>10604</v>
      </c>
      <c r="B645" t="s">
        <v>274</v>
      </c>
      <c r="C645" s="1">
        <v>45863</v>
      </c>
      <c r="D645" t="s">
        <v>10</v>
      </c>
      <c r="E645" t="s">
        <v>19</v>
      </c>
      <c r="F645">
        <v>2</v>
      </c>
      <c r="G645">
        <v>289.61</v>
      </c>
      <c r="H645">
        <v>579.22</v>
      </c>
      <c r="I645" t="s">
        <v>32</v>
      </c>
      <c r="J645" t="str">
        <f t="shared" si="10"/>
        <v>Repeat Customer</v>
      </c>
    </row>
    <row r="646" spans="1:10" x14ac:dyDescent="0.25">
      <c r="A646">
        <v>11272</v>
      </c>
      <c r="B646" t="s">
        <v>274</v>
      </c>
      <c r="C646" s="1">
        <v>45389</v>
      </c>
      <c r="D646" t="s">
        <v>21</v>
      </c>
      <c r="E646" t="s">
        <v>25</v>
      </c>
      <c r="F646">
        <v>10</v>
      </c>
      <c r="G646">
        <v>165.56</v>
      </c>
      <c r="H646">
        <v>1655.6</v>
      </c>
      <c r="I646" t="s">
        <v>22</v>
      </c>
      <c r="J646" t="str">
        <f t="shared" si="10"/>
        <v>Repeat Customer</v>
      </c>
    </row>
    <row r="647" spans="1:10" x14ac:dyDescent="0.25">
      <c r="A647">
        <v>10717</v>
      </c>
      <c r="B647" t="s">
        <v>291</v>
      </c>
      <c r="C647" s="1">
        <v>45784</v>
      </c>
      <c r="D647" t="s">
        <v>24</v>
      </c>
      <c r="E647" t="s">
        <v>25</v>
      </c>
      <c r="F647">
        <v>5</v>
      </c>
      <c r="G647">
        <v>103.37</v>
      </c>
      <c r="H647">
        <v>516.85</v>
      </c>
      <c r="I647" t="s">
        <v>12</v>
      </c>
      <c r="J647" t="str">
        <f t="shared" si="10"/>
        <v>Repeat Customer</v>
      </c>
    </row>
    <row r="648" spans="1:10" x14ac:dyDescent="0.25">
      <c r="A648">
        <v>10865</v>
      </c>
      <c r="B648" t="s">
        <v>291</v>
      </c>
      <c r="C648" s="1">
        <v>45427</v>
      </c>
      <c r="D648" t="s">
        <v>16</v>
      </c>
      <c r="E648" t="s">
        <v>11</v>
      </c>
      <c r="F648">
        <v>10</v>
      </c>
      <c r="G648">
        <v>144.08000000000001</v>
      </c>
      <c r="H648">
        <v>1440.8</v>
      </c>
      <c r="I648" t="s">
        <v>12</v>
      </c>
      <c r="J648" t="str">
        <f t="shared" si="10"/>
        <v>Repeat Customer</v>
      </c>
    </row>
    <row r="649" spans="1:10" x14ac:dyDescent="0.25">
      <c r="A649">
        <v>10881</v>
      </c>
      <c r="B649" t="s">
        <v>291</v>
      </c>
      <c r="C649" s="1">
        <v>45593</v>
      </c>
      <c r="D649" t="s">
        <v>24</v>
      </c>
      <c r="E649" t="s">
        <v>31</v>
      </c>
      <c r="F649">
        <v>8</v>
      </c>
      <c r="G649">
        <v>331.94</v>
      </c>
      <c r="H649">
        <v>2655.52</v>
      </c>
      <c r="I649" t="s">
        <v>22</v>
      </c>
      <c r="J649" t="str">
        <f t="shared" si="10"/>
        <v>Repeat Customer</v>
      </c>
    </row>
    <row r="650" spans="1:10" x14ac:dyDescent="0.25">
      <c r="A650">
        <v>11062</v>
      </c>
      <c r="B650" t="s">
        <v>291</v>
      </c>
      <c r="C650" s="1">
        <v>45808</v>
      </c>
      <c r="D650" t="s">
        <v>21</v>
      </c>
      <c r="E650" t="s">
        <v>19</v>
      </c>
      <c r="F650">
        <v>10</v>
      </c>
      <c r="G650">
        <v>193.56</v>
      </c>
      <c r="H650">
        <v>1935.6</v>
      </c>
      <c r="I650" t="s">
        <v>14</v>
      </c>
      <c r="J650" t="str">
        <f t="shared" si="10"/>
        <v>Repeat Customer</v>
      </c>
    </row>
    <row r="651" spans="1:10" x14ac:dyDescent="0.25">
      <c r="A651">
        <v>10177</v>
      </c>
      <c r="B651" t="s">
        <v>149</v>
      </c>
      <c r="C651" s="1">
        <v>45675</v>
      </c>
      <c r="D651" t="s">
        <v>21</v>
      </c>
      <c r="E651" t="s">
        <v>11</v>
      </c>
      <c r="F651">
        <v>3</v>
      </c>
      <c r="G651">
        <v>344.98</v>
      </c>
      <c r="H651">
        <v>1034.94</v>
      </c>
      <c r="I651" t="s">
        <v>12</v>
      </c>
      <c r="J651" t="str">
        <f t="shared" si="10"/>
        <v>Repeat Customer</v>
      </c>
    </row>
    <row r="652" spans="1:10" x14ac:dyDescent="0.25">
      <c r="A652">
        <v>10312</v>
      </c>
      <c r="B652" t="s">
        <v>149</v>
      </c>
      <c r="C652" s="1">
        <v>45295</v>
      </c>
      <c r="D652" t="s">
        <v>24</v>
      </c>
      <c r="E652" t="s">
        <v>31</v>
      </c>
      <c r="F652">
        <v>4</v>
      </c>
      <c r="G652">
        <v>291.26</v>
      </c>
      <c r="H652">
        <v>1165.04</v>
      </c>
      <c r="I652" t="s">
        <v>22</v>
      </c>
      <c r="J652" t="str">
        <f t="shared" si="10"/>
        <v>Repeat Customer</v>
      </c>
    </row>
    <row r="653" spans="1:10" x14ac:dyDescent="0.25">
      <c r="A653">
        <v>11089</v>
      </c>
      <c r="B653" t="s">
        <v>149</v>
      </c>
      <c r="C653" s="1">
        <v>45891</v>
      </c>
      <c r="D653" t="s">
        <v>24</v>
      </c>
      <c r="E653" t="s">
        <v>11</v>
      </c>
      <c r="F653">
        <v>2</v>
      </c>
      <c r="G653">
        <v>385.48</v>
      </c>
      <c r="H653">
        <v>770.96</v>
      </c>
      <c r="I653" t="s">
        <v>32</v>
      </c>
      <c r="J653" t="str">
        <f t="shared" si="10"/>
        <v>Repeat Customer</v>
      </c>
    </row>
    <row r="654" spans="1:10" x14ac:dyDescent="0.25">
      <c r="A654">
        <v>10289</v>
      </c>
      <c r="B654" t="s">
        <v>194</v>
      </c>
      <c r="C654" s="1">
        <v>45782</v>
      </c>
      <c r="D654" t="s">
        <v>18</v>
      </c>
      <c r="E654" t="s">
        <v>19</v>
      </c>
      <c r="F654">
        <v>4</v>
      </c>
      <c r="G654">
        <v>105.02</v>
      </c>
      <c r="H654">
        <v>420.08</v>
      </c>
      <c r="I654" t="s">
        <v>22</v>
      </c>
      <c r="J654" t="str">
        <f t="shared" si="10"/>
        <v>Repeat Customer</v>
      </c>
    </row>
    <row r="655" spans="1:10" x14ac:dyDescent="0.25">
      <c r="A655">
        <v>10482</v>
      </c>
      <c r="B655" t="s">
        <v>194</v>
      </c>
      <c r="C655" s="1">
        <v>45402</v>
      </c>
      <c r="D655" t="s">
        <v>21</v>
      </c>
      <c r="E655" t="s">
        <v>31</v>
      </c>
      <c r="F655">
        <v>1</v>
      </c>
      <c r="G655">
        <v>28.83</v>
      </c>
      <c r="H655">
        <v>28.83</v>
      </c>
      <c r="I655" t="s">
        <v>14</v>
      </c>
      <c r="J655" t="str">
        <f t="shared" si="10"/>
        <v>Repeat Customer</v>
      </c>
    </row>
    <row r="656" spans="1:10" x14ac:dyDescent="0.25">
      <c r="A656">
        <v>10648</v>
      </c>
      <c r="B656" t="s">
        <v>194</v>
      </c>
      <c r="C656" s="1">
        <v>45485</v>
      </c>
      <c r="D656" t="s">
        <v>24</v>
      </c>
      <c r="E656" t="s">
        <v>11</v>
      </c>
      <c r="F656">
        <v>1</v>
      </c>
      <c r="G656">
        <v>356.03</v>
      </c>
      <c r="H656">
        <v>356.03</v>
      </c>
      <c r="I656" t="s">
        <v>12</v>
      </c>
      <c r="J656" t="str">
        <f t="shared" si="10"/>
        <v>Repeat Customer</v>
      </c>
    </row>
    <row r="657" spans="1:10" x14ac:dyDescent="0.25">
      <c r="A657">
        <v>11028</v>
      </c>
      <c r="B657" t="s">
        <v>194</v>
      </c>
      <c r="C657" s="1">
        <v>45995</v>
      </c>
      <c r="D657" t="s">
        <v>10</v>
      </c>
      <c r="E657" t="s">
        <v>11</v>
      </c>
      <c r="F657">
        <v>10</v>
      </c>
      <c r="G657">
        <v>121.88</v>
      </c>
      <c r="H657">
        <v>1218.8</v>
      </c>
      <c r="I657" t="s">
        <v>14</v>
      </c>
      <c r="J657" t="str">
        <f t="shared" si="10"/>
        <v>Repeat Customer</v>
      </c>
    </row>
    <row r="658" spans="1:10" x14ac:dyDescent="0.25">
      <c r="A658">
        <v>11157</v>
      </c>
      <c r="B658" t="s">
        <v>194</v>
      </c>
      <c r="C658" s="1">
        <v>45385</v>
      </c>
      <c r="D658" t="s">
        <v>18</v>
      </c>
      <c r="E658" t="s">
        <v>25</v>
      </c>
      <c r="F658">
        <v>2</v>
      </c>
      <c r="G658">
        <v>489.99</v>
      </c>
      <c r="H658">
        <v>979.98</v>
      </c>
      <c r="I658" t="s">
        <v>22</v>
      </c>
      <c r="J658" t="str">
        <f t="shared" si="10"/>
        <v>Repeat Customer</v>
      </c>
    </row>
    <row r="659" spans="1:10" x14ac:dyDescent="0.25">
      <c r="A659">
        <v>11421</v>
      </c>
      <c r="B659" t="s">
        <v>194</v>
      </c>
      <c r="C659" s="1">
        <v>45933</v>
      </c>
      <c r="D659" t="s">
        <v>21</v>
      </c>
      <c r="E659" t="s">
        <v>25</v>
      </c>
      <c r="F659">
        <v>10</v>
      </c>
      <c r="G659">
        <v>277.68</v>
      </c>
      <c r="H659">
        <v>2776.8</v>
      </c>
      <c r="I659" t="s">
        <v>22</v>
      </c>
      <c r="J659" t="str">
        <f t="shared" si="10"/>
        <v>Repeat Customer</v>
      </c>
    </row>
    <row r="660" spans="1:10" x14ac:dyDescent="0.25">
      <c r="A660">
        <v>10073</v>
      </c>
      <c r="B660" t="s">
        <v>81</v>
      </c>
      <c r="C660" s="1">
        <v>45545</v>
      </c>
      <c r="D660" t="s">
        <v>18</v>
      </c>
      <c r="E660" t="s">
        <v>31</v>
      </c>
      <c r="F660">
        <v>5</v>
      </c>
      <c r="G660">
        <v>384.08</v>
      </c>
      <c r="H660">
        <v>1920.4</v>
      </c>
      <c r="I660" t="s">
        <v>14</v>
      </c>
      <c r="J660" t="str">
        <f t="shared" si="10"/>
        <v>Repeat Customer</v>
      </c>
    </row>
    <row r="661" spans="1:10" x14ac:dyDescent="0.25">
      <c r="A661">
        <v>10524</v>
      </c>
      <c r="B661" t="s">
        <v>81</v>
      </c>
      <c r="C661" s="1">
        <v>45720</v>
      </c>
      <c r="D661" t="s">
        <v>24</v>
      </c>
      <c r="E661" t="s">
        <v>25</v>
      </c>
      <c r="F661">
        <v>7</v>
      </c>
      <c r="G661">
        <v>197.2</v>
      </c>
      <c r="H661">
        <v>1380.4</v>
      </c>
      <c r="I661" t="s">
        <v>22</v>
      </c>
      <c r="J661" t="str">
        <f t="shared" si="10"/>
        <v>Repeat Customer</v>
      </c>
    </row>
    <row r="662" spans="1:10" x14ac:dyDescent="0.25">
      <c r="A662">
        <v>10527</v>
      </c>
      <c r="B662" t="s">
        <v>81</v>
      </c>
      <c r="C662" s="1">
        <v>45864</v>
      </c>
      <c r="D662" t="s">
        <v>16</v>
      </c>
      <c r="E662" t="s">
        <v>11</v>
      </c>
      <c r="F662">
        <v>3</v>
      </c>
      <c r="G662">
        <v>473.73</v>
      </c>
      <c r="H662">
        <v>1421.19</v>
      </c>
      <c r="I662" t="s">
        <v>14</v>
      </c>
      <c r="J662" t="str">
        <f t="shared" si="10"/>
        <v>Repeat Customer</v>
      </c>
    </row>
    <row r="663" spans="1:10" x14ac:dyDescent="0.25">
      <c r="A663">
        <v>10679</v>
      </c>
      <c r="B663" t="s">
        <v>81</v>
      </c>
      <c r="C663" s="1">
        <v>45483</v>
      </c>
      <c r="D663" t="s">
        <v>16</v>
      </c>
      <c r="E663" t="s">
        <v>31</v>
      </c>
      <c r="F663">
        <v>9</v>
      </c>
      <c r="G663">
        <v>135.11000000000001</v>
      </c>
      <c r="H663">
        <v>1215.99</v>
      </c>
      <c r="I663" t="s">
        <v>22</v>
      </c>
      <c r="J663" t="str">
        <f t="shared" si="10"/>
        <v>Repeat Customer</v>
      </c>
    </row>
    <row r="664" spans="1:10" x14ac:dyDescent="0.25">
      <c r="A664">
        <v>11113</v>
      </c>
      <c r="B664" t="s">
        <v>81</v>
      </c>
      <c r="C664" s="1">
        <v>45640</v>
      </c>
      <c r="D664" t="s">
        <v>18</v>
      </c>
      <c r="E664" t="s">
        <v>19</v>
      </c>
      <c r="F664">
        <v>6</v>
      </c>
      <c r="G664">
        <v>385.84</v>
      </c>
      <c r="H664">
        <v>2315.04</v>
      </c>
      <c r="I664" t="s">
        <v>14</v>
      </c>
      <c r="J664" t="str">
        <f t="shared" si="10"/>
        <v>Repeat Customer</v>
      </c>
    </row>
    <row r="665" spans="1:10" x14ac:dyDescent="0.25">
      <c r="A665">
        <v>11367</v>
      </c>
      <c r="B665" t="s">
        <v>81</v>
      </c>
      <c r="C665" s="1">
        <v>45301</v>
      </c>
      <c r="D665" t="s">
        <v>10</v>
      </c>
      <c r="E665" t="s">
        <v>25</v>
      </c>
      <c r="F665">
        <v>9</v>
      </c>
      <c r="G665">
        <v>358.05</v>
      </c>
      <c r="H665">
        <v>3222.45</v>
      </c>
      <c r="I665" t="s">
        <v>32</v>
      </c>
      <c r="J665" t="str">
        <f t="shared" si="10"/>
        <v>Repeat Customer</v>
      </c>
    </row>
    <row r="666" spans="1:10" x14ac:dyDescent="0.25">
      <c r="A666">
        <v>10334</v>
      </c>
      <c r="B666" t="s">
        <v>211</v>
      </c>
      <c r="C666" s="1">
        <v>45660</v>
      </c>
      <c r="D666" t="s">
        <v>21</v>
      </c>
      <c r="E666" t="s">
        <v>11</v>
      </c>
      <c r="F666">
        <v>9</v>
      </c>
      <c r="G666">
        <v>441.99</v>
      </c>
      <c r="H666">
        <v>3977.91</v>
      </c>
      <c r="I666" t="s">
        <v>32</v>
      </c>
      <c r="J666" t="str">
        <f t="shared" si="10"/>
        <v>Repeat Customer</v>
      </c>
    </row>
    <row r="667" spans="1:10" x14ac:dyDescent="0.25">
      <c r="A667">
        <v>10450</v>
      </c>
      <c r="B667" t="s">
        <v>211</v>
      </c>
      <c r="C667" s="1">
        <v>45614</v>
      </c>
      <c r="D667" t="s">
        <v>16</v>
      </c>
      <c r="E667" t="s">
        <v>19</v>
      </c>
      <c r="F667">
        <v>7</v>
      </c>
      <c r="G667">
        <v>351.86</v>
      </c>
      <c r="H667">
        <v>2463.02</v>
      </c>
      <c r="I667" t="s">
        <v>32</v>
      </c>
      <c r="J667" t="str">
        <f t="shared" si="10"/>
        <v>Repeat Customer</v>
      </c>
    </row>
    <row r="668" spans="1:10" x14ac:dyDescent="0.25">
      <c r="A668">
        <v>10522</v>
      </c>
      <c r="B668" t="s">
        <v>211</v>
      </c>
      <c r="C668" s="1">
        <v>45963</v>
      </c>
      <c r="D668" t="s">
        <v>18</v>
      </c>
      <c r="E668" t="s">
        <v>25</v>
      </c>
      <c r="F668">
        <v>5</v>
      </c>
      <c r="G668">
        <v>98.24</v>
      </c>
      <c r="H668">
        <v>491.2</v>
      </c>
      <c r="I668" t="s">
        <v>12</v>
      </c>
      <c r="J668" t="str">
        <f t="shared" si="10"/>
        <v>Repeat Customer</v>
      </c>
    </row>
    <row r="669" spans="1:10" x14ac:dyDescent="0.25">
      <c r="A669">
        <v>10560</v>
      </c>
      <c r="B669" t="s">
        <v>211</v>
      </c>
      <c r="C669" s="1">
        <v>45962</v>
      </c>
      <c r="D669" t="s">
        <v>18</v>
      </c>
      <c r="E669" t="s">
        <v>25</v>
      </c>
      <c r="F669">
        <v>6</v>
      </c>
      <c r="G669">
        <v>11.12</v>
      </c>
      <c r="H669">
        <v>66.72</v>
      </c>
      <c r="I669" t="s">
        <v>22</v>
      </c>
      <c r="J669" t="str">
        <f t="shared" si="10"/>
        <v>Repeat Customer</v>
      </c>
    </row>
    <row r="670" spans="1:10" x14ac:dyDescent="0.25">
      <c r="A670">
        <v>10664</v>
      </c>
      <c r="B670" t="s">
        <v>211</v>
      </c>
      <c r="C670" s="1">
        <v>45471</v>
      </c>
      <c r="D670" t="s">
        <v>18</v>
      </c>
      <c r="E670" t="s">
        <v>11</v>
      </c>
      <c r="F670">
        <v>7</v>
      </c>
      <c r="G670">
        <v>255.59</v>
      </c>
      <c r="H670">
        <v>1789.13</v>
      </c>
      <c r="I670" t="s">
        <v>22</v>
      </c>
      <c r="J670" t="str">
        <f t="shared" si="10"/>
        <v>Repeat Customer</v>
      </c>
    </row>
    <row r="671" spans="1:10" x14ac:dyDescent="0.25">
      <c r="A671">
        <v>11065</v>
      </c>
      <c r="B671" t="s">
        <v>211</v>
      </c>
      <c r="C671" s="1">
        <v>45411</v>
      </c>
      <c r="D671" t="s">
        <v>10</v>
      </c>
      <c r="E671" t="s">
        <v>31</v>
      </c>
      <c r="F671">
        <v>6</v>
      </c>
      <c r="G671">
        <v>26.86</v>
      </c>
      <c r="H671">
        <v>161.16</v>
      </c>
      <c r="I671" t="s">
        <v>22</v>
      </c>
      <c r="J671" t="str">
        <f t="shared" si="10"/>
        <v>Repeat Customer</v>
      </c>
    </row>
    <row r="672" spans="1:10" x14ac:dyDescent="0.25">
      <c r="A672">
        <v>11069</v>
      </c>
      <c r="B672" t="s">
        <v>211</v>
      </c>
      <c r="C672" s="1">
        <v>45459</v>
      </c>
      <c r="D672" t="s">
        <v>21</v>
      </c>
      <c r="E672" t="s">
        <v>11</v>
      </c>
      <c r="F672">
        <v>8</v>
      </c>
      <c r="G672">
        <v>221.03</v>
      </c>
      <c r="H672">
        <v>1768.24</v>
      </c>
      <c r="I672" t="s">
        <v>32</v>
      </c>
      <c r="J672" t="str">
        <f t="shared" si="10"/>
        <v>Repeat Customer</v>
      </c>
    </row>
    <row r="673" spans="1:10" x14ac:dyDescent="0.25">
      <c r="A673">
        <v>10630</v>
      </c>
      <c r="B673" t="s">
        <v>278</v>
      </c>
      <c r="C673" s="1">
        <v>45884</v>
      </c>
      <c r="D673" t="s">
        <v>21</v>
      </c>
      <c r="E673" t="s">
        <v>31</v>
      </c>
      <c r="F673">
        <v>9</v>
      </c>
      <c r="G673">
        <v>287.23</v>
      </c>
      <c r="H673">
        <v>2585.0700000000002</v>
      </c>
      <c r="I673" t="s">
        <v>22</v>
      </c>
      <c r="J673" t="str">
        <f t="shared" si="10"/>
        <v>New Customer</v>
      </c>
    </row>
    <row r="674" spans="1:10" x14ac:dyDescent="0.25">
      <c r="A674">
        <v>10111</v>
      </c>
      <c r="B674" t="s">
        <v>108</v>
      </c>
      <c r="C674" s="1">
        <v>45968</v>
      </c>
      <c r="D674" t="s">
        <v>10</v>
      </c>
      <c r="E674" t="s">
        <v>11</v>
      </c>
      <c r="F674">
        <v>2</v>
      </c>
      <c r="G674">
        <v>82.74</v>
      </c>
      <c r="H674">
        <v>165.48</v>
      </c>
      <c r="I674" t="s">
        <v>14</v>
      </c>
      <c r="J674" t="str">
        <f t="shared" si="10"/>
        <v>Repeat Customer</v>
      </c>
    </row>
    <row r="675" spans="1:10" x14ac:dyDescent="0.25">
      <c r="A675">
        <v>10114</v>
      </c>
      <c r="B675" t="s">
        <v>108</v>
      </c>
      <c r="C675" s="1">
        <v>45932</v>
      </c>
      <c r="D675" t="s">
        <v>10</v>
      </c>
      <c r="E675" t="s">
        <v>31</v>
      </c>
      <c r="F675">
        <v>10</v>
      </c>
      <c r="G675">
        <v>332.29</v>
      </c>
      <c r="H675">
        <v>3322.9</v>
      </c>
      <c r="I675" t="s">
        <v>12</v>
      </c>
      <c r="J675" t="str">
        <f t="shared" si="10"/>
        <v>Repeat Customer</v>
      </c>
    </row>
    <row r="676" spans="1:10" x14ac:dyDescent="0.25">
      <c r="A676">
        <v>10285</v>
      </c>
      <c r="B676" t="s">
        <v>108</v>
      </c>
      <c r="C676" s="1">
        <v>45916</v>
      </c>
      <c r="D676" t="s">
        <v>10</v>
      </c>
      <c r="E676" t="s">
        <v>19</v>
      </c>
      <c r="F676">
        <v>8</v>
      </c>
      <c r="G676">
        <v>100.17</v>
      </c>
      <c r="H676">
        <v>801.36</v>
      </c>
      <c r="I676" t="s">
        <v>22</v>
      </c>
      <c r="J676" t="str">
        <f t="shared" si="10"/>
        <v>Repeat Customer</v>
      </c>
    </row>
    <row r="677" spans="1:10" x14ac:dyDescent="0.25">
      <c r="A677">
        <v>11020</v>
      </c>
      <c r="B677" t="s">
        <v>108</v>
      </c>
      <c r="C677" s="1">
        <v>45340</v>
      </c>
      <c r="D677" t="s">
        <v>21</v>
      </c>
      <c r="E677" t="s">
        <v>25</v>
      </c>
      <c r="F677">
        <v>5</v>
      </c>
      <c r="G677">
        <v>498.13</v>
      </c>
      <c r="H677">
        <v>2490.65</v>
      </c>
      <c r="I677" t="s">
        <v>12</v>
      </c>
      <c r="J677" t="str">
        <f t="shared" si="10"/>
        <v>Repeat Customer</v>
      </c>
    </row>
    <row r="678" spans="1:10" x14ac:dyDescent="0.25">
      <c r="A678">
        <v>10302</v>
      </c>
      <c r="B678" t="s">
        <v>199</v>
      </c>
      <c r="C678" s="1">
        <v>45629</v>
      </c>
      <c r="D678" t="s">
        <v>18</v>
      </c>
      <c r="E678" t="s">
        <v>11</v>
      </c>
      <c r="F678">
        <v>5</v>
      </c>
      <c r="G678">
        <v>293.32</v>
      </c>
      <c r="H678">
        <v>1466.6</v>
      </c>
      <c r="I678" t="s">
        <v>22</v>
      </c>
      <c r="J678" t="str">
        <f t="shared" si="10"/>
        <v>Repeat Customer</v>
      </c>
    </row>
    <row r="679" spans="1:10" x14ac:dyDescent="0.25">
      <c r="A679">
        <v>10346</v>
      </c>
      <c r="B679" t="s">
        <v>199</v>
      </c>
      <c r="C679" s="1">
        <v>45698</v>
      </c>
      <c r="D679" t="s">
        <v>21</v>
      </c>
      <c r="E679" t="s">
        <v>31</v>
      </c>
      <c r="F679">
        <v>2</v>
      </c>
      <c r="G679">
        <v>189.66</v>
      </c>
      <c r="H679">
        <v>379.32</v>
      </c>
      <c r="I679" t="s">
        <v>14</v>
      </c>
      <c r="J679" t="str">
        <f t="shared" si="10"/>
        <v>Repeat Customer</v>
      </c>
    </row>
    <row r="680" spans="1:10" x14ac:dyDescent="0.25">
      <c r="A680">
        <v>10735</v>
      </c>
      <c r="B680" t="s">
        <v>199</v>
      </c>
      <c r="C680" s="1">
        <v>45833</v>
      </c>
      <c r="D680" t="s">
        <v>16</v>
      </c>
      <c r="E680" t="s">
        <v>11</v>
      </c>
      <c r="F680">
        <v>1</v>
      </c>
      <c r="G680">
        <v>368.48</v>
      </c>
      <c r="H680">
        <v>368.48</v>
      </c>
      <c r="I680" t="s">
        <v>14</v>
      </c>
      <c r="J680" t="str">
        <f t="shared" si="10"/>
        <v>Repeat Customer</v>
      </c>
    </row>
    <row r="681" spans="1:10" x14ac:dyDescent="0.25">
      <c r="A681">
        <v>10888</v>
      </c>
      <c r="B681" t="s">
        <v>199</v>
      </c>
      <c r="C681" s="1">
        <v>45447</v>
      </c>
      <c r="D681" t="s">
        <v>18</v>
      </c>
      <c r="E681" t="s">
        <v>11</v>
      </c>
      <c r="F681">
        <v>6</v>
      </c>
      <c r="G681">
        <v>452.79</v>
      </c>
      <c r="H681">
        <v>2716.74</v>
      </c>
      <c r="I681" t="s">
        <v>32</v>
      </c>
      <c r="J681" t="str">
        <f t="shared" si="10"/>
        <v>Repeat Customer</v>
      </c>
    </row>
    <row r="682" spans="1:10" x14ac:dyDescent="0.25">
      <c r="A682">
        <v>11389</v>
      </c>
      <c r="B682" t="s">
        <v>199</v>
      </c>
      <c r="C682" s="1">
        <v>45413</v>
      </c>
      <c r="D682" t="s">
        <v>21</v>
      </c>
      <c r="E682" t="s">
        <v>25</v>
      </c>
      <c r="F682">
        <v>7</v>
      </c>
      <c r="G682">
        <v>247.09</v>
      </c>
      <c r="H682">
        <v>1729.63</v>
      </c>
      <c r="I682" t="s">
        <v>22</v>
      </c>
      <c r="J682" t="str">
        <f t="shared" si="10"/>
        <v>Repeat Customer</v>
      </c>
    </row>
    <row r="683" spans="1:10" x14ac:dyDescent="0.25">
      <c r="A683">
        <v>10408</v>
      </c>
      <c r="B683" t="s">
        <v>229</v>
      </c>
      <c r="C683" s="1">
        <v>45622</v>
      </c>
      <c r="D683" t="s">
        <v>18</v>
      </c>
      <c r="E683" t="s">
        <v>25</v>
      </c>
      <c r="F683">
        <v>5</v>
      </c>
      <c r="G683">
        <v>172.19</v>
      </c>
      <c r="H683">
        <v>860.95</v>
      </c>
      <c r="I683" t="s">
        <v>32</v>
      </c>
      <c r="J683" t="str">
        <f t="shared" si="10"/>
        <v>Repeat Customer</v>
      </c>
    </row>
    <row r="684" spans="1:10" x14ac:dyDescent="0.25">
      <c r="A684">
        <v>11076</v>
      </c>
      <c r="B684" t="s">
        <v>229</v>
      </c>
      <c r="C684" s="1">
        <v>45900</v>
      </c>
      <c r="D684" t="s">
        <v>24</v>
      </c>
      <c r="E684" t="s">
        <v>31</v>
      </c>
      <c r="F684">
        <v>1</v>
      </c>
      <c r="G684">
        <v>168.07</v>
      </c>
      <c r="H684">
        <v>168.07</v>
      </c>
      <c r="I684" t="s">
        <v>22</v>
      </c>
      <c r="J684" t="str">
        <f t="shared" si="10"/>
        <v>Repeat Customer</v>
      </c>
    </row>
    <row r="685" spans="1:10" x14ac:dyDescent="0.25">
      <c r="A685">
        <v>11400</v>
      </c>
      <c r="B685" t="s">
        <v>229</v>
      </c>
      <c r="C685" s="1">
        <v>45664</v>
      </c>
      <c r="D685" t="s">
        <v>21</v>
      </c>
      <c r="E685" t="s">
        <v>25</v>
      </c>
      <c r="F685">
        <v>5</v>
      </c>
      <c r="G685">
        <v>471.78</v>
      </c>
      <c r="H685">
        <v>2358.9</v>
      </c>
      <c r="I685" t="s">
        <v>22</v>
      </c>
      <c r="J685" t="str">
        <f t="shared" si="10"/>
        <v>Repeat Customer</v>
      </c>
    </row>
    <row r="686" spans="1:10" x14ac:dyDescent="0.25">
      <c r="A686">
        <v>11422</v>
      </c>
      <c r="B686" t="s">
        <v>229</v>
      </c>
      <c r="C686" s="1">
        <v>45500</v>
      </c>
      <c r="D686" t="s">
        <v>21</v>
      </c>
      <c r="E686" t="s">
        <v>25</v>
      </c>
      <c r="F686">
        <v>10</v>
      </c>
      <c r="G686">
        <v>316.75</v>
      </c>
      <c r="H686">
        <v>3167.5</v>
      </c>
      <c r="I686" t="s">
        <v>32</v>
      </c>
      <c r="J686" t="str">
        <f t="shared" si="10"/>
        <v>Repeat Customer</v>
      </c>
    </row>
    <row r="687" spans="1:10" x14ac:dyDescent="0.25">
      <c r="A687">
        <v>10682</v>
      </c>
      <c r="B687" t="s">
        <v>282</v>
      </c>
      <c r="C687" s="1">
        <v>45533</v>
      </c>
      <c r="D687" t="s">
        <v>21</v>
      </c>
      <c r="E687" t="s">
        <v>25</v>
      </c>
      <c r="F687">
        <v>9</v>
      </c>
      <c r="G687">
        <v>218.95</v>
      </c>
      <c r="H687">
        <v>1970.55</v>
      </c>
      <c r="I687" t="s">
        <v>14</v>
      </c>
      <c r="J687" t="str">
        <f t="shared" si="10"/>
        <v>Repeat Customer</v>
      </c>
    </row>
    <row r="688" spans="1:10" x14ac:dyDescent="0.25">
      <c r="A688">
        <v>10692</v>
      </c>
      <c r="B688" t="s">
        <v>282</v>
      </c>
      <c r="C688" s="1">
        <v>45747</v>
      </c>
      <c r="D688" t="s">
        <v>18</v>
      </c>
      <c r="E688" t="s">
        <v>31</v>
      </c>
      <c r="F688">
        <v>6</v>
      </c>
      <c r="G688">
        <v>375.21</v>
      </c>
      <c r="H688">
        <v>2251.2600000000002</v>
      </c>
      <c r="I688" t="s">
        <v>32</v>
      </c>
      <c r="J688" t="str">
        <f t="shared" si="10"/>
        <v>Repeat Customer</v>
      </c>
    </row>
    <row r="689" spans="1:10" x14ac:dyDescent="0.25">
      <c r="A689">
        <v>11417</v>
      </c>
      <c r="B689" t="s">
        <v>282</v>
      </c>
      <c r="C689" s="1">
        <v>45344</v>
      </c>
      <c r="D689" t="s">
        <v>10</v>
      </c>
      <c r="E689" t="s">
        <v>11</v>
      </c>
      <c r="F689">
        <v>4</v>
      </c>
      <c r="G689">
        <v>494.82</v>
      </c>
      <c r="H689">
        <v>1979.28</v>
      </c>
      <c r="I689" t="s">
        <v>12</v>
      </c>
      <c r="J689" t="str">
        <f t="shared" si="10"/>
        <v>Repeat Customer</v>
      </c>
    </row>
    <row r="690" spans="1:10" x14ac:dyDescent="0.25">
      <c r="A690">
        <v>11486</v>
      </c>
      <c r="B690" t="s">
        <v>282</v>
      </c>
      <c r="C690" s="1">
        <v>45550</v>
      </c>
      <c r="D690" t="s">
        <v>24</v>
      </c>
      <c r="E690" t="s">
        <v>19</v>
      </c>
      <c r="F690">
        <v>3</v>
      </c>
      <c r="G690">
        <v>46.38</v>
      </c>
      <c r="H690">
        <v>139.13999999999999</v>
      </c>
      <c r="I690" t="s">
        <v>32</v>
      </c>
      <c r="J690" t="str">
        <f t="shared" si="10"/>
        <v>Repeat Customer</v>
      </c>
    </row>
    <row r="691" spans="1:10" x14ac:dyDescent="0.25">
      <c r="A691">
        <v>10220</v>
      </c>
      <c r="B691" t="s">
        <v>170</v>
      </c>
      <c r="C691" s="1">
        <v>45752</v>
      </c>
      <c r="D691" t="s">
        <v>21</v>
      </c>
      <c r="E691" t="s">
        <v>11</v>
      </c>
      <c r="F691">
        <v>9</v>
      </c>
      <c r="G691">
        <v>77.94</v>
      </c>
      <c r="H691">
        <v>701.46</v>
      </c>
      <c r="I691" t="s">
        <v>14</v>
      </c>
      <c r="J691" t="str">
        <f t="shared" si="10"/>
        <v>Repeat Customer</v>
      </c>
    </row>
    <row r="692" spans="1:10" x14ac:dyDescent="0.25">
      <c r="A692">
        <v>10434</v>
      </c>
      <c r="B692" t="s">
        <v>170</v>
      </c>
      <c r="C692" s="1">
        <v>45828</v>
      </c>
      <c r="D692" t="s">
        <v>18</v>
      </c>
      <c r="E692" t="s">
        <v>11</v>
      </c>
      <c r="F692">
        <v>2</v>
      </c>
      <c r="G692">
        <v>135.16</v>
      </c>
      <c r="H692">
        <v>270.32</v>
      </c>
      <c r="I692" t="s">
        <v>32</v>
      </c>
      <c r="J692" t="str">
        <f t="shared" si="10"/>
        <v>Repeat Customer</v>
      </c>
    </row>
    <row r="693" spans="1:10" x14ac:dyDescent="0.25">
      <c r="A693">
        <v>10451</v>
      </c>
      <c r="B693" t="s">
        <v>170</v>
      </c>
      <c r="C693" s="1">
        <v>45531</v>
      </c>
      <c r="D693" t="s">
        <v>10</v>
      </c>
      <c r="E693" t="s">
        <v>11</v>
      </c>
      <c r="F693">
        <v>2</v>
      </c>
      <c r="G693">
        <v>472.06</v>
      </c>
      <c r="H693">
        <v>944.12</v>
      </c>
      <c r="I693" t="s">
        <v>14</v>
      </c>
      <c r="J693" t="str">
        <f t="shared" si="10"/>
        <v>Repeat Customer</v>
      </c>
    </row>
    <row r="694" spans="1:10" x14ac:dyDescent="0.25">
      <c r="A694">
        <v>10819</v>
      </c>
      <c r="B694" t="s">
        <v>170</v>
      </c>
      <c r="C694" s="1">
        <v>45715</v>
      </c>
      <c r="D694" t="s">
        <v>10</v>
      </c>
      <c r="E694" t="s">
        <v>19</v>
      </c>
      <c r="F694">
        <v>2</v>
      </c>
      <c r="G694">
        <v>251.04</v>
      </c>
      <c r="H694">
        <v>502.08</v>
      </c>
      <c r="I694" t="s">
        <v>32</v>
      </c>
      <c r="J694" t="str">
        <f t="shared" si="10"/>
        <v>Repeat Customer</v>
      </c>
    </row>
    <row r="695" spans="1:10" x14ac:dyDescent="0.25">
      <c r="A695">
        <v>10874</v>
      </c>
      <c r="B695" t="s">
        <v>170</v>
      </c>
      <c r="C695" s="1">
        <v>45635</v>
      </c>
      <c r="D695" t="s">
        <v>24</v>
      </c>
      <c r="E695" t="s">
        <v>19</v>
      </c>
      <c r="F695">
        <v>5</v>
      </c>
      <c r="G695">
        <v>137.21</v>
      </c>
      <c r="H695">
        <v>686.05</v>
      </c>
      <c r="I695" t="s">
        <v>32</v>
      </c>
      <c r="J695" t="str">
        <f t="shared" si="10"/>
        <v>Repeat Customer</v>
      </c>
    </row>
    <row r="696" spans="1:10" x14ac:dyDescent="0.25">
      <c r="A696">
        <v>11031</v>
      </c>
      <c r="B696" t="s">
        <v>170</v>
      </c>
      <c r="C696" s="1">
        <v>45431</v>
      </c>
      <c r="D696" t="s">
        <v>16</v>
      </c>
      <c r="E696" t="s">
        <v>25</v>
      </c>
      <c r="F696">
        <v>1</v>
      </c>
      <c r="G696">
        <v>132.91</v>
      </c>
      <c r="H696">
        <v>132.91</v>
      </c>
      <c r="I696" t="s">
        <v>12</v>
      </c>
      <c r="J696" t="str">
        <f t="shared" si="10"/>
        <v>Repeat Customer</v>
      </c>
    </row>
    <row r="697" spans="1:10" x14ac:dyDescent="0.25">
      <c r="A697">
        <v>11261</v>
      </c>
      <c r="B697" t="s">
        <v>170</v>
      </c>
      <c r="C697" s="1">
        <v>45449</v>
      </c>
      <c r="D697" t="s">
        <v>10</v>
      </c>
      <c r="E697" t="s">
        <v>11</v>
      </c>
      <c r="F697">
        <v>8</v>
      </c>
      <c r="G697">
        <v>182.25</v>
      </c>
      <c r="H697">
        <v>1458</v>
      </c>
      <c r="I697" t="s">
        <v>14</v>
      </c>
      <c r="J697" t="str">
        <f t="shared" si="10"/>
        <v>Repeat Customer</v>
      </c>
    </row>
    <row r="698" spans="1:10" x14ac:dyDescent="0.25">
      <c r="A698">
        <v>11285</v>
      </c>
      <c r="B698" t="s">
        <v>170</v>
      </c>
      <c r="C698" s="1">
        <v>45784</v>
      </c>
      <c r="D698" t="s">
        <v>16</v>
      </c>
      <c r="E698" t="s">
        <v>31</v>
      </c>
      <c r="F698">
        <v>2</v>
      </c>
      <c r="G698">
        <v>475.75</v>
      </c>
      <c r="H698">
        <v>951.5</v>
      </c>
      <c r="I698" t="s">
        <v>32</v>
      </c>
      <c r="J698" t="str">
        <f t="shared" si="10"/>
        <v>Repeat Customer</v>
      </c>
    </row>
    <row r="699" spans="1:10" x14ac:dyDescent="0.25">
      <c r="A699">
        <v>10074</v>
      </c>
      <c r="B699" t="s">
        <v>82</v>
      </c>
      <c r="C699" s="1">
        <v>45742</v>
      </c>
      <c r="D699" t="s">
        <v>10</v>
      </c>
      <c r="E699" t="s">
        <v>19</v>
      </c>
      <c r="F699">
        <v>2</v>
      </c>
      <c r="G699">
        <v>358.2</v>
      </c>
      <c r="H699">
        <v>716.4</v>
      </c>
      <c r="I699" t="s">
        <v>22</v>
      </c>
      <c r="J699" t="str">
        <f t="shared" si="10"/>
        <v>Repeat Customer</v>
      </c>
    </row>
    <row r="700" spans="1:10" x14ac:dyDescent="0.25">
      <c r="A700">
        <v>10148</v>
      </c>
      <c r="B700" t="s">
        <v>82</v>
      </c>
      <c r="C700" s="1">
        <v>45300</v>
      </c>
      <c r="D700" t="s">
        <v>24</v>
      </c>
      <c r="E700" t="s">
        <v>31</v>
      </c>
      <c r="F700">
        <v>10</v>
      </c>
      <c r="G700">
        <v>433.21</v>
      </c>
      <c r="H700">
        <v>4332.1000000000004</v>
      </c>
      <c r="I700" t="s">
        <v>22</v>
      </c>
      <c r="J700" t="str">
        <f t="shared" si="10"/>
        <v>Repeat Customer</v>
      </c>
    </row>
    <row r="701" spans="1:10" x14ac:dyDescent="0.25">
      <c r="A701">
        <v>11154</v>
      </c>
      <c r="B701" t="s">
        <v>82</v>
      </c>
      <c r="C701" s="1">
        <v>45502</v>
      </c>
      <c r="D701" t="s">
        <v>18</v>
      </c>
      <c r="E701" t="s">
        <v>31</v>
      </c>
      <c r="F701">
        <v>4</v>
      </c>
      <c r="G701">
        <v>415.7</v>
      </c>
      <c r="H701">
        <v>1662.8</v>
      </c>
      <c r="I701" t="s">
        <v>12</v>
      </c>
      <c r="J701" t="str">
        <f t="shared" si="10"/>
        <v>Repeat Customer</v>
      </c>
    </row>
    <row r="702" spans="1:10" x14ac:dyDescent="0.25">
      <c r="A702">
        <v>11185</v>
      </c>
      <c r="B702" t="s">
        <v>82</v>
      </c>
      <c r="C702" s="1">
        <v>45416</v>
      </c>
      <c r="D702" t="s">
        <v>16</v>
      </c>
      <c r="E702" t="s">
        <v>11</v>
      </c>
      <c r="F702">
        <v>9</v>
      </c>
      <c r="G702">
        <v>235.96</v>
      </c>
      <c r="H702">
        <v>2123.64</v>
      </c>
      <c r="I702" t="s">
        <v>14</v>
      </c>
      <c r="J702" t="str">
        <f t="shared" si="10"/>
        <v>Repeat Customer</v>
      </c>
    </row>
    <row r="703" spans="1:10" x14ac:dyDescent="0.25">
      <c r="A703">
        <v>10505</v>
      </c>
      <c r="B703" t="s">
        <v>254</v>
      </c>
      <c r="C703" s="1">
        <v>45704</v>
      </c>
      <c r="D703" t="s">
        <v>21</v>
      </c>
      <c r="E703" t="s">
        <v>11</v>
      </c>
      <c r="F703">
        <v>3</v>
      </c>
      <c r="G703">
        <v>311.02999999999997</v>
      </c>
      <c r="H703">
        <v>933.09</v>
      </c>
      <c r="I703" t="s">
        <v>32</v>
      </c>
      <c r="J703" t="str">
        <f t="shared" si="10"/>
        <v>Repeat Customer</v>
      </c>
    </row>
    <row r="704" spans="1:10" x14ac:dyDescent="0.25">
      <c r="A704">
        <v>10619</v>
      </c>
      <c r="B704" t="s">
        <v>254</v>
      </c>
      <c r="C704" s="1">
        <v>45660</v>
      </c>
      <c r="D704" t="s">
        <v>16</v>
      </c>
      <c r="E704" t="s">
        <v>31</v>
      </c>
      <c r="F704">
        <v>3</v>
      </c>
      <c r="G704">
        <v>341.39</v>
      </c>
      <c r="H704">
        <v>1024.17</v>
      </c>
      <c r="I704" t="s">
        <v>32</v>
      </c>
      <c r="J704" t="str">
        <f t="shared" si="10"/>
        <v>Repeat Customer</v>
      </c>
    </row>
    <row r="705" spans="1:10" x14ac:dyDescent="0.25">
      <c r="A705">
        <v>10663</v>
      </c>
      <c r="B705" t="s">
        <v>254</v>
      </c>
      <c r="C705" s="1">
        <v>45523</v>
      </c>
      <c r="D705" t="s">
        <v>21</v>
      </c>
      <c r="E705" t="s">
        <v>31</v>
      </c>
      <c r="F705">
        <v>10</v>
      </c>
      <c r="G705">
        <v>481.71</v>
      </c>
      <c r="H705">
        <v>4817.1000000000004</v>
      </c>
      <c r="I705" t="s">
        <v>12</v>
      </c>
      <c r="J705" t="str">
        <f t="shared" si="10"/>
        <v>Repeat Customer</v>
      </c>
    </row>
    <row r="706" spans="1:10" x14ac:dyDescent="0.25">
      <c r="A706">
        <v>10182</v>
      </c>
      <c r="B706" t="s">
        <v>151</v>
      </c>
      <c r="C706" s="1">
        <v>45879</v>
      </c>
      <c r="D706" t="s">
        <v>18</v>
      </c>
      <c r="E706" t="s">
        <v>11</v>
      </c>
      <c r="F706">
        <v>4</v>
      </c>
      <c r="G706">
        <v>404.57</v>
      </c>
      <c r="H706">
        <v>1618.28</v>
      </c>
      <c r="I706" t="s">
        <v>22</v>
      </c>
      <c r="J706" t="str">
        <f t="shared" ref="J706:J769" si="11">IF(COUNTIF($B:$B,B706)&gt;1,"Repeat Customer","New Customer")</f>
        <v>Repeat Customer</v>
      </c>
    </row>
    <row r="707" spans="1:10" x14ac:dyDescent="0.25">
      <c r="A707">
        <v>10246</v>
      </c>
      <c r="B707" t="s">
        <v>151</v>
      </c>
      <c r="C707" s="1">
        <v>45547</v>
      </c>
      <c r="D707" t="s">
        <v>10</v>
      </c>
      <c r="E707" t="s">
        <v>31</v>
      </c>
      <c r="F707">
        <v>2</v>
      </c>
      <c r="G707">
        <v>17.829999999999998</v>
      </c>
      <c r="H707">
        <v>35.659999999999997</v>
      </c>
      <c r="I707" t="s">
        <v>32</v>
      </c>
      <c r="J707" t="str">
        <f t="shared" si="11"/>
        <v>Repeat Customer</v>
      </c>
    </row>
    <row r="708" spans="1:10" x14ac:dyDescent="0.25">
      <c r="A708">
        <v>10385</v>
      </c>
      <c r="B708" t="s">
        <v>151</v>
      </c>
      <c r="C708" s="1">
        <v>46012</v>
      </c>
      <c r="D708" t="s">
        <v>18</v>
      </c>
      <c r="E708" t="s">
        <v>25</v>
      </c>
      <c r="F708">
        <v>2</v>
      </c>
      <c r="G708">
        <v>290.79000000000002</v>
      </c>
      <c r="H708">
        <v>581.58000000000004</v>
      </c>
      <c r="I708" t="s">
        <v>22</v>
      </c>
      <c r="J708" t="str">
        <f t="shared" si="11"/>
        <v>Repeat Customer</v>
      </c>
    </row>
    <row r="709" spans="1:10" x14ac:dyDescent="0.25">
      <c r="A709">
        <v>10925</v>
      </c>
      <c r="B709" t="s">
        <v>151</v>
      </c>
      <c r="C709" s="1">
        <v>45306</v>
      </c>
      <c r="D709" t="s">
        <v>10</v>
      </c>
      <c r="E709" t="s">
        <v>25</v>
      </c>
      <c r="F709">
        <v>7</v>
      </c>
      <c r="G709">
        <v>369.41</v>
      </c>
      <c r="H709">
        <v>2585.87</v>
      </c>
      <c r="I709" t="s">
        <v>22</v>
      </c>
      <c r="J709" t="str">
        <f t="shared" si="11"/>
        <v>Repeat Customer</v>
      </c>
    </row>
    <row r="710" spans="1:10" x14ac:dyDescent="0.25">
      <c r="A710">
        <v>10370</v>
      </c>
      <c r="B710" t="s">
        <v>221</v>
      </c>
      <c r="C710" s="1">
        <v>45694</v>
      </c>
      <c r="D710" t="s">
        <v>18</v>
      </c>
      <c r="E710" t="s">
        <v>25</v>
      </c>
      <c r="F710">
        <v>6</v>
      </c>
      <c r="G710">
        <v>61.37</v>
      </c>
      <c r="H710">
        <v>368.22</v>
      </c>
      <c r="I710" t="s">
        <v>14</v>
      </c>
      <c r="J710" t="str">
        <f t="shared" si="11"/>
        <v>Repeat Customer</v>
      </c>
    </row>
    <row r="711" spans="1:10" x14ac:dyDescent="0.25">
      <c r="A711">
        <v>10464</v>
      </c>
      <c r="B711" t="s">
        <v>221</v>
      </c>
      <c r="C711" s="1">
        <v>45684</v>
      </c>
      <c r="D711" t="s">
        <v>18</v>
      </c>
      <c r="E711" t="s">
        <v>25</v>
      </c>
      <c r="F711">
        <v>3</v>
      </c>
      <c r="G711">
        <v>212.52</v>
      </c>
      <c r="H711">
        <v>637.55999999999995</v>
      </c>
      <c r="I711" t="s">
        <v>12</v>
      </c>
      <c r="J711" t="str">
        <f t="shared" si="11"/>
        <v>Repeat Customer</v>
      </c>
    </row>
    <row r="712" spans="1:10" x14ac:dyDescent="0.25">
      <c r="A712">
        <v>10467</v>
      </c>
      <c r="B712" t="s">
        <v>221</v>
      </c>
      <c r="C712" s="1">
        <v>45351</v>
      </c>
      <c r="D712" t="s">
        <v>18</v>
      </c>
      <c r="E712" t="s">
        <v>25</v>
      </c>
      <c r="F712">
        <v>8</v>
      </c>
      <c r="G712">
        <v>267.07</v>
      </c>
      <c r="H712">
        <v>2136.56</v>
      </c>
      <c r="I712" t="s">
        <v>14</v>
      </c>
      <c r="J712" t="str">
        <f t="shared" si="11"/>
        <v>Repeat Customer</v>
      </c>
    </row>
    <row r="713" spans="1:10" x14ac:dyDescent="0.25">
      <c r="A713">
        <v>10621</v>
      </c>
      <c r="B713" t="s">
        <v>221</v>
      </c>
      <c r="C713" s="1">
        <v>45435</v>
      </c>
      <c r="D713" t="s">
        <v>24</v>
      </c>
      <c r="E713" t="s">
        <v>11</v>
      </c>
      <c r="F713">
        <v>9</v>
      </c>
      <c r="G713">
        <v>102.23</v>
      </c>
      <c r="H713">
        <v>920.07</v>
      </c>
      <c r="I713" t="s">
        <v>12</v>
      </c>
      <c r="J713" t="str">
        <f t="shared" si="11"/>
        <v>Repeat Customer</v>
      </c>
    </row>
    <row r="714" spans="1:10" x14ac:dyDescent="0.25">
      <c r="A714">
        <v>10817</v>
      </c>
      <c r="B714" t="s">
        <v>221</v>
      </c>
      <c r="C714" s="1">
        <v>45323</v>
      </c>
      <c r="D714" t="s">
        <v>18</v>
      </c>
      <c r="E714" t="s">
        <v>25</v>
      </c>
      <c r="F714">
        <v>6</v>
      </c>
      <c r="G714">
        <v>491.89</v>
      </c>
      <c r="H714">
        <v>2951.34</v>
      </c>
      <c r="I714" t="s">
        <v>32</v>
      </c>
      <c r="J714" t="str">
        <f t="shared" si="11"/>
        <v>Repeat Customer</v>
      </c>
    </row>
    <row r="715" spans="1:10" x14ac:dyDescent="0.25">
      <c r="A715">
        <v>11126</v>
      </c>
      <c r="B715" t="s">
        <v>221</v>
      </c>
      <c r="C715" s="1">
        <v>45832</v>
      </c>
      <c r="D715" t="s">
        <v>21</v>
      </c>
      <c r="E715" t="s">
        <v>31</v>
      </c>
      <c r="F715">
        <v>10</v>
      </c>
      <c r="G715">
        <v>460.62</v>
      </c>
      <c r="H715">
        <v>4606.2</v>
      </c>
      <c r="I715" t="s">
        <v>14</v>
      </c>
      <c r="J715" t="str">
        <f t="shared" si="11"/>
        <v>Repeat Customer</v>
      </c>
    </row>
    <row r="716" spans="1:10" x14ac:dyDescent="0.25">
      <c r="A716">
        <v>11218</v>
      </c>
      <c r="B716" t="s">
        <v>221</v>
      </c>
      <c r="C716" s="1">
        <v>45421</v>
      </c>
      <c r="D716" t="s">
        <v>21</v>
      </c>
      <c r="E716" t="s">
        <v>25</v>
      </c>
      <c r="F716">
        <v>9</v>
      </c>
      <c r="G716">
        <v>484.35</v>
      </c>
      <c r="H716">
        <v>4359.1499999999996</v>
      </c>
      <c r="I716" t="s">
        <v>12</v>
      </c>
      <c r="J716" t="str">
        <f t="shared" si="11"/>
        <v>Repeat Customer</v>
      </c>
    </row>
    <row r="717" spans="1:10" x14ac:dyDescent="0.25">
      <c r="A717">
        <v>11394</v>
      </c>
      <c r="B717" t="s">
        <v>221</v>
      </c>
      <c r="C717" s="1">
        <v>45409</v>
      </c>
      <c r="D717" t="s">
        <v>10</v>
      </c>
      <c r="E717" t="s">
        <v>31</v>
      </c>
      <c r="F717">
        <v>5</v>
      </c>
      <c r="G717">
        <v>497.16</v>
      </c>
      <c r="H717">
        <v>2485.8000000000002</v>
      </c>
      <c r="I717" t="s">
        <v>14</v>
      </c>
      <c r="J717" t="str">
        <f t="shared" si="11"/>
        <v>Repeat Customer</v>
      </c>
    </row>
    <row r="718" spans="1:10" x14ac:dyDescent="0.25">
      <c r="A718">
        <v>10811</v>
      </c>
      <c r="B718" t="s">
        <v>303</v>
      </c>
      <c r="C718" s="1">
        <v>45552</v>
      </c>
      <c r="D718" t="s">
        <v>18</v>
      </c>
      <c r="E718" t="s">
        <v>19</v>
      </c>
      <c r="F718">
        <v>2</v>
      </c>
      <c r="G718">
        <v>157.35</v>
      </c>
      <c r="H718">
        <v>314.7</v>
      </c>
      <c r="I718" t="s">
        <v>12</v>
      </c>
      <c r="J718" t="str">
        <f t="shared" si="11"/>
        <v>Repeat Customer</v>
      </c>
    </row>
    <row r="719" spans="1:10" x14ac:dyDescent="0.25">
      <c r="A719">
        <v>11464</v>
      </c>
      <c r="B719" t="s">
        <v>303</v>
      </c>
      <c r="C719" s="1">
        <v>45699</v>
      </c>
      <c r="D719" t="s">
        <v>21</v>
      </c>
      <c r="E719" t="s">
        <v>19</v>
      </c>
      <c r="F719">
        <v>9</v>
      </c>
      <c r="G719">
        <v>101.47</v>
      </c>
      <c r="H719">
        <v>913.23</v>
      </c>
      <c r="I719" t="s">
        <v>14</v>
      </c>
      <c r="J719" t="str">
        <f t="shared" si="11"/>
        <v>Repeat Customer</v>
      </c>
    </row>
    <row r="720" spans="1:10" x14ac:dyDescent="0.25">
      <c r="A720">
        <v>10688</v>
      </c>
      <c r="B720" t="s">
        <v>284</v>
      </c>
      <c r="C720" s="1">
        <v>45655</v>
      </c>
      <c r="D720" t="s">
        <v>21</v>
      </c>
      <c r="E720" t="s">
        <v>31</v>
      </c>
      <c r="F720">
        <v>6</v>
      </c>
      <c r="G720">
        <v>338.23</v>
      </c>
      <c r="H720">
        <v>2029.38</v>
      </c>
      <c r="I720" t="s">
        <v>12</v>
      </c>
      <c r="J720" t="str">
        <f t="shared" si="11"/>
        <v>Repeat Customer</v>
      </c>
    </row>
    <row r="721" spans="1:10" x14ac:dyDescent="0.25">
      <c r="A721">
        <v>10878</v>
      </c>
      <c r="B721" t="s">
        <v>284</v>
      </c>
      <c r="C721" s="1">
        <v>45549</v>
      </c>
      <c r="D721" t="s">
        <v>18</v>
      </c>
      <c r="E721" t="s">
        <v>11</v>
      </c>
      <c r="F721">
        <v>4</v>
      </c>
      <c r="G721">
        <v>21.85</v>
      </c>
      <c r="H721">
        <v>87.4</v>
      </c>
      <c r="I721" t="s">
        <v>12</v>
      </c>
      <c r="J721" t="str">
        <f t="shared" si="11"/>
        <v>Repeat Customer</v>
      </c>
    </row>
    <row r="722" spans="1:10" x14ac:dyDescent="0.25">
      <c r="A722">
        <v>10949</v>
      </c>
      <c r="B722" t="s">
        <v>284</v>
      </c>
      <c r="C722" s="1">
        <v>45758</v>
      </c>
      <c r="D722" t="s">
        <v>10</v>
      </c>
      <c r="E722" t="s">
        <v>19</v>
      </c>
      <c r="F722">
        <v>3</v>
      </c>
      <c r="G722">
        <v>311.22000000000003</v>
      </c>
      <c r="H722">
        <v>933.66</v>
      </c>
      <c r="I722" t="s">
        <v>14</v>
      </c>
      <c r="J722" t="str">
        <f t="shared" si="11"/>
        <v>Repeat Customer</v>
      </c>
    </row>
    <row r="723" spans="1:10" x14ac:dyDescent="0.25">
      <c r="A723">
        <v>11145</v>
      </c>
      <c r="B723" t="s">
        <v>284</v>
      </c>
      <c r="C723" s="1">
        <v>45512</v>
      </c>
      <c r="D723" t="s">
        <v>21</v>
      </c>
      <c r="E723" t="s">
        <v>11</v>
      </c>
      <c r="F723">
        <v>3</v>
      </c>
      <c r="G723">
        <v>410.47</v>
      </c>
      <c r="H723">
        <v>1231.4100000000001</v>
      </c>
      <c r="I723" t="s">
        <v>12</v>
      </c>
      <c r="J723" t="str">
        <f t="shared" si="11"/>
        <v>Repeat Customer</v>
      </c>
    </row>
    <row r="724" spans="1:10" x14ac:dyDescent="0.25">
      <c r="A724">
        <v>10270</v>
      </c>
      <c r="B724" t="s">
        <v>187</v>
      </c>
      <c r="C724" s="1">
        <v>45841</v>
      </c>
      <c r="D724" t="s">
        <v>21</v>
      </c>
      <c r="E724" t="s">
        <v>25</v>
      </c>
      <c r="F724">
        <v>1</v>
      </c>
      <c r="G724">
        <v>424.35</v>
      </c>
      <c r="H724">
        <v>424.35</v>
      </c>
      <c r="I724" t="s">
        <v>22</v>
      </c>
      <c r="J724" t="str">
        <f t="shared" si="11"/>
        <v>Repeat Customer</v>
      </c>
    </row>
    <row r="725" spans="1:10" x14ac:dyDescent="0.25">
      <c r="A725">
        <v>10314</v>
      </c>
      <c r="B725" t="s">
        <v>187</v>
      </c>
      <c r="C725" s="1">
        <v>45710</v>
      </c>
      <c r="D725" t="s">
        <v>21</v>
      </c>
      <c r="E725" t="s">
        <v>19</v>
      </c>
      <c r="F725">
        <v>3</v>
      </c>
      <c r="G725">
        <v>385.64</v>
      </c>
      <c r="H725">
        <v>1156.92</v>
      </c>
      <c r="I725" t="s">
        <v>32</v>
      </c>
      <c r="J725" t="str">
        <f t="shared" si="11"/>
        <v>Repeat Customer</v>
      </c>
    </row>
    <row r="726" spans="1:10" x14ac:dyDescent="0.25">
      <c r="A726">
        <v>11435</v>
      </c>
      <c r="B726" t="s">
        <v>187</v>
      </c>
      <c r="C726" s="1">
        <v>45523</v>
      </c>
      <c r="D726" t="s">
        <v>24</v>
      </c>
      <c r="E726" t="s">
        <v>31</v>
      </c>
      <c r="F726">
        <v>7</v>
      </c>
      <c r="G726">
        <v>344.95</v>
      </c>
      <c r="H726">
        <v>2414.65</v>
      </c>
      <c r="I726" t="s">
        <v>14</v>
      </c>
      <c r="J726" t="str">
        <f t="shared" si="11"/>
        <v>Repeat Customer</v>
      </c>
    </row>
    <row r="727" spans="1:10" x14ac:dyDescent="0.25">
      <c r="A727">
        <v>11454</v>
      </c>
      <c r="B727" t="s">
        <v>187</v>
      </c>
      <c r="C727" s="1">
        <v>45405</v>
      </c>
      <c r="D727" t="s">
        <v>24</v>
      </c>
      <c r="E727" t="s">
        <v>25</v>
      </c>
      <c r="F727">
        <v>3</v>
      </c>
      <c r="G727">
        <v>34.700000000000003</v>
      </c>
      <c r="H727">
        <v>104.1</v>
      </c>
      <c r="I727" t="s">
        <v>14</v>
      </c>
      <c r="J727" t="str">
        <f t="shared" si="11"/>
        <v>Repeat Customer</v>
      </c>
    </row>
    <row r="728" spans="1:10" x14ac:dyDescent="0.25">
      <c r="A728">
        <v>10391</v>
      </c>
      <c r="B728" t="s">
        <v>225</v>
      </c>
      <c r="C728" s="1">
        <v>45435</v>
      </c>
      <c r="D728" t="s">
        <v>21</v>
      </c>
      <c r="E728" t="s">
        <v>11</v>
      </c>
      <c r="F728">
        <v>3</v>
      </c>
      <c r="G728">
        <v>160.72</v>
      </c>
      <c r="H728">
        <v>482.16</v>
      </c>
      <c r="I728" t="s">
        <v>22</v>
      </c>
      <c r="J728" t="str">
        <f t="shared" si="11"/>
        <v>Repeat Customer</v>
      </c>
    </row>
    <row r="729" spans="1:10" x14ac:dyDescent="0.25">
      <c r="A729">
        <v>10669</v>
      </c>
      <c r="B729" t="s">
        <v>225</v>
      </c>
      <c r="C729" s="1">
        <v>45387</v>
      </c>
      <c r="D729" t="s">
        <v>16</v>
      </c>
      <c r="E729" t="s">
        <v>11</v>
      </c>
      <c r="F729">
        <v>7</v>
      </c>
      <c r="G729">
        <v>338.48</v>
      </c>
      <c r="H729">
        <v>2369.36</v>
      </c>
      <c r="I729" t="s">
        <v>14</v>
      </c>
      <c r="J729" t="str">
        <f t="shared" si="11"/>
        <v>Repeat Customer</v>
      </c>
    </row>
    <row r="730" spans="1:10" x14ac:dyDescent="0.25">
      <c r="A730">
        <v>10806</v>
      </c>
      <c r="B730" t="s">
        <v>225</v>
      </c>
      <c r="C730" s="1">
        <v>45729</v>
      </c>
      <c r="D730" t="s">
        <v>16</v>
      </c>
      <c r="E730" t="s">
        <v>19</v>
      </c>
      <c r="F730">
        <v>10</v>
      </c>
      <c r="G730">
        <v>424.66</v>
      </c>
      <c r="H730">
        <v>4246.6000000000004</v>
      </c>
      <c r="I730" t="s">
        <v>14</v>
      </c>
      <c r="J730" t="str">
        <f t="shared" si="11"/>
        <v>Repeat Customer</v>
      </c>
    </row>
    <row r="731" spans="1:10" x14ac:dyDescent="0.25">
      <c r="A731">
        <v>10852</v>
      </c>
      <c r="B731" t="s">
        <v>225</v>
      </c>
      <c r="C731" s="1">
        <v>45978</v>
      </c>
      <c r="D731" t="s">
        <v>24</v>
      </c>
      <c r="E731" t="s">
        <v>11</v>
      </c>
      <c r="F731">
        <v>3</v>
      </c>
      <c r="G731">
        <v>71.47</v>
      </c>
      <c r="H731">
        <v>214.41</v>
      </c>
      <c r="I731" t="s">
        <v>14</v>
      </c>
      <c r="J731" t="str">
        <f t="shared" si="11"/>
        <v>Repeat Customer</v>
      </c>
    </row>
    <row r="732" spans="1:10" x14ac:dyDescent="0.25">
      <c r="A732">
        <v>10553</v>
      </c>
      <c r="B732" t="s">
        <v>265</v>
      </c>
      <c r="C732" s="1">
        <v>45660</v>
      </c>
      <c r="D732" t="s">
        <v>24</v>
      </c>
      <c r="E732" t="s">
        <v>11</v>
      </c>
      <c r="F732">
        <v>6</v>
      </c>
      <c r="G732">
        <v>215.87</v>
      </c>
      <c r="H732">
        <v>1295.22</v>
      </c>
      <c r="I732" t="s">
        <v>12</v>
      </c>
      <c r="J732" t="str">
        <f t="shared" si="11"/>
        <v>Repeat Customer</v>
      </c>
    </row>
    <row r="733" spans="1:10" x14ac:dyDescent="0.25">
      <c r="A733">
        <v>10708</v>
      </c>
      <c r="B733" t="s">
        <v>265</v>
      </c>
      <c r="C733" s="1">
        <v>45405</v>
      </c>
      <c r="D733" t="s">
        <v>16</v>
      </c>
      <c r="E733" t="s">
        <v>31</v>
      </c>
      <c r="F733">
        <v>8</v>
      </c>
      <c r="G733">
        <v>310.77999999999997</v>
      </c>
      <c r="H733">
        <v>2486.2399999999998</v>
      </c>
      <c r="I733" t="s">
        <v>14</v>
      </c>
      <c r="J733" t="str">
        <f t="shared" si="11"/>
        <v>Repeat Customer</v>
      </c>
    </row>
    <row r="734" spans="1:10" x14ac:dyDescent="0.25">
      <c r="A734">
        <v>10955</v>
      </c>
      <c r="B734" t="s">
        <v>265</v>
      </c>
      <c r="C734" s="1">
        <v>45879</v>
      </c>
      <c r="D734" t="s">
        <v>21</v>
      </c>
      <c r="E734" t="s">
        <v>19</v>
      </c>
      <c r="F734">
        <v>3</v>
      </c>
      <c r="G734">
        <v>400.79</v>
      </c>
      <c r="H734">
        <v>1202.3699999999999</v>
      </c>
      <c r="I734" t="s">
        <v>12</v>
      </c>
      <c r="J734" t="str">
        <f t="shared" si="11"/>
        <v>Repeat Customer</v>
      </c>
    </row>
    <row r="735" spans="1:10" x14ac:dyDescent="0.25">
      <c r="A735">
        <v>11085</v>
      </c>
      <c r="B735" t="s">
        <v>265</v>
      </c>
      <c r="C735" s="1">
        <v>45771</v>
      </c>
      <c r="D735" t="s">
        <v>21</v>
      </c>
      <c r="E735" t="s">
        <v>19</v>
      </c>
      <c r="F735">
        <v>7</v>
      </c>
      <c r="G735">
        <v>44.2</v>
      </c>
      <c r="H735">
        <v>309.39999999999998</v>
      </c>
      <c r="I735" t="s">
        <v>14</v>
      </c>
      <c r="J735" t="str">
        <f t="shared" si="11"/>
        <v>Repeat Customer</v>
      </c>
    </row>
    <row r="736" spans="1:10" x14ac:dyDescent="0.25">
      <c r="A736">
        <v>10228</v>
      </c>
      <c r="B736" t="s">
        <v>174</v>
      </c>
      <c r="C736" s="1">
        <v>45731</v>
      </c>
      <c r="D736" t="s">
        <v>10</v>
      </c>
      <c r="E736" t="s">
        <v>31</v>
      </c>
      <c r="F736">
        <v>1</v>
      </c>
      <c r="G736">
        <v>309.33</v>
      </c>
      <c r="H736">
        <v>309.33</v>
      </c>
      <c r="I736" t="s">
        <v>14</v>
      </c>
      <c r="J736" t="str">
        <f t="shared" si="11"/>
        <v>Repeat Customer</v>
      </c>
    </row>
    <row r="737" spans="1:10" x14ac:dyDescent="0.25">
      <c r="A737">
        <v>10362</v>
      </c>
      <c r="B737" t="s">
        <v>174</v>
      </c>
      <c r="C737" s="1">
        <v>45715</v>
      </c>
      <c r="D737" t="s">
        <v>18</v>
      </c>
      <c r="E737" t="s">
        <v>25</v>
      </c>
      <c r="F737">
        <v>7</v>
      </c>
      <c r="G737">
        <v>390.69</v>
      </c>
      <c r="H737">
        <v>2734.83</v>
      </c>
      <c r="I737" t="s">
        <v>14</v>
      </c>
      <c r="J737" t="str">
        <f t="shared" si="11"/>
        <v>Repeat Customer</v>
      </c>
    </row>
    <row r="738" spans="1:10" x14ac:dyDescent="0.25">
      <c r="A738">
        <v>10369</v>
      </c>
      <c r="B738" t="s">
        <v>174</v>
      </c>
      <c r="C738" s="1">
        <v>46003</v>
      </c>
      <c r="D738" t="s">
        <v>10</v>
      </c>
      <c r="E738" t="s">
        <v>19</v>
      </c>
      <c r="F738">
        <v>8</v>
      </c>
      <c r="G738">
        <v>484.04</v>
      </c>
      <c r="H738">
        <v>3872.32</v>
      </c>
      <c r="I738" t="s">
        <v>32</v>
      </c>
      <c r="J738" t="str">
        <f t="shared" si="11"/>
        <v>Repeat Customer</v>
      </c>
    </row>
    <row r="739" spans="1:10" x14ac:dyDescent="0.25">
      <c r="A739">
        <v>10394</v>
      </c>
      <c r="B739" t="s">
        <v>174</v>
      </c>
      <c r="C739" s="1">
        <v>45325</v>
      </c>
      <c r="D739" t="s">
        <v>16</v>
      </c>
      <c r="E739" t="s">
        <v>25</v>
      </c>
      <c r="F739">
        <v>5</v>
      </c>
      <c r="G739">
        <v>116.3</v>
      </c>
      <c r="H739">
        <v>581.5</v>
      </c>
      <c r="I739" t="s">
        <v>32</v>
      </c>
      <c r="J739" t="str">
        <f t="shared" si="11"/>
        <v>Repeat Customer</v>
      </c>
    </row>
    <row r="740" spans="1:10" x14ac:dyDescent="0.25">
      <c r="A740">
        <v>10401</v>
      </c>
      <c r="B740" t="s">
        <v>174</v>
      </c>
      <c r="C740" s="1">
        <v>45588</v>
      </c>
      <c r="D740" t="s">
        <v>18</v>
      </c>
      <c r="E740" t="s">
        <v>11</v>
      </c>
      <c r="F740">
        <v>10</v>
      </c>
      <c r="G740">
        <v>137.33000000000001</v>
      </c>
      <c r="H740">
        <v>1373.3</v>
      </c>
      <c r="I740" t="s">
        <v>14</v>
      </c>
      <c r="J740" t="str">
        <f t="shared" si="11"/>
        <v>Repeat Customer</v>
      </c>
    </row>
    <row r="741" spans="1:10" x14ac:dyDescent="0.25">
      <c r="A741">
        <v>10975</v>
      </c>
      <c r="B741" t="s">
        <v>174</v>
      </c>
      <c r="C741" s="1">
        <v>45834</v>
      </c>
      <c r="D741" t="s">
        <v>10</v>
      </c>
      <c r="E741" t="s">
        <v>11</v>
      </c>
      <c r="F741">
        <v>2</v>
      </c>
      <c r="G741">
        <v>259.36</v>
      </c>
      <c r="H741">
        <v>518.72</v>
      </c>
      <c r="I741" t="s">
        <v>14</v>
      </c>
      <c r="J741" t="str">
        <f t="shared" si="11"/>
        <v>Repeat Customer</v>
      </c>
    </row>
    <row r="742" spans="1:10" x14ac:dyDescent="0.25">
      <c r="A742">
        <v>10589</v>
      </c>
      <c r="B742" t="s">
        <v>272</v>
      </c>
      <c r="C742" s="1">
        <v>45751</v>
      </c>
      <c r="D742" t="s">
        <v>24</v>
      </c>
      <c r="E742" t="s">
        <v>25</v>
      </c>
      <c r="F742">
        <v>3</v>
      </c>
      <c r="G742">
        <v>491.81</v>
      </c>
      <c r="H742">
        <v>1475.43</v>
      </c>
      <c r="I742" t="s">
        <v>14</v>
      </c>
      <c r="J742" t="str">
        <f t="shared" si="11"/>
        <v>Repeat Customer</v>
      </c>
    </row>
    <row r="743" spans="1:10" x14ac:dyDescent="0.25">
      <c r="A743">
        <v>10848</v>
      </c>
      <c r="B743" t="s">
        <v>272</v>
      </c>
      <c r="C743" s="1">
        <v>45355</v>
      </c>
      <c r="D743" t="s">
        <v>24</v>
      </c>
      <c r="E743" t="s">
        <v>11</v>
      </c>
      <c r="F743">
        <v>6</v>
      </c>
      <c r="G743">
        <v>451.03</v>
      </c>
      <c r="H743">
        <v>2706.18</v>
      </c>
      <c r="I743" t="s">
        <v>22</v>
      </c>
      <c r="J743" t="str">
        <f t="shared" si="11"/>
        <v>Repeat Customer</v>
      </c>
    </row>
    <row r="744" spans="1:10" x14ac:dyDescent="0.25">
      <c r="A744">
        <v>11107</v>
      </c>
      <c r="B744" t="s">
        <v>272</v>
      </c>
      <c r="C744" s="1">
        <v>46020</v>
      </c>
      <c r="D744" t="s">
        <v>16</v>
      </c>
      <c r="E744" t="s">
        <v>31</v>
      </c>
      <c r="F744">
        <v>7</v>
      </c>
      <c r="G744">
        <v>480.1</v>
      </c>
      <c r="H744">
        <v>3360.7</v>
      </c>
      <c r="I744" t="s">
        <v>14</v>
      </c>
      <c r="J744" t="str">
        <f t="shared" si="11"/>
        <v>Repeat Customer</v>
      </c>
    </row>
    <row r="745" spans="1:10" x14ac:dyDescent="0.25">
      <c r="A745">
        <v>11260</v>
      </c>
      <c r="B745" t="s">
        <v>272</v>
      </c>
      <c r="C745" s="1">
        <v>45419</v>
      </c>
      <c r="D745" t="s">
        <v>10</v>
      </c>
      <c r="E745" t="s">
        <v>11</v>
      </c>
      <c r="F745">
        <v>9</v>
      </c>
      <c r="G745">
        <v>372.02</v>
      </c>
      <c r="H745">
        <v>3348.18</v>
      </c>
      <c r="I745" t="s">
        <v>12</v>
      </c>
      <c r="J745" t="str">
        <f t="shared" si="11"/>
        <v>Repeat Customer</v>
      </c>
    </row>
    <row r="746" spans="1:10" x14ac:dyDescent="0.25">
      <c r="A746">
        <v>11316</v>
      </c>
      <c r="B746" t="s">
        <v>272</v>
      </c>
      <c r="C746" s="1">
        <v>45913</v>
      </c>
      <c r="D746" t="s">
        <v>18</v>
      </c>
      <c r="E746" t="s">
        <v>11</v>
      </c>
      <c r="F746">
        <v>4</v>
      </c>
      <c r="G746">
        <v>357.41</v>
      </c>
      <c r="H746">
        <v>1429.64</v>
      </c>
      <c r="I746" t="s">
        <v>14</v>
      </c>
      <c r="J746" t="str">
        <f t="shared" si="11"/>
        <v>Repeat Customer</v>
      </c>
    </row>
    <row r="747" spans="1:10" x14ac:dyDescent="0.25">
      <c r="A747">
        <v>10357</v>
      </c>
      <c r="B747" t="s">
        <v>219</v>
      </c>
      <c r="C747" s="1">
        <v>45544</v>
      </c>
      <c r="D747" t="s">
        <v>10</v>
      </c>
      <c r="E747" t="s">
        <v>31</v>
      </c>
      <c r="F747">
        <v>2</v>
      </c>
      <c r="G747">
        <v>45.61</v>
      </c>
      <c r="H747">
        <v>91.22</v>
      </c>
      <c r="I747" t="s">
        <v>14</v>
      </c>
      <c r="J747" t="str">
        <f t="shared" si="11"/>
        <v>Repeat Customer</v>
      </c>
    </row>
    <row r="748" spans="1:10" x14ac:dyDescent="0.25">
      <c r="A748">
        <v>10422</v>
      </c>
      <c r="B748" t="s">
        <v>219</v>
      </c>
      <c r="C748" s="1">
        <v>45953</v>
      </c>
      <c r="D748" t="s">
        <v>10</v>
      </c>
      <c r="E748" t="s">
        <v>31</v>
      </c>
      <c r="F748">
        <v>1</v>
      </c>
      <c r="G748">
        <v>392.98</v>
      </c>
      <c r="H748">
        <v>392.98</v>
      </c>
      <c r="I748" t="s">
        <v>32</v>
      </c>
      <c r="J748" t="str">
        <f t="shared" si="11"/>
        <v>Repeat Customer</v>
      </c>
    </row>
    <row r="749" spans="1:10" x14ac:dyDescent="0.25">
      <c r="A749">
        <v>10463</v>
      </c>
      <c r="B749" t="s">
        <v>219</v>
      </c>
      <c r="C749" s="1">
        <v>45802</v>
      </c>
      <c r="D749" t="s">
        <v>21</v>
      </c>
      <c r="E749" t="s">
        <v>11</v>
      </c>
      <c r="F749">
        <v>7</v>
      </c>
      <c r="G749">
        <v>441.98</v>
      </c>
      <c r="H749">
        <v>3093.86</v>
      </c>
      <c r="I749" t="s">
        <v>12</v>
      </c>
      <c r="J749" t="str">
        <f t="shared" si="11"/>
        <v>Repeat Customer</v>
      </c>
    </row>
    <row r="750" spans="1:10" x14ac:dyDescent="0.25">
      <c r="A750">
        <v>10585</v>
      </c>
      <c r="B750" t="s">
        <v>219</v>
      </c>
      <c r="C750" s="1">
        <v>45500</v>
      </c>
      <c r="D750" t="s">
        <v>21</v>
      </c>
      <c r="E750" t="s">
        <v>11</v>
      </c>
      <c r="F750">
        <v>9</v>
      </c>
      <c r="G750">
        <v>20.99</v>
      </c>
      <c r="H750">
        <v>188.91</v>
      </c>
      <c r="I750" t="s">
        <v>14</v>
      </c>
      <c r="J750" t="str">
        <f t="shared" si="11"/>
        <v>Repeat Customer</v>
      </c>
    </row>
    <row r="751" spans="1:10" x14ac:dyDescent="0.25">
      <c r="A751">
        <v>10600</v>
      </c>
      <c r="B751" t="s">
        <v>219</v>
      </c>
      <c r="C751" s="1">
        <v>45959</v>
      </c>
      <c r="D751" t="s">
        <v>24</v>
      </c>
      <c r="E751" t="s">
        <v>11</v>
      </c>
      <c r="F751">
        <v>4</v>
      </c>
      <c r="G751">
        <v>163.55000000000001</v>
      </c>
      <c r="H751">
        <v>654.20000000000005</v>
      </c>
      <c r="I751" t="s">
        <v>14</v>
      </c>
      <c r="J751" t="str">
        <f t="shared" si="11"/>
        <v>Repeat Customer</v>
      </c>
    </row>
    <row r="752" spans="1:10" x14ac:dyDescent="0.25">
      <c r="A752">
        <v>11277</v>
      </c>
      <c r="B752" t="s">
        <v>219</v>
      </c>
      <c r="C752" s="1">
        <v>45498</v>
      </c>
      <c r="D752" t="s">
        <v>24</v>
      </c>
      <c r="E752" t="s">
        <v>25</v>
      </c>
      <c r="F752">
        <v>3</v>
      </c>
      <c r="G752">
        <v>191</v>
      </c>
      <c r="H752">
        <v>573</v>
      </c>
      <c r="I752" t="s">
        <v>32</v>
      </c>
      <c r="J752" t="str">
        <f t="shared" si="11"/>
        <v>Repeat Customer</v>
      </c>
    </row>
    <row r="753" spans="1:10" x14ac:dyDescent="0.25">
      <c r="A753">
        <v>10489</v>
      </c>
      <c r="B753" t="s">
        <v>249</v>
      </c>
      <c r="C753" s="1">
        <v>45535</v>
      </c>
      <c r="D753" t="s">
        <v>18</v>
      </c>
      <c r="E753" t="s">
        <v>31</v>
      </c>
      <c r="F753">
        <v>2</v>
      </c>
      <c r="G753">
        <v>29.57</v>
      </c>
      <c r="H753">
        <v>59.14</v>
      </c>
      <c r="I753" t="s">
        <v>14</v>
      </c>
      <c r="J753" t="str">
        <f t="shared" si="11"/>
        <v>Repeat Customer</v>
      </c>
    </row>
    <row r="754" spans="1:10" x14ac:dyDescent="0.25">
      <c r="A754">
        <v>10539</v>
      </c>
      <c r="B754" t="s">
        <v>249</v>
      </c>
      <c r="C754" s="1">
        <v>45589</v>
      </c>
      <c r="D754" t="s">
        <v>18</v>
      </c>
      <c r="E754" t="s">
        <v>19</v>
      </c>
      <c r="F754">
        <v>8</v>
      </c>
      <c r="G754">
        <v>365.28</v>
      </c>
      <c r="H754">
        <v>2922.24</v>
      </c>
      <c r="I754" t="s">
        <v>32</v>
      </c>
      <c r="J754" t="str">
        <f t="shared" si="11"/>
        <v>Repeat Customer</v>
      </c>
    </row>
    <row r="755" spans="1:10" x14ac:dyDescent="0.25">
      <c r="A755">
        <v>10610</v>
      </c>
      <c r="B755" t="s">
        <v>249</v>
      </c>
      <c r="C755" s="1">
        <v>45985</v>
      </c>
      <c r="D755" t="s">
        <v>24</v>
      </c>
      <c r="E755" t="s">
        <v>25</v>
      </c>
      <c r="F755">
        <v>6</v>
      </c>
      <c r="G755">
        <v>478.91</v>
      </c>
      <c r="H755">
        <v>2873.46</v>
      </c>
      <c r="I755" t="s">
        <v>12</v>
      </c>
      <c r="J755" t="str">
        <f t="shared" si="11"/>
        <v>Repeat Customer</v>
      </c>
    </row>
    <row r="756" spans="1:10" x14ac:dyDescent="0.25">
      <c r="A756">
        <v>11160</v>
      </c>
      <c r="B756" t="s">
        <v>249</v>
      </c>
      <c r="C756" s="1">
        <v>45691</v>
      </c>
      <c r="D756" t="s">
        <v>21</v>
      </c>
      <c r="E756" t="s">
        <v>19</v>
      </c>
      <c r="F756">
        <v>2</v>
      </c>
      <c r="G756">
        <v>163.41999999999999</v>
      </c>
      <c r="H756">
        <v>326.83999999999997</v>
      </c>
      <c r="I756" t="s">
        <v>22</v>
      </c>
      <c r="J756" t="str">
        <f t="shared" si="11"/>
        <v>Repeat Customer</v>
      </c>
    </row>
    <row r="757" spans="1:10" x14ac:dyDescent="0.25">
      <c r="A757">
        <v>10062</v>
      </c>
      <c r="B757" t="s">
        <v>72</v>
      </c>
      <c r="C757" s="1">
        <v>45811</v>
      </c>
      <c r="D757" t="s">
        <v>16</v>
      </c>
      <c r="E757" t="s">
        <v>31</v>
      </c>
      <c r="F757">
        <v>5</v>
      </c>
      <c r="G757">
        <v>335.11</v>
      </c>
      <c r="H757">
        <v>1675.55</v>
      </c>
      <c r="I757" t="s">
        <v>22</v>
      </c>
      <c r="J757" t="str">
        <f t="shared" si="11"/>
        <v>Repeat Customer</v>
      </c>
    </row>
    <row r="758" spans="1:10" x14ac:dyDescent="0.25">
      <c r="A758">
        <v>10277</v>
      </c>
      <c r="B758" t="s">
        <v>72</v>
      </c>
      <c r="C758" s="1">
        <v>45899</v>
      </c>
      <c r="D758" t="s">
        <v>18</v>
      </c>
      <c r="E758" t="s">
        <v>31</v>
      </c>
      <c r="F758">
        <v>6</v>
      </c>
      <c r="G758">
        <v>256.12</v>
      </c>
      <c r="H758">
        <v>1536.72</v>
      </c>
      <c r="I758" t="s">
        <v>22</v>
      </c>
      <c r="J758" t="str">
        <f t="shared" si="11"/>
        <v>Repeat Customer</v>
      </c>
    </row>
    <row r="759" spans="1:10" x14ac:dyDescent="0.25">
      <c r="A759">
        <v>10324</v>
      </c>
      <c r="B759" t="s">
        <v>72</v>
      </c>
      <c r="C759" s="1">
        <v>45573</v>
      </c>
      <c r="D759" t="s">
        <v>18</v>
      </c>
      <c r="E759" t="s">
        <v>25</v>
      </c>
      <c r="F759">
        <v>1</v>
      </c>
      <c r="G759">
        <v>280.58</v>
      </c>
      <c r="H759">
        <v>280.58</v>
      </c>
      <c r="I759" t="s">
        <v>32</v>
      </c>
      <c r="J759" t="str">
        <f t="shared" si="11"/>
        <v>Repeat Customer</v>
      </c>
    </row>
    <row r="760" spans="1:10" x14ac:dyDescent="0.25">
      <c r="A760">
        <v>10381</v>
      </c>
      <c r="B760" t="s">
        <v>72</v>
      </c>
      <c r="C760" s="1">
        <v>45337</v>
      </c>
      <c r="D760" t="s">
        <v>16</v>
      </c>
      <c r="E760" t="s">
        <v>11</v>
      </c>
      <c r="F760">
        <v>2</v>
      </c>
      <c r="G760">
        <v>16.18</v>
      </c>
      <c r="H760">
        <v>32.36</v>
      </c>
      <c r="I760" t="s">
        <v>14</v>
      </c>
      <c r="J760" t="str">
        <f t="shared" si="11"/>
        <v>Repeat Customer</v>
      </c>
    </row>
    <row r="761" spans="1:10" x14ac:dyDescent="0.25">
      <c r="A761">
        <v>10497</v>
      </c>
      <c r="B761" t="s">
        <v>72</v>
      </c>
      <c r="C761" s="1">
        <v>45372</v>
      </c>
      <c r="D761" t="s">
        <v>24</v>
      </c>
      <c r="E761" t="s">
        <v>25</v>
      </c>
      <c r="F761">
        <v>7</v>
      </c>
      <c r="G761">
        <v>451.87</v>
      </c>
      <c r="H761">
        <v>3163.09</v>
      </c>
      <c r="I761" t="s">
        <v>12</v>
      </c>
      <c r="J761" t="str">
        <f t="shared" si="11"/>
        <v>Repeat Customer</v>
      </c>
    </row>
    <row r="762" spans="1:10" x14ac:dyDescent="0.25">
      <c r="A762">
        <v>10969</v>
      </c>
      <c r="B762" t="s">
        <v>72</v>
      </c>
      <c r="C762" s="1">
        <v>45947</v>
      </c>
      <c r="D762" t="s">
        <v>16</v>
      </c>
      <c r="E762" t="s">
        <v>31</v>
      </c>
      <c r="F762">
        <v>8</v>
      </c>
      <c r="G762">
        <v>66.47</v>
      </c>
      <c r="H762">
        <v>531.76</v>
      </c>
      <c r="I762" t="s">
        <v>14</v>
      </c>
      <c r="J762" t="str">
        <f t="shared" si="11"/>
        <v>Repeat Customer</v>
      </c>
    </row>
    <row r="763" spans="1:10" x14ac:dyDescent="0.25">
      <c r="A763">
        <v>11134</v>
      </c>
      <c r="B763" t="s">
        <v>72</v>
      </c>
      <c r="C763" s="1">
        <v>45583</v>
      </c>
      <c r="D763" t="s">
        <v>21</v>
      </c>
      <c r="E763" t="s">
        <v>25</v>
      </c>
      <c r="F763">
        <v>10</v>
      </c>
      <c r="G763">
        <v>337.85</v>
      </c>
      <c r="H763">
        <v>3378.5</v>
      </c>
      <c r="I763" t="s">
        <v>12</v>
      </c>
      <c r="J763" t="str">
        <f t="shared" si="11"/>
        <v>Repeat Customer</v>
      </c>
    </row>
    <row r="764" spans="1:10" x14ac:dyDescent="0.25">
      <c r="A764">
        <v>11379</v>
      </c>
      <c r="B764" t="s">
        <v>72</v>
      </c>
      <c r="C764" s="1">
        <v>45786</v>
      </c>
      <c r="D764" t="s">
        <v>24</v>
      </c>
      <c r="E764" t="s">
        <v>31</v>
      </c>
      <c r="F764">
        <v>5</v>
      </c>
      <c r="G764">
        <v>136.05000000000001</v>
      </c>
      <c r="H764">
        <v>680.25</v>
      </c>
      <c r="I764" t="s">
        <v>14</v>
      </c>
      <c r="J764" t="str">
        <f t="shared" si="11"/>
        <v>Repeat Customer</v>
      </c>
    </row>
    <row r="765" spans="1:10" x14ac:dyDescent="0.25">
      <c r="A765">
        <v>10146</v>
      </c>
      <c r="B765" t="s">
        <v>131</v>
      </c>
      <c r="C765" s="1">
        <v>45495</v>
      </c>
      <c r="D765" t="s">
        <v>24</v>
      </c>
      <c r="E765" t="s">
        <v>25</v>
      </c>
      <c r="F765">
        <v>7</v>
      </c>
      <c r="G765">
        <v>427.4</v>
      </c>
      <c r="H765">
        <v>2991.8</v>
      </c>
      <c r="I765" t="s">
        <v>32</v>
      </c>
      <c r="J765" t="str">
        <f t="shared" si="11"/>
        <v>Repeat Customer</v>
      </c>
    </row>
    <row r="766" spans="1:10" x14ac:dyDescent="0.25">
      <c r="A766">
        <v>10191</v>
      </c>
      <c r="B766" t="s">
        <v>131</v>
      </c>
      <c r="C766" s="1">
        <v>45508</v>
      </c>
      <c r="D766" t="s">
        <v>16</v>
      </c>
      <c r="E766" t="s">
        <v>19</v>
      </c>
      <c r="F766">
        <v>3</v>
      </c>
      <c r="G766">
        <v>383.26</v>
      </c>
      <c r="H766">
        <v>1149.78</v>
      </c>
      <c r="I766" t="s">
        <v>12</v>
      </c>
      <c r="J766" t="str">
        <f t="shared" si="11"/>
        <v>Repeat Customer</v>
      </c>
    </row>
    <row r="767" spans="1:10" x14ac:dyDescent="0.25">
      <c r="A767">
        <v>10226</v>
      </c>
      <c r="B767" t="s">
        <v>131</v>
      </c>
      <c r="C767" s="1">
        <v>45416</v>
      </c>
      <c r="D767" t="s">
        <v>18</v>
      </c>
      <c r="E767" t="s">
        <v>31</v>
      </c>
      <c r="F767">
        <v>1</v>
      </c>
      <c r="G767">
        <v>123.03</v>
      </c>
      <c r="H767">
        <v>123.03</v>
      </c>
      <c r="I767" t="s">
        <v>12</v>
      </c>
      <c r="J767" t="str">
        <f t="shared" si="11"/>
        <v>Repeat Customer</v>
      </c>
    </row>
    <row r="768" spans="1:10" x14ac:dyDescent="0.25">
      <c r="A768">
        <v>10411</v>
      </c>
      <c r="B768" t="s">
        <v>131</v>
      </c>
      <c r="C768" s="1">
        <v>45454</v>
      </c>
      <c r="D768" t="s">
        <v>16</v>
      </c>
      <c r="E768" t="s">
        <v>19</v>
      </c>
      <c r="F768">
        <v>5</v>
      </c>
      <c r="G768">
        <v>51.2</v>
      </c>
      <c r="H768">
        <v>256</v>
      </c>
      <c r="I768" t="s">
        <v>12</v>
      </c>
      <c r="J768" t="str">
        <f t="shared" si="11"/>
        <v>Repeat Customer</v>
      </c>
    </row>
    <row r="769" spans="1:10" x14ac:dyDescent="0.25">
      <c r="A769">
        <v>10475</v>
      </c>
      <c r="B769" t="s">
        <v>131</v>
      </c>
      <c r="C769" s="1">
        <v>45622</v>
      </c>
      <c r="D769" t="s">
        <v>21</v>
      </c>
      <c r="E769" t="s">
        <v>31</v>
      </c>
      <c r="F769">
        <v>3</v>
      </c>
      <c r="G769">
        <v>488.05</v>
      </c>
      <c r="H769">
        <v>1464.15</v>
      </c>
      <c r="I769" t="s">
        <v>22</v>
      </c>
      <c r="J769" t="str">
        <f t="shared" si="11"/>
        <v>Repeat Customer</v>
      </c>
    </row>
    <row r="770" spans="1:10" x14ac:dyDescent="0.25">
      <c r="A770">
        <v>10820</v>
      </c>
      <c r="B770" t="s">
        <v>131</v>
      </c>
      <c r="C770" s="1">
        <v>45513</v>
      </c>
      <c r="D770" t="s">
        <v>24</v>
      </c>
      <c r="E770" t="s">
        <v>19</v>
      </c>
      <c r="F770">
        <v>9</v>
      </c>
      <c r="G770">
        <v>154.65</v>
      </c>
      <c r="H770">
        <v>1391.85</v>
      </c>
      <c r="I770" t="s">
        <v>12</v>
      </c>
      <c r="J770" t="str">
        <f t="shared" ref="J770:J833" si="12">IF(COUNTIF($B:$B,B770)&gt;1,"Repeat Customer","New Customer")</f>
        <v>Repeat Customer</v>
      </c>
    </row>
    <row r="771" spans="1:10" x14ac:dyDescent="0.25">
      <c r="A771">
        <v>11098</v>
      </c>
      <c r="B771" t="s">
        <v>131</v>
      </c>
      <c r="C771" s="1">
        <v>45766</v>
      </c>
      <c r="D771" t="s">
        <v>24</v>
      </c>
      <c r="E771" t="s">
        <v>11</v>
      </c>
      <c r="F771">
        <v>3</v>
      </c>
      <c r="G771">
        <v>239.62</v>
      </c>
      <c r="H771">
        <v>718.86</v>
      </c>
      <c r="I771" t="s">
        <v>14</v>
      </c>
      <c r="J771" t="str">
        <f t="shared" si="12"/>
        <v>Repeat Customer</v>
      </c>
    </row>
    <row r="772" spans="1:10" x14ac:dyDescent="0.25">
      <c r="A772">
        <v>11128</v>
      </c>
      <c r="B772" t="s">
        <v>131</v>
      </c>
      <c r="C772" s="1">
        <v>45378</v>
      </c>
      <c r="D772" t="s">
        <v>21</v>
      </c>
      <c r="E772" t="s">
        <v>25</v>
      </c>
      <c r="F772">
        <v>1</v>
      </c>
      <c r="G772">
        <v>271.02999999999997</v>
      </c>
      <c r="H772">
        <v>271.02999999999997</v>
      </c>
      <c r="I772" t="s">
        <v>22</v>
      </c>
      <c r="J772" t="str">
        <f t="shared" si="12"/>
        <v>Repeat Customer</v>
      </c>
    </row>
    <row r="773" spans="1:10" x14ac:dyDescent="0.25">
      <c r="A773">
        <v>11194</v>
      </c>
      <c r="B773" t="s">
        <v>131</v>
      </c>
      <c r="C773" s="1">
        <v>45917</v>
      </c>
      <c r="D773" t="s">
        <v>24</v>
      </c>
      <c r="E773" t="s">
        <v>11</v>
      </c>
      <c r="F773">
        <v>7</v>
      </c>
      <c r="G773">
        <v>37.57</v>
      </c>
      <c r="H773">
        <v>262.99</v>
      </c>
      <c r="I773" t="s">
        <v>22</v>
      </c>
      <c r="J773" t="str">
        <f t="shared" si="12"/>
        <v>Repeat Customer</v>
      </c>
    </row>
    <row r="774" spans="1:10" x14ac:dyDescent="0.25">
      <c r="A774">
        <v>11439</v>
      </c>
      <c r="B774" t="s">
        <v>131</v>
      </c>
      <c r="C774" s="1">
        <v>45931</v>
      </c>
      <c r="D774" t="s">
        <v>24</v>
      </c>
      <c r="E774" t="s">
        <v>19</v>
      </c>
      <c r="F774">
        <v>5</v>
      </c>
      <c r="G774">
        <v>177.45</v>
      </c>
      <c r="H774">
        <v>887.25</v>
      </c>
      <c r="I774" t="s">
        <v>32</v>
      </c>
      <c r="J774" t="str">
        <f t="shared" si="12"/>
        <v>Repeat Customer</v>
      </c>
    </row>
    <row r="775" spans="1:10" x14ac:dyDescent="0.25">
      <c r="A775">
        <v>10454</v>
      </c>
      <c r="B775" t="s">
        <v>243</v>
      </c>
      <c r="C775" s="1">
        <v>46013</v>
      </c>
      <c r="D775" t="s">
        <v>16</v>
      </c>
      <c r="E775" t="s">
        <v>25</v>
      </c>
      <c r="F775">
        <v>10</v>
      </c>
      <c r="G775">
        <v>24.96</v>
      </c>
      <c r="H775">
        <v>249.6</v>
      </c>
      <c r="I775" t="s">
        <v>12</v>
      </c>
      <c r="J775" t="str">
        <f t="shared" si="12"/>
        <v>Repeat Customer</v>
      </c>
    </row>
    <row r="776" spans="1:10" x14ac:dyDescent="0.25">
      <c r="A776">
        <v>10891</v>
      </c>
      <c r="B776" t="s">
        <v>243</v>
      </c>
      <c r="C776" s="1">
        <v>45702</v>
      </c>
      <c r="D776" t="s">
        <v>24</v>
      </c>
      <c r="E776" t="s">
        <v>19</v>
      </c>
      <c r="F776">
        <v>1</v>
      </c>
      <c r="G776">
        <v>317.97000000000003</v>
      </c>
      <c r="H776">
        <v>317.97000000000003</v>
      </c>
      <c r="I776" t="s">
        <v>22</v>
      </c>
      <c r="J776" t="str">
        <f t="shared" si="12"/>
        <v>Repeat Customer</v>
      </c>
    </row>
    <row r="777" spans="1:10" x14ac:dyDescent="0.25">
      <c r="A777">
        <v>10947</v>
      </c>
      <c r="B777" t="s">
        <v>243</v>
      </c>
      <c r="C777" s="1">
        <v>45872</v>
      </c>
      <c r="D777" t="s">
        <v>16</v>
      </c>
      <c r="E777" t="s">
        <v>25</v>
      </c>
      <c r="F777">
        <v>3</v>
      </c>
      <c r="G777">
        <v>449.65</v>
      </c>
      <c r="H777">
        <v>1348.95</v>
      </c>
      <c r="I777" t="s">
        <v>22</v>
      </c>
      <c r="J777" t="str">
        <f t="shared" si="12"/>
        <v>Repeat Customer</v>
      </c>
    </row>
    <row r="778" spans="1:10" x14ac:dyDescent="0.25">
      <c r="A778">
        <v>10982</v>
      </c>
      <c r="B778" t="s">
        <v>243</v>
      </c>
      <c r="C778" s="1">
        <v>45321</v>
      </c>
      <c r="D778" t="s">
        <v>10</v>
      </c>
      <c r="E778" t="s">
        <v>25</v>
      </c>
      <c r="F778">
        <v>2</v>
      </c>
      <c r="G778">
        <v>115.07</v>
      </c>
      <c r="H778">
        <v>230.14</v>
      </c>
      <c r="I778" t="s">
        <v>22</v>
      </c>
      <c r="J778" t="str">
        <f t="shared" si="12"/>
        <v>Repeat Customer</v>
      </c>
    </row>
    <row r="779" spans="1:10" x14ac:dyDescent="0.25">
      <c r="A779">
        <v>11165</v>
      </c>
      <c r="B779" t="s">
        <v>243</v>
      </c>
      <c r="C779" s="1">
        <v>45873</v>
      </c>
      <c r="D779" t="s">
        <v>18</v>
      </c>
      <c r="E779" t="s">
        <v>25</v>
      </c>
      <c r="F779">
        <v>7</v>
      </c>
      <c r="G779">
        <v>225.76</v>
      </c>
      <c r="H779">
        <v>1580.32</v>
      </c>
      <c r="I779" t="s">
        <v>14</v>
      </c>
      <c r="J779" t="str">
        <f t="shared" si="12"/>
        <v>Repeat Customer</v>
      </c>
    </row>
    <row r="780" spans="1:10" x14ac:dyDescent="0.25">
      <c r="A780">
        <v>10758</v>
      </c>
      <c r="B780" t="s">
        <v>296</v>
      </c>
      <c r="C780" s="1">
        <v>45465</v>
      </c>
      <c r="D780" t="s">
        <v>21</v>
      </c>
      <c r="E780" t="s">
        <v>25</v>
      </c>
      <c r="F780">
        <v>6</v>
      </c>
      <c r="G780">
        <v>310.02999999999997</v>
      </c>
      <c r="H780">
        <v>1860.18</v>
      </c>
      <c r="I780" t="s">
        <v>32</v>
      </c>
      <c r="J780" t="str">
        <f t="shared" si="12"/>
        <v>Repeat Customer</v>
      </c>
    </row>
    <row r="781" spans="1:10" x14ac:dyDescent="0.25">
      <c r="A781">
        <v>10931</v>
      </c>
      <c r="B781" t="s">
        <v>296</v>
      </c>
      <c r="C781" s="1">
        <v>45457</v>
      </c>
      <c r="D781" t="s">
        <v>18</v>
      </c>
      <c r="E781" t="s">
        <v>11</v>
      </c>
      <c r="F781">
        <v>8</v>
      </c>
      <c r="G781">
        <v>429.67</v>
      </c>
      <c r="H781">
        <v>3437.36</v>
      </c>
      <c r="I781" t="s">
        <v>32</v>
      </c>
      <c r="J781" t="str">
        <f t="shared" si="12"/>
        <v>Repeat Customer</v>
      </c>
    </row>
    <row r="782" spans="1:10" x14ac:dyDescent="0.25">
      <c r="A782">
        <v>11214</v>
      </c>
      <c r="B782" t="s">
        <v>296</v>
      </c>
      <c r="C782" s="1">
        <v>45759</v>
      </c>
      <c r="D782" t="s">
        <v>16</v>
      </c>
      <c r="E782" t="s">
        <v>25</v>
      </c>
      <c r="F782">
        <v>4</v>
      </c>
      <c r="G782">
        <v>187.97</v>
      </c>
      <c r="H782">
        <v>751.88</v>
      </c>
      <c r="I782" t="s">
        <v>32</v>
      </c>
      <c r="J782" t="str">
        <f t="shared" si="12"/>
        <v>Repeat Customer</v>
      </c>
    </row>
    <row r="783" spans="1:10" x14ac:dyDescent="0.25">
      <c r="A783">
        <v>11380</v>
      </c>
      <c r="B783" t="s">
        <v>296</v>
      </c>
      <c r="C783" s="1">
        <v>45950</v>
      </c>
      <c r="D783" t="s">
        <v>24</v>
      </c>
      <c r="E783" t="s">
        <v>31</v>
      </c>
      <c r="F783">
        <v>9</v>
      </c>
      <c r="G783">
        <v>413.74</v>
      </c>
      <c r="H783">
        <v>3723.66</v>
      </c>
      <c r="I783" t="s">
        <v>32</v>
      </c>
      <c r="J783" t="str">
        <f t="shared" si="12"/>
        <v>Repeat Customer</v>
      </c>
    </row>
    <row r="784" spans="1:10" x14ac:dyDescent="0.25">
      <c r="A784">
        <v>10653</v>
      </c>
      <c r="B784" t="s">
        <v>280</v>
      </c>
      <c r="C784" s="1">
        <v>45883</v>
      </c>
      <c r="D784" t="s">
        <v>21</v>
      </c>
      <c r="E784" t="s">
        <v>25</v>
      </c>
      <c r="F784">
        <v>6</v>
      </c>
      <c r="G784">
        <v>388.23</v>
      </c>
      <c r="H784">
        <v>2329.38</v>
      </c>
      <c r="I784" t="s">
        <v>12</v>
      </c>
      <c r="J784" t="str">
        <f t="shared" si="12"/>
        <v>Repeat Customer</v>
      </c>
    </row>
    <row r="785" spans="1:10" x14ac:dyDescent="0.25">
      <c r="A785">
        <v>11263</v>
      </c>
      <c r="B785" t="s">
        <v>280</v>
      </c>
      <c r="C785" s="1">
        <v>45746</v>
      </c>
      <c r="D785" t="s">
        <v>24</v>
      </c>
      <c r="E785" t="s">
        <v>31</v>
      </c>
      <c r="F785">
        <v>1</v>
      </c>
      <c r="G785">
        <v>301.11</v>
      </c>
      <c r="H785">
        <v>301.11</v>
      </c>
      <c r="I785" t="s">
        <v>14</v>
      </c>
      <c r="J785" t="str">
        <f t="shared" si="12"/>
        <v>Repeat Customer</v>
      </c>
    </row>
    <row r="786" spans="1:10" x14ac:dyDescent="0.25">
      <c r="A786">
        <v>11292</v>
      </c>
      <c r="B786" t="s">
        <v>280</v>
      </c>
      <c r="C786" s="1">
        <v>45948</v>
      </c>
      <c r="D786" t="s">
        <v>24</v>
      </c>
      <c r="E786" t="s">
        <v>11</v>
      </c>
      <c r="F786">
        <v>10</v>
      </c>
      <c r="G786">
        <v>40.26</v>
      </c>
      <c r="H786">
        <v>402.6</v>
      </c>
      <c r="I786" t="s">
        <v>32</v>
      </c>
      <c r="J786" t="str">
        <f t="shared" si="12"/>
        <v>Repeat Customer</v>
      </c>
    </row>
    <row r="787" spans="1:10" x14ac:dyDescent="0.25">
      <c r="A787">
        <v>10774</v>
      </c>
      <c r="B787" t="s">
        <v>299</v>
      </c>
      <c r="C787" s="1">
        <v>45997</v>
      </c>
      <c r="D787" t="s">
        <v>21</v>
      </c>
      <c r="E787" t="s">
        <v>25</v>
      </c>
      <c r="F787">
        <v>9</v>
      </c>
      <c r="G787">
        <v>455.23</v>
      </c>
      <c r="H787">
        <v>4097.07</v>
      </c>
      <c r="I787" t="s">
        <v>14</v>
      </c>
      <c r="J787" t="str">
        <f t="shared" si="12"/>
        <v>Repeat Customer</v>
      </c>
    </row>
    <row r="788" spans="1:10" x14ac:dyDescent="0.25">
      <c r="A788">
        <v>10795</v>
      </c>
      <c r="B788" t="s">
        <v>299</v>
      </c>
      <c r="C788" s="1">
        <v>45748</v>
      </c>
      <c r="D788" t="s">
        <v>24</v>
      </c>
      <c r="E788" t="s">
        <v>25</v>
      </c>
      <c r="F788">
        <v>5</v>
      </c>
      <c r="G788">
        <v>315.08999999999997</v>
      </c>
      <c r="H788">
        <v>1575.45</v>
      </c>
      <c r="I788" t="s">
        <v>14</v>
      </c>
      <c r="J788" t="str">
        <f t="shared" si="12"/>
        <v>Repeat Customer</v>
      </c>
    </row>
    <row r="789" spans="1:10" x14ac:dyDescent="0.25">
      <c r="A789">
        <v>10834</v>
      </c>
      <c r="B789" t="s">
        <v>299</v>
      </c>
      <c r="C789" s="1">
        <v>45992</v>
      </c>
      <c r="D789" t="s">
        <v>10</v>
      </c>
      <c r="E789" t="s">
        <v>25</v>
      </c>
      <c r="F789">
        <v>8</v>
      </c>
      <c r="G789">
        <v>237.92</v>
      </c>
      <c r="H789">
        <v>1903.36</v>
      </c>
      <c r="I789" t="s">
        <v>22</v>
      </c>
      <c r="J789" t="str">
        <f t="shared" si="12"/>
        <v>Repeat Customer</v>
      </c>
    </row>
    <row r="790" spans="1:10" x14ac:dyDescent="0.25">
      <c r="A790">
        <v>11246</v>
      </c>
      <c r="B790" t="s">
        <v>299</v>
      </c>
      <c r="C790" s="1">
        <v>45734</v>
      </c>
      <c r="D790" t="s">
        <v>18</v>
      </c>
      <c r="E790" t="s">
        <v>19</v>
      </c>
      <c r="F790">
        <v>8</v>
      </c>
      <c r="G790">
        <v>83.6</v>
      </c>
      <c r="H790">
        <v>668.8</v>
      </c>
      <c r="I790" t="s">
        <v>14</v>
      </c>
      <c r="J790" t="str">
        <f t="shared" si="12"/>
        <v>Repeat Customer</v>
      </c>
    </row>
    <row r="791" spans="1:10" x14ac:dyDescent="0.25">
      <c r="A791">
        <v>10127</v>
      </c>
      <c r="B791" t="s">
        <v>119</v>
      </c>
      <c r="C791" s="1">
        <v>45856</v>
      </c>
      <c r="D791" t="s">
        <v>24</v>
      </c>
      <c r="E791" t="s">
        <v>25</v>
      </c>
      <c r="F791">
        <v>1</v>
      </c>
      <c r="G791">
        <v>278.36</v>
      </c>
      <c r="H791">
        <v>278.36</v>
      </c>
      <c r="I791" t="s">
        <v>12</v>
      </c>
      <c r="J791" t="str">
        <f t="shared" si="12"/>
        <v>Repeat Customer</v>
      </c>
    </row>
    <row r="792" spans="1:10" x14ac:dyDescent="0.25">
      <c r="A792">
        <v>10832</v>
      </c>
      <c r="B792" t="s">
        <v>119</v>
      </c>
      <c r="C792" s="1">
        <v>45632</v>
      </c>
      <c r="D792" t="s">
        <v>18</v>
      </c>
      <c r="E792" t="s">
        <v>11</v>
      </c>
      <c r="F792">
        <v>4</v>
      </c>
      <c r="G792">
        <v>357.88</v>
      </c>
      <c r="H792">
        <v>1431.52</v>
      </c>
      <c r="I792" t="s">
        <v>32</v>
      </c>
      <c r="J792" t="str">
        <f t="shared" si="12"/>
        <v>Repeat Customer</v>
      </c>
    </row>
    <row r="793" spans="1:10" x14ac:dyDescent="0.25">
      <c r="A793">
        <v>10981</v>
      </c>
      <c r="B793" t="s">
        <v>119</v>
      </c>
      <c r="C793" s="1">
        <v>45999</v>
      </c>
      <c r="D793" t="s">
        <v>21</v>
      </c>
      <c r="E793" t="s">
        <v>19</v>
      </c>
      <c r="F793">
        <v>6</v>
      </c>
      <c r="G793">
        <v>73.81</v>
      </c>
      <c r="H793">
        <v>442.86</v>
      </c>
      <c r="I793" t="s">
        <v>14</v>
      </c>
      <c r="J793" t="str">
        <f t="shared" si="12"/>
        <v>Repeat Customer</v>
      </c>
    </row>
    <row r="794" spans="1:10" x14ac:dyDescent="0.25">
      <c r="A794">
        <v>11201</v>
      </c>
      <c r="B794" t="s">
        <v>119</v>
      </c>
      <c r="C794" s="1">
        <v>45889</v>
      </c>
      <c r="D794" t="s">
        <v>10</v>
      </c>
      <c r="E794" t="s">
        <v>31</v>
      </c>
      <c r="F794">
        <v>9</v>
      </c>
      <c r="G794">
        <v>388.87</v>
      </c>
      <c r="H794">
        <v>3499.83</v>
      </c>
      <c r="I794" t="s">
        <v>22</v>
      </c>
      <c r="J794" t="str">
        <f t="shared" si="12"/>
        <v>Repeat Customer</v>
      </c>
    </row>
    <row r="795" spans="1:10" x14ac:dyDescent="0.25">
      <c r="A795">
        <v>11325</v>
      </c>
      <c r="B795" t="s">
        <v>119</v>
      </c>
      <c r="C795" s="1">
        <v>45355</v>
      </c>
      <c r="D795" t="s">
        <v>21</v>
      </c>
      <c r="E795" t="s">
        <v>31</v>
      </c>
      <c r="F795">
        <v>10</v>
      </c>
      <c r="G795">
        <v>270.12</v>
      </c>
      <c r="H795">
        <v>2701.2</v>
      </c>
      <c r="I795" t="s">
        <v>22</v>
      </c>
      <c r="J795" t="str">
        <f t="shared" si="12"/>
        <v>Repeat Customer</v>
      </c>
    </row>
    <row r="796" spans="1:10" x14ac:dyDescent="0.25">
      <c r="A796">
        <v>10416</v>
      </c>
      <c r="B796" t="s">
        <v>232</v>
      </c>
      <c r="C796" s="1">
        <v>45668</v>
      </c>
      <c r="D796" t="s">
        <v>10</v>
      </c>
      <c r="E796" t="s">
        <v>25</v>
      </c>
      <c r="F796">
        <v>5</v>
      </c>
      <c r="G796">
        <v>72.88</v>
      </c>
      <c r="H796">
        <v>364.4</v>
      </c>
      <c r="I796" t="s">
        <v>12</v>
      </c>
      <c r="J796" t="str">
        <f t="shared" si="12"/>
        <v>Repeat Customer</v>
      </c>
    </row>
    <row r="797" spans="1:10" x14ac:dyDescent="0.25">
      <c r="A797">
        <v>10533</v>
      </c>
      <c r="B797" t="s">
        <v>232</v>
      </c>
      <c r="C797" s="1">
        <v>45941</v>
      </c>
      <c r="D797" t="s">
        <v>16</v>
      </c>
      <c r="E797" t="s">
        <v>25</v>
      </c>
      <c r="F797">
        <v>1</v>
      </c>
      <c r="G797">
        <v>7.33</v>
      </c>
      <c r="H797">
        <v>7.33</v>
      </c>
      <c r="I797" t="s">
        <v>14</v>
      </c>
      <c r="J797" t="str">
        <f t="shared" si="12"/>
        <v>Repeat Customer</v>
      </c>
    </row>
    <row r="798" spans="1:10" x14ac:dyDescent="0.25">
      <c r="A798">
        <v>11193</v>
      </c>
      <c r="B798" t="s">
        <v>232</v>
      </c>
      <c r="C798" s="1">
        <v>46002</v>
      </c>
      <c r="D798" t="s">
        <v>24</v>
      </c>
      <c r="E798" t="s">
        <v>31</v>
      </c>
      <c r="F798">
        <v>2</v>
      </c>
      <c r="G798">
        <v>392.41</v>
      </c>
      <c r="H798">
        <v>784.82</v>
      </c>
      <c r="I798" t="s">
        <v>12</v>
      </c>
      <c r="J798" t="str">
        <f t="shared" si="12"/>
        <v>Repeat Customer</v>
      </c>
    </row>
    <row r="799" spans="1:10" x14ac:dyDescent="0.25">
      <c r="A799">
        <v>11371</v>
      </c>
      <c r="B799" t="s">
        <v>232</v>
      </c>
      <c r="C799" s="1">
        <v>45384</v>
      </c>
      <c r="D799" t="s">
        <v>10</v>
      </c>
      <c r="E799" t="s">
        <v>11</v>
      </c>
      <c r="F799">
        <v>2</v>
      </c>
      <c r="G799">
        <v>42.96</v>
      </c>
      <c r="H799">
        <v>85.92</v>
      </c>
      <c r="I799" t="s">
        <v>14</v>
      </c>
      <c r="J799" t="str">
        <f t="shared" si="12"/>
        <v>Repeat Customer</v>
      </c>
    </row>
    <row r="800" spans="1:10" x14ac:dyDescent="0.25">
      <c r="A800">
        <v>10201</v>
      </c>
      <c r="B800" t="s">
        <v>161</v>
      </c>
      <c r="C800" s="1">
        <v>45446</v>
      </c>
      <c r="D800" t="s">
        <v>21</v>
      </c>
      <c r="E800" t="s">
        <v>19</v>
      </c>
      <c r="F800">
        <v>8</v>
      </c>
      <c r="G800">
        <v>38.799999999999997</v>
      </c>
      <c r="H800">
        <v>310.39999999999998</v>
      </c>
      <c r="I800" t="s">
        <v>22</v>
      </c>
      <c r="J800" t="str">
        <f t="shared" si="12"/>
        <v>Repeat Customer</v>
      </c>
    </row>
    <row r="801" spans="1:10" x14ac:dyDescent="0.25">
      <c r="A801">
        <v>10618</v>
      </c>
      <c r="B801" t="s">
        <v>161</v>
      </c>
      <c r="C801" s="1">
        <v>45730</v>
      </c>
      <c r="D801" t="s">
        <v>10</v>
      </c>
      <c r="E801" t="s">
        <v>25</v>
      </c>
      <c r="F801">
        <v>3</v>
      </c>
      <c r="G801">
        <v>7.39</v>
      </c>
      <c r="H801">
        <v>22.17</v>
      </c>
      <c r="I801" t="s">
        <v>32</v>
      </c>
      <c r="J801" t="str">
        <f t="shared" si="12"/>
        <v>Repeat Customer</v>
      </c>
    </row>
    <row r="802" spans="1:10" x14ac:dyDescent="0.25">
      <c r="A802">
        <v>10668</v>
      </c>
      <c r="B802" t="s">
        <v>161</v>
      </c>
      <c r="C802" s="1">
        <v>45714</v>
      </c>
      <c r="D802" t="s">
        <v>24</v>
      </c>
      <c r="E802" t="s">
        <v>19</v>
      </c>
      <c r="F802">
        <v>6</v>
      </c>
      <c r="G802">
        <v>260.67</v>
      </c>
      <c r="H802">
        <v>1564.02</v>
      </c>
      <c r="I802" t="s">
        <v>14</v>
      </c>
      <c r="J802" t="str">
        <f t="shared" si="12"/>
        <v>Repeat Customer</v>
      </c>
    </row>
    <row r="803" spans="1:10" x14ac:dyDescent="0.25">
      <c r="A803">
        <v>10740</v>
      </c>
      <c r="B803" t="s">
        <v>161</v>
      </c>
      <c r="C803" s="1">
        <v>45855</v>
      </c>
      <c r="D803" t="s">
        <v>21</v>
      </c>
      <c r="E803" t="s">
        <v>31</v>
      </c>
      <c r="F803">
        <v>6</v>
      </c>
      <c r="G803">
        <v>423.2</v>
      </c>
      <c r="H803">
        <v>2539.1999999999998</v>
      </c>
      <c r="I803" t="s">
        <v>22</v>
      </c>
      <c r="J803" t="str">
        <f t="shared" si="12"/>
        <v>Repeat Customer</v>
      </c>
    </row>
    <row r="804" spans="1:10" x14ac:dyDescent="0.25">
      <c r="A804">
        <v>10134</v>
      </c>
      <c r="B804" t="s">
        <v>125</v>
      </c>
      <c r="C804" s="1">
        <v>45776</v>
      </c>
      <c r="D804" t="s">
        <v>10</v>
      </c>
      <c r="E804" t="s">
        <v>31</v>
      </c>
      <c r="F804">
        <v>7</v>
      </c>
      <c r="G804">
        <v>196.11</v>
      </c>
      <c r="H804">
        <v>1372.77</v>
      </c>
      <c r="I804" t="s">
        <v>12</v>
      </c>
      <c r="J804" t="str">
        <f t="shared" si="12"/>
        <v>Repeat Customer</v>
      </c>
    </row>
    <row r="805" spans="1:10" x14ac:dyDescent="0.25">
      <c r="A805">
        <v>10254</v>
      </c>
      <c r="B805" t="s">
        <v>125</v>
      </c>
      <c r="C805" s="1">
        <v>45949</v>
      </c>
      <c r="D805" t="s">
        <v>18</v>
      </c>
      <c r="E805" t="s">
        <v>19</v>
      </c>
      <c r="F805">
        <v>2</v>
      </c>
      <c r="G805">
        <v>227.74</v>
      </c>
      <c r="H805">
        <v>455.48</v>
      </c>
      <c r="I805" t="s">
        <v>14</v>
      </c>
      <c r="J805" t="str">
        <f t="shared" si="12"/>
        <v>Repeat Customer</v>
      </c>
    </row>
    <row r="806" spans="1:10" x14ac:dyDescent="0.25">
      <c r="A806">
        <v>10424</v>
      </c>
      <c r="B806" t="s">
        <v>125</v>
      </c>
      <c r="C806" s="1">
        <v>45427</v>
      </c>
      <c r="D806" t="s">
        <v>18</v>
      </c>
      <c r="E806" t="s">
        <v>31</v>
      </c>
      <c r="F806">
        <v>7</v>
      </c>
      <c r="G806">
        <v>431.1</v>
      </c>
      <c r="H806">
        <v>3017.7</v>
      </c>
      <c r="I806" t="s">
        <v>22</v>
      </c>
      <c r="J806" t="str">
        <f t="shared" si="12"/>
        <v>Repeat Customer</v>
      </c>
    </row>
    <row r="807" spans="1:10" x14ac:dyDescent="0.25">
      <c r="A807">
        <v>10479</v>
      </c>
      <c r="B807" t="s">
        <v>125</v>
      </c>
      <c r="C807" s="1">
        <v>45918</v>
      </c>
      <c r="D807" t="s">
        <v>24</v>
      </c>
      <c r="E807" t="s">
        <v>31</v>
      </c>
      <c r="F807">
        <v>4</v>
      </c>
      <c r="G807">
        <v>321.63</v>
      </c>
      <c r="H807">
        <v>1286.52</v>
      </c>
      <c r="I807" t="s">
        <v>14</v>
      </c>
      <c r="J807" t="str">
        <f t="shared" si="12"/>
        <v>Repeat Customer</v>
      </c>
    </row>
    <row r="808" spans="1:10" x14ac:dyDescent="0.25">
      <c r="A808">
        <v>10617</v>
      </c>
      <c r="B808" t="s">
        <v>125</v>
      </c>
      <c r="C808" s="1">
        <v>45789</v>
      </c>
      <c r="D808" t="s">
        <v>16</v>
      </c>
      <c r="E808" t="s">
        <v>25</v>
      </c>
      <c r="F808">
        <v>8</v>
      </c>
      <c r="G808">
        <v>167.53</v>
      </c>
      <c r="H808">
        <v>1340.24</v>
      </c>
      <c r="I808" t="s">
        <v>22</v>
      </c>
      <c r="J808" t="str">
        <f t="shared" si="12"/>
        <v>Repeat Customer</v>
      </c>
    </row>
    <row r="809" spans="1:10" x14ac:dyDescent="0.25">
      <c r="A809">
        <v>10775</v>
      </c>
      <c r="B809" t="s">
        <v>125</v>
      </c>
      <c r="C809" s="1">
        <v>45361</v>
      </c>
      <c r="D809" t="s">
        <v>24</v>
      </c>
      <c r="E809" t="s">
        <v>25</v>
      </c>
      <c r="F809">
        <v>9</v>
      </c>
      <c r="G809">
        <v>268.82</v>
      </c>
      <c r="H809">
        <v>2419.38</v>
      </c>
      <c r="I809" t="s">
        <v>22</v>
      </c>
      <c r="J809" t="str">
        <f t="shared" si="12"/>
        <v>Repeat Customer</v>
      </c>
    </row>
    <row r="810" spans="1:10" x14ac:dyDescent="0.25">
      <c r="A810">
        <v>10952</v>
      </c>
      <c r="B810" t="s">
        <v>125</v>
      </c>
      <c r="C810" s="1">
        <v>45644</v>
      </c>
      <c r="D810" t="s">
        <v>18</v>
      </c>
      <c r="E810" t="s">
        <v>25</v>
      </c>
      <c r="F810">
        <v>3</v>
      </c>
      <c r="G810">
        <v>189.59</v>
      </c>
      <c r="H810">
        <v>568.77</v>
      </c>
      <c r="I810" t="s">
        <v>22</v>
      </c>
      <c r="J810" t="str">
        <f t="shared" si="12"/>
        <v>Repeat Customer</v>
      </c>
    </row>
    <row r="811" spans="1:10" x14ac:dyDescent="0.25">
      <c r="A811">
        <v>10075</v>
      </c>
      <c r="B811" t="s">
        <v>83</v>
      </c>
      <c r="C811" s="1">
        <v>45845</v>
      </c>
      <c r="D811" t="s">
        <v>10</v>
      </c>
      <c r="E811" t="s">
        <v>31</v>
      </c>
      <c r="F811">
        <v>2</v>
      </c>
      <c r="G811">
        <v>73.5</v>
      </c>
      <c r="H811">
        <v>147</v>
      </c>
      <c r="I811" t="s">
        <v>14</v>
      </c>
      <c r="J811" t="str">
        <f t="shared" si="12"/>
        <v>Repeat Customer</v>
      </c>
    </row>
    <row r="812" spans="1:10" x14ac:dyDescent="0.25">
      <c r="A812">
        <v>10264</v>
      </c>
      <c r="B812" t="s">
        <v>83</v>
      </c>
      <c r="C812" s="1">
        <v>45645</v>
      </c>
      <c r="D812" t="s">
        <v>16</v>
      </c>
      <c r="E812" t="s">
        <v>11</v>
      </c>
      <c r="F812">
        <v>7</v>
      </c>
      <c r="G812">
        <v>69.73</v>
      </c>
      <c r="H812">
        <v>488.11</v>
      </c>
      <c r="I812" t="s">
        <v>22</v>
      </c>
      <c r="J812" t="str">
        <f t="shared" si="12"/>
        <v>Repeat Customer</v>
      </c>
    </row>
    <row r="813" spans="1:10" x14ac:dyDescent="0.25">
      <c r="A813">
        <v>10335</v>
      </c>
      <c r="B813" t="s">
        <v>83</v>
      </c>
      <c r="C813" s="1">
        <v>45500</v>
      </c>
      <c r="D813" t="s">
        <v>24</v>
      </c>
      <c r="E813" t="s">
        <v>25</v>
      </c>
      <c r="F813">
        <v>6</v>
      </c>
      <c r="G813">
        <v>159.9</v>
      </c>
      <c r="H813">
        <v>959.4</v>
      </c>
      <c r="I813" t="s">
        <v>14</v>
      </c>
      <c r="J813" t="str">
        <f t="shared" si="12"/>
        <v>Repeat Customer</v>
      </c>
    </row>
    <row r="814" spans="1:10" x14ac:dyDescent="0.25">
      <c r="A814">
        <v>11027</v>
      </c>
      <c r="B814" t="s">
        <v>83</v>
      </c>
      <c r="C814" s="1">
        <v>45357</v>
      </c>
      <c r="D814" t="s">
        <v>16</v>
      </c>
      <c r="E814" t="s">
        <v>19</v>
      </c>
      <c r="F814">
        <v>4</v>
      </c>
      <c r="G814">
        <v>423.75</v>
      </c>
      <c r="H814">
        <v>1695</v>
      </c>
      <c r="I814" t="s">
        <v>14</v>
      </c>
      <c r="J814" t="str">
        <f t="shared" si="12"/>
        <v>Repeat Customer</v>
      </c>
    </row>
    <row r="815" spans="1:10" x14ac:dyDescent="0.25">
      <c r="A815">
        <v>11329</v>
      </c>
      <c r="B815" t="s">
        <v>83</v>
      </c>
      <c r="C815" s="1">
        <v>45608</v>
      </c>
      <c r="D815" t="s">
        <v>24</v>
      </c>
      <c r="E815" t="s">
        <v>19</v>
      </c>
      <c r="F815">
        <v>9</v>
      </c>
      <c r="G815">
        <v>495.22</v>
      </c>
      <c r="H815">
        <v>4456.9799999999996</v>
      </c>
      <c r="I815" t="s">
        <v>32</v>
      </c>
      <c r="J815" t="str">
        <f t="shared" si="12"/>
        <v>Repeat Customer</v>
      </c>
    </row>
    <row r="816" spans="1:10" x14ac:dyDescent="0.25">
      <c r="A816">
        <v>10133</v>
      </c>
      <c r="B816" t="s">
        <v>124</v>
      </c>
      <c r="C816" s="1">
        <v>45485</v>
      </c>
      <c r="D816" t="s">
        <v>10</v>
      </c>
      <c r="E816" t="s">
        <v>31</v>
      </c>
      <c r="F816">
        <v>4</v>
      </c>
      <c r="G816">
        <v>288.04000000000002</v>
      </c>
      <c r="H816">
        <v>1152.1600000000001</v>
      </c>
      <c r="I816" t="s">
        <v>12</v>
      </c>
      <c r="J816" t="str">
        <f t="shared" si="12"/>
        <v>Repeat Customer</v>
      </c>
    </row>
    <row r="817" spans="1:10" x14ac:dyDescent="0.25">
      <c r="A817">
        <v>10173</v>
      </c>
      <c r="B817" t="s">
        <v>124</v>
      </c>
      <c r="C817" s="1">
        <v>45914</v>
      </c>
      <c r="D817" t="s">
        <v>16</v>
      </c>
      <c r="E817" t="s">
        <v>19</v>
      </c>
      <c r="F817">
        <v>3</v>
      </c>
      <c r="G817">
        <v>37.51</v>
      </c>
      <c r="H817">
        <v>112.53</v>
      </c>
      <c r="I817" t="s">
        <v>32</v>
      </c>
      <c r="J817" t="str">
        <f t="shared" si="12"/>
        <v>Repeat Customer</v>
      </c>
    </row>
    <row r="818" spans="1:10" x14ac:dyDescent="0.25">
      <c r="A818">
        <v>10368</v>
      </c>
      <c r="B818" t="s">
        <v>124</v>
      </c>
      <c r="C818" s="1">
        <v>45909</v>
      </c>
      <c r="D818" t="s">
        <v>10</v>
      </c>
      <c r="E818" t="s">
        <v>31</v>
      </c>
      <c r="F818">
        <v>4</v>
      </c>
      <c r="G818">
        <v>242.11</v>
      </c>
      <c r="H818">
        <v>968.44</v>
      </c>
      <c r="I818" t="s">
        <v>22</v>
      </c>
      <c r="J818" t="str">
        <f t="shared" si="12"/>
        <v>Repeat Customer</v>
      </c>
    </row>
    <row r="819" spans="1:10" x14ac:dyDescent="0.25">
      <c r="A819">
        <v>10564</v>
      </c>
      <c r="B819" t="s">
        <v>124</v>
      </c>
      <c r="C819" s="1">
        <v>45538</v>
      </c>
      <c r="D819" t="s">
        <v>24</v>
      </c>
      <c r="E819" t="s">
        <v>25</v>
      </c>
      <c r="F819">
        <v>6</v>
      </c>
      <c r="G819">
        <v>485.22</v>
      </c>
      <c r="H819">
        <v>2911.32</v>
      </c>
      <c r="I819" t="s">
        <v>32</v>
      </c>
      <c r="J819" t="str">
        <f t="shared" si="12"/>
        <v>Repeat Customer</v>
      </c>
    </row>
    <row r="820" spans="1:10" x14ac:dyDescent="0.25">
      <c r="A820">
        <v>10598</v>
      </c>
      <c r="B820" t="s">
        <v>124</v>
      </c>
      <c r="C820" s="1">
        <v>45682</v>
      </c>
      <c r="D820" t="s">
        <v>18</v>
      </c>
      <c r="E820" t="s">
        <v>19</v>
      </c>
      <c r="F820">
        <v>2</v>
      </c>
      <c r="G820">
        <v>196.01</v>
      </c>
      <c r="H820">
        <v>392.02</v>
      </c>
      <c r="I820" t="s">
        <v>12</v>
      </c>
      <c r="J820" t="str">
        <f t="shared" si="12"/>
        <v>Repeat Customer</v>
      </c>
    </row>
    <row r="821" spans="1:10" x14ac:dyDescent="0.25">
      <c r="A821">
        <v>10709</v>
      </c>
      <c r="B821" t="s">
        <v>124</v>
      </c>
      <c r="C821" s="1">
        <v>45311</v>
      </c>
      <c r="D821" t="s">
        <v>18</v>
      </c>
      <c r="E821" t="s">
        <v>11</v>
      </c>
      <c r="F821">
        <v>3</v>
      </c>
      <c r="G821">
        <v>29.57</v>
      </c>
      <c r="H821">
        <v>88.71</v>
      </c>
      <c r="I821" t="s">
        <v>14</v>
      </c>
      <c r="J821" t="str">
        <f t="shared" si="12"/>
        <v>Repeat Customer</v>
      </c>
    </row>
    <row r="822" spans="1:10" x14ac:dyDescent="0.25">
      <c r="A822">
        <v>10938</v>
      </c>
      <c r="B822" t="s">
        <v>124</v>
      </c>
      <c r="C822" s="1">
        <v>45653</v>
      </c>
      <c r="D822" t="s">
        <v>21</v>
      </c>
      <c r="E822" t="s">
        <v>19</v>
      </c>
      <c r="F822">
        <v>5</v>
      </c>
      <c r="G822">
        <v>254.27</v>
      </c>
      <c r="H822">
        <v>1271.3499999999999</v>
      </c>
      <c r="I822" t="s">
        <v>12</v>
      </c>
      <c r="J822" t="str">
        <f t="shared" si="12"/>
        <v>Repeat Customer</v>
      </c>
    </row>
    <row r="823" spans="1:10" x14ac:dyDescent="0.25">
      <c r="A823">
        <v>11011</v>
      </c>
      <c r="B823" t="s">
        <v>124</v>
      </c>
      <c r="C823" s="1">
        <v>45354</v>
      </c>
      <c r="D823" t="s">
        <v>10</v>
      </c>
      <c r="E823" t="s">
        <v>19</v>
      </c>
      <c r="F823">
        <v>1</v>
      </c>
      <c r="G823">
        <v>297.27999999999997</v>
      </c>
      <c r="H823">
        <v>297.27999999999997</v>
      </c>
      <c r="I823" t="s">
        <v>22</v>
      </c>
      <c r="J823" t="str">
        <f t="shared" si="12"/>
        <v>Repeat Customer</v>
      </c>
    </row>
    <row r="824" spans="1:10" x14ac:dyDescent="0.25">
      <c r="A824">
        <v>11017</v>
      </c>
      <c r="B824" t="s">
        <v>314</v>
      </c>
      <c r="C824" s="1">
        <v>45878</v>
      </c>
      <c r="D824" t="s">
        <v>24</v>
      </c>
      <c r="E824" t="s">
        <v>25</v>
      </c>
      <c r="F824">
        <v>2</v>
      </c>
      <c r="G824">
        <v>405.12</v>
      </c>
      <c r="H824">
        <v>810.24</v>
      </c>
      <c r="I824" t="s">
        <v>22</v>
      </c>
      <c r="J824" t="str">
        <f t="shared" si="12"/>
        <v>New Customer</v>
      </c>
    </row>
    <row r="825" spans="1:10" x14ac:dyDescent="0.25">
      <c r="A825">
        <v>10386</v>
      </c>
      <c r="B825" t="s">
        <v>224</v>
      </c>
      <c r="C825" s="1">
        <v>45493</v>
      </c>
      <c r="D825" t="s">
        <v>21</v>
      </c>
      <c r="E825" t="s">
        <v>19</v>
      </c>
      <c r="F825">
        <v>8</v>
      </c>
      <c r="G825">
        <v>61.41</v>
      </c>
      <c r="H825">
        <v>491.28</v>
      </c>
      <c r="I825" t="s">
        <v>32</v>
      </c>
      <c r="J825" t="str">
        <f t="shared" si="12"/>
        <v>Repeat Customer</v>
      </c>
    </row>
    <row r="826" spans="1:10" x14ac:dyDescent="0.25">
      <c r="A826">
        <v>10698</v>
      </c>
      <c r="B826" t="s">
        <v>224</v>
      </c>
      <c r="C826" s="1">
        <v>45779</v>
      </c>
      <c r="D826" t="s">
        <v>18</v>
      </c>
      <c r="E826" t="s">
        <v>19</v>
      </c>
      <c r="F826">
        <v>8</v>
      </c>
      <c r="G826">
        <v>487.62</v>
      </c>
      <c r="H826">
        <v>3900.96</v>
      </c>
      <c r="I826" t="s">
        <v>32</v>
      </c>
      <c r="J826" t="str">
        <f t="shared" si="12"/>
        <v>Repeat Customer</v>
      </c>
    </row>
    <row r="827" spans="1:10" x14ac:dyDescent="0.25">
      <c r="A827">
        <v>10747</v>
      </c>
      <c r="B827" t="s">
        <v>224</v>
      </c>
      <c r="C827" s="1">
        <v>45786</v>
      </c>
      <c r="D827" t="s">
        <v>18</v>
      </c>
      <c r="E827" t="s">
        <v>11</v>
      </c>
      <c r="F827">
        <v>3</v>
      </c>
      <c r="G827">
        <v>246.7</v>
      </c>
      <c r="H827">
        <v>740.1</v>
      </c>
      <c r="I827" t="s">
        <v>22</v>
      </c>
      <c r="J827" t="str">
        <f t="shared" si="12"/>
        <v>Repeat Customer</v>
      </c>
    </row>
    <row r="828" spans="1:10" x14ac:dyDescent="0.25">
      <c r="A828">
        <v>10917</v>
      </c>
      <c r="B828" t="s">
        <v>224</v>
      </c>
      <c r="C828" s="1">
        <v>45527</v>
      </c>
      <c r="D828" t="s">
        <v>24</v>
      </c>
      <c r="E828" t="s">
        <v>25</v>
      </c>
      <c r="F828">
        <v>2</v>
      </c>
      <c r="G828">
        <v>166.44</v>
      </c>
      <c r="H828">
        <v>332.88</v>
      </c>
      <c r="I828" t="s">
        <v>32</v>
      </c>
      <c r="J828" t="str">
        <f t="shared" si="12"/>
        <v>Repeat Customer</v>
      </c>
    </row>
    <row r="829" spans="1:10" x14ac:dyDescent="0.25">
      <c r="A829">
        <v>10267</v>
      </c>
      <c r="B829" t="s">
        <v>185</v>
      </c>
      <c r="C829" s="1">
        <v>45883</v>
      </c>
      <c r="D829" t="s">
        <v>10</v>
      </c>
      <c r="E829" t="s">
        <v>31</v>
      </c>
      <c r="F829">
        <v>6</v>
      </c>
      <c r="G829">
        <v>98.97</v>
      </c>
      <c r="H829">
        <v>593.82000000000005</v>
      </c>
      <c r="I829" t="s">
        <v>32</v>
      </c>
      <c r="J829" t="str">
        <f t="shared" si="12"/>
        <v>Repeat Customer</v>
      </c>
    </row>
    <row r="830" spans="1:10" x14ac:dyDescent="0.25">
      <c r="A830">
        <v>10355</v>
      </c>
      <c r="B830" t="s">
        <v>185</v>
      </c>
      <c r="C830" s="1">
        <v>45322</v>
      </c>
      <c r="D830" t="s">
        <v>21</v>
      </c>
      <c r="E830" t="s">
        <v>31</v>
      </c>
      <c r="F830">
        <v>5</v>
      </c>
      <c r="G830">
        <v>392.86</v>
      </c>
      <c r="H830">
        <v>1964.3</v>
      </c>
      <c r="I830" t="s">
        <v>14</v>
      </c>
      <c r="J830" t="str">
        <f t="shared" si="12"/>
        <v>Repeat Customer</v>
      </c>
    </row>
    <row r="831" spans="1:10" x14ac:dyDescent="0.25">
      <c r="A831">
        <v>10406</v>
      </c>
      <c r="B831" t="s">
        <v>185</v>
      </c>
      <c r="C831" s="1">
        <v>45887</v>
      </c>
      <c r="D831" t="s">
        <v>24</v>
      </c>
      <c r="E831" t="s">
        <v>31</v>
      </c>
      <c r="F831">
        <v>1</v>
      </c>
      <c r="G831">
        <v>435.11</v>
      </c>
      <c r="H831">
        <v>435.11</v>
      </c>
      <c r="I831" t="s">
        <v>22</v>
      </c>
      <c r="J831" t="str">
        <f t="shared" si="12"/>
        <v>Repeat Customer</v>
      </c>
    </row>
    <row r="832" spans="1:10" x14ac:dyDescent="0.25">
      <c r="A832">
        <v>11135</v>
      </c>
      <c r="B832" t="s">
        <v>185</v>
      </c>
      <c r="C832" s="1">
        <v>45820</v>
      </c>
      <c r="D832" t="s">
        <v>16</v>
      </c>
      <c r="E832" t="s">
        <v>31</v>
      </c>
      <c r="F832">
        <v>10</v>
      </c>
      <c r="G832">
        <v>100.31</v>
      </c>
      <c r="H832">
        <v>1003.1</v>
      </c>
      <c r="I832" t="s">
        <v>12</v>
      </c>
      <c r="J832" t="str">
        <f t="shared" si="12"/>
        <v>Repeat Customer</v>
      </c>
    </row>
    <row r="833" spans="1:10" x14ac:dyDescent="0.25">
      <c r="A833">
        <v>10211</v>
      </c>
      <c r="B833" t="s">
        <v>167</v>
      </c>
      <c r="C833" s="1">
        <v>45422</v>
      </c>
      <c r="D833" t="s">
        <v>21</v>
      </c>
      <c r="E833" t="s">
        <v>19</v>
      </c>
      <c r="F833">
        <v>9</v>
      </c>
      <c r="G833">
        <v>51.26</v>
      </c>
      <c r="H833">
        <v>461.34</v>
      </c>
      <c r="I833" t="s">
        <v>12</v>
      </c>
      <c r="J833" t="str">
        <f t="shared" si="12"/>
        <v>Repeat Customer</v>
      </c>
    </row>
    <row r="834" spans="1:10" x14ac:dyDescent="0.25">
      <c r="A834">
        <v>10367</v>
      </c>
      <c r="B834" t="s">
        <v>167</v>
      </c>
      <c r="C834" s="1">
        <v>45742</v>
      </c>
      <c r="D834" t="s">
        <v>18</v>
      </c>
      <c r="E834" t="s">
        <v>25</v>
      </c>
      <c r="F834">
        <v>6</v>
      </c>
      <c r="G834">
        <v>218.16</v>
      </c>
      <c r="H834">
        <v>1308.96</v>
      </c>
      <c r="I834" t="s">
        <v>22</v>
      </c>
      <c r="J834" t="str">
        <f t="shared" ref="J834:J897" si="13">IF(COUNTIF($B:$B,B834)&gt;1,"Repeat Customer","New Customer")</f>
        <v>Repeat Customer</v>
      </c>
    </row>
    <row r="835" spans="1:10" x14ac:dyDescent="0.25">
      <c r="A835">
        <v>11230</v>
      </c>
      <c r="B835" t="s">
        <v>167</v>
      </c>
      <c r="C835" s="1">
        <v>45548</v>
      </c>
      <c r="D835" t="s">
        <v>16</v>
      </c>
      <c r="E835" t="s">
        <v>25</v>
      </c>
      <c r="F835">
        <v>5</v>
      </c>
      <c r="G835">
        <v>373.88</v>
      </c>
      <c r="H835">
        <v>1869.4</v>
      </c>
      <c r="I835" t="s">
        <v>14</v>
      </c>
      <c r="J835" t="str">
        <f t="shared" si="13"/>
        <v>Repeat Customer</v>
      </c>
    </row>
    <row r="836" spans="1:10" x14ac:dyDescent="0.25">
      <c r="A836">
        <v>11240</v>
      </c>
      <c r="B836" t="s">
        <v>167</v>
      </c>
      <c r="C836" s="1">
        <v>45875</v>
      </c>
      <c r="D836" t="s">
        <v>16</v>
      </c>
      <c r="E836" t="s">
        <v>11</v>
      </c>
      <c r="F836">
        <v>8</v>
      </c>
      <c r="G836">
        <v>321.31</v>
      </c>
      <c r="H836">
        <v>2570.48</v>
      </c>
      <c r="I836" t="s">
        <v>14</v>
      </c>
      <c r="J836" t="str">
        <f t="shared" si="13"/>
        <v>Repeat Customer</v>
      </c>
    </row>
    <row r="837" spans="1:10" x14ac:dyDescent="0.25">
      <c r="A837">
        <v>11278</v>
      </c>
      <c r="B837" t="s">
        <v>167</v>
      </c>
      <c r="C837" s="1">
        <v>45429</v>
      </c>
      <c r="D837" t="s">
        <v>24</v>
      </c>
      <c r="E837" t="s">
        <v>31</v>
      </c>
      <c r="F837">
        <v>5</v>
      </c>
      <c r="G837">
        <v>162.18</v>
      </c>
      <c r="H837">
        <v>810.9</v>
      </c>
      <c r="I837" t="s">
        <v>22</v>
      </c>
      <c r="J837" t="str">
        <f t="shared" si="13"/>
        <v>Repeat Customer</v>
      </c>
    </row>
    <row r="838" spans="1:10" x14ac:dyDescent="0.25">
      <c r="A838">
        <v>10376</v>
      </c>
      <c r="B838" t="s">
        <v>222</v>
      </c>
      <c r="C838" s="1">
        <v>45732</v>
      </c>
      <c r="D838" t="s">
        <v>16</v>
      </c>
      <c r="E838" t="s">
        <v>25</v>
      </c>
      <c r="F838">
        <v>2</v>
      </c>
      <c r="G838">
        <v>10.220000000000001</v>
      </c>
      <c r="H838">
        <v>20.440000000000001</v>
      </c>
      <c r="I838" t="s">
        <v>14</v>
      </c>
      <c r="J838" t="str">
        <f t="shared" si="13"/>
        <v>Repeat Customer</v>
      </c>
    </row>
    <row r="839" spans="1:10" x14ac:dyDescent="0.25">
      <c r="A839">
        <v>10460</v>
      </c>
      <c r="B839" t="s">
        <v>222</v>
      </c>
      <c r="C839" s="1">
        <v>45417</v>
      </c>
      <c r="D839" t="s">
        <v>24</v>
      </c>
      <c r="E839" t="s">
        <v>25</v>
      </c>
      <c r="F839">
        <v>1</v>
      </c>
      <c r="G839">
        <v>471.43</v>
      </c>
      <c r="H839">
        <v>471.43</v>
      </c>
      <c r="I839" t="s">
        <v>32</v>
      </c>
      <c r="J839" t="str">
        <f t="shared" si="13"/>
        <v>Repeat Customer</v>
      </c>
    </row>
    <row r="840" spans="1:10" x14ac:dyDescent="0.25">
      <c r="A840">
        <v>10480</v>
      </c>
      <c r="B840" t="s">
        <v>222</v>
      </c>
      <c r="C840" s="1">
        <v>45371</v>
      </c>
      <c r="D840" t="s">
        <v>16</v>
      </c>
      <c r="E840" t="s">
        <v>25</v>
      </c>
      <c r="F840">
        <v>4</v>
      </c>
      <c r="G840">
        <v>176.67</v>
      </c>
      <c r="H840">
        <v>706.68</v>
      </c>
      <c r="I840" t="s">
        <v>12</v>
      </c>
      <c r="J840" t="str">
        <f t="shared" si="13"/>
        <v>Repeat Customer</v>
      </c>
    </row>
    <row r="841" spans="1:10" x14ac:dyDescent="0.25">
      <c r="A841">
        <v>10506</v>
      </c>
      <c r="B841" t="s">
        <v>222</v>
      </c>
      <c r="C841" s="1">
        <v>45999</v>
      </c>
      <c r="D841" t="s">
        <v>21</v>
      </c>
      <c r="E841" t="s">
        <v>19</v>
      </c>
      <c r="F841">
        <v>4</v>
      </c>
      <c r="G841">
        <v>29.4</v>
      </c>
      <c r="H841">
        <v>117.6</v>
      </c>
      <c r="I841" t="s">
        <v>22</v>
      </c>
      <c r="J841" t="str">
        <f t="shared" si="13"/>
        <v>Repeat Customer</v>
      </c>
    </row>
    <row r="842" spans="1:10" x14ac:dyDescent="0.25">
      <c r="A842">
        <v>10550</v>
      </c>
      <c r="B842" t="s">
        <v>222</v>
      </c>
      <c r="C842" s="1">
        <v>45532</v>
      </c>
      <c r="D842" t="s">
        <v>24</v>
      </c>
      <c r="E842" t="s">
        <v>11</v>
      </c>
      <c r="F842">
        <v>1</v>
      </c>
      <c r="G842">
        <v>11.31</v>
      </c>
      <c r="H842">
        <v>11.31</v>
      </c>
      <c r="I842" t="s">
        <v>32</v>
      </c>
      <c r="J842" t="str">
        <f t="shared" si="13"/>
        <v>Repeat Customer</v>
      </c>
    </row>
    <row r="843" spans="1:10" x14ac:dyDescent="0.25">
      <c r="A843">
        <v>10635</v>
      </c>
      <c r="B843" t="s">
        <v>222</v>
      </c>
      <c r="C843" s="1">
        <v>45408</v>
      </c>
      <c r="D843" t="s">
        <v>21</v>
      </c>
      <c r="E843" t="s">
        <v>25</v>
      </c>
      <c r="F843">
        <v>8</v>
      </c>
      <c r="G843">
        <v>339.24</v>
      </c>
      <c r="H843">
        <v>2713.92</v>
      </c>
      <c r="I843" t="s">
        <v>14</v>
      </c>
      <c r="J843" t="str">
        <f t="shared" si="13"/>
        <v>Repeat Customer</v>
      </c>
    </row>
    <row r="844" spans="1:10" x14ac:dyDescent="0.25">
      <c r="A844">
        <v>10165</v>
      </c>
      <c r="B844" t="s">
        <v>143</v>
      </c>
      <c r="C844" s="1">
        <v>45541</v>
      </c>
      <c r="D844" t="s">
        <v>10</v>
      </c>
      <c r="E844" t="s">
        <v>11</v>
      </c>
      <c r="F844">
        <v>3</v>
      </c>
      <c r="G844">
        <v>394.55</v>
      </c>
      <c r="H844">
        <v>1183.6500000000001</v>
      </c>
      <c r="I844" t="s">
        <v>14</v>
      </c>
      <c r="J844" t="str">
        <f t="shared" si="13"/>
        <v>Repeat Customer</v>
      </c>
    </row>
    <row r="845" spans="1:10" x14ac:dyDescent="0.25">
      <c r="A845">
        <v>11044</v>
      </c>
      <c r="B845" t="s">
        <v>143</v>
      </c>
      <c r="C845" s="1">
        <v>45724</v>
      </c>
      <c r="D845" t="s">
        <v>16</v>
      </c>
      <c r="E845" t="s">
        <v>11</v>
      </c>
      <c r="F845">
        <v>2</v>
      </c>
      <c r="G845">
        <v>413.08</v>
      </c>
      <c r="H845">
        <v>826.16</v>
      </c>
      <c r="I845" t="s">
        <v>22</v>
      </c>
      <c r="J845" t="str">
        <f t="shared" si="13"/>
        <v>Repeat Customer</v>
      </c>
    </row>
    <row r="846" spans="1:10" x14ac:dyDescent="0.25">
      <c r="A846">
        <v>11061</v>
      </c>
      <c r="B846" t="s">
        <v>143</v>
      </c>
      <c r="C846" s="1">
        <v>45532</v>
      </c>
      <c r="D846" t="s">
        <v>18</v>
      </c>
      <c r="E846" t="s">
        <v>11</v>
      </c>
      <c r="F846">
        <v>8</v>
      </c>
      <c r="G846">
        <v>454.57</v>
      </c>
      <c r="H846">
        <v>3636.56</v>
      </c>
      <c r="I846" t="s">
        <v>12</v>
      </c>
      <c r="J846" t="str">
        <f t="shared" si="13"/>
        <v>Repeat Customer</v>
      </c>
    </row>
    <row r="847" spans="1:10" x14ac:dyDescent="0.25">
      <c r="A847">
        <v>11437</v>
      </c>
      <c r="B847" t="s">
        <v>143</v>
      </c>
      <c r="C847" s="1">
        <v>45413</v>
      </c>
      <c r="D847" t="s">
        <v>24</v>
      </c>
      <c r="E847" t="s">
        <v>11</v>
      </c>
      <c r="F847">
        <v>6</v>
      </c>
      <c r="G847">
        <v>462.04</v>
      </c>
      <c r="H847">
        <v>2772.24</v>
      </c>
      <c r="I847" t="s">
        <v>14</v>
      </c>
      <c r="J847" t="str">
        <f t="shared" si="13"/>
        <v>Repeat Customer</v>
      </c>
    </row>
    <row r="848" spans="1:10" x14ac:dyDescent="0.25">
      <c r="A848">
        <v>10481</v>
      </c>
      <c r="B848" t="s">
        <v>246</v>
      </c>
      <c r="C848" s="1">
        <v>45749</v>
      </c>
      <c r="D848" t="s">
        <v>10</v>
      </c>
      <c r="E848" t="s">
        <v>11</v>
      </c>
      <c r="F848">
        <v>1</v>
      </c>
      <c r="G848">
        <v>136.28</v>
      </c>
      <c r="H848">
        <v>136.28</v>
      </c>
      <c r="I848" t="s">
        <v>22</v>
      </c>
      <c r="J848" t="str">
        <f t="shared" si="13"/>
        <v>Repeat Customer</v>
      </c>
    </row>
    <row r="849" spans="1:10" x14ac:dyDescent="0.25">
      <c r="A849">
        <v>10921</v>
      </c>
      <c r="B849" t="s">
        <v>246</v>
      </c>
      <c r="C849" s="1">
        <v>45422</v>
      </c>
      <c r="D849" t="s">
        <v>24</v>
      </c>
      <c r="E849" t="s">
        <v>19</v>
      </c>
      <c r="F849">
        <v>1</v>
      </c>
      <c r="G849">
        <v>347.64</v>
      </c>
      <c r="H849">
        <v>347.64</v>
      </c>
      <c r="I849" t="s">
        <v>14</v>
      </c>
      <c r="J849" t="str">
        <f t="shared" si="13"/>
        <v>Repeat Customer</v>
      </c>
    </row>
    <row r="850" spans="1:10" x14ac:dyDescent="0.25">
      <c r="A850">
        <v>11118</v>
      </c>
      <c r="B850" t="s">
        <v>246</v>
      </c>
      <c r="C850" s="1">
        <v>45433</v>
      </c>
      <c r="D850" t="s">
        <v>21</v>
      </c>
      <c r="E850" t="s">
        <v>31</v>
      </c>
      <c r="F850">
        <v>2</v>
      </c>
      <c r="G850">
        <v>425.05</v>
      </c>
      <c r="H850">
        <v>850.1</v>
      </c>
      <c r="I850" t="s">
        <v>12</v>
      </c>
      <c r="J850" t="str">
        <f t="shared" si="13"/>
        <v>Repeat Customer</v>
      </c>
    </row>
    <row r="851" spans="1:10" x14ac:dyDescent="0.25">
      <c r="A851">
        <v>10083</v>
      </c>
      <c r="B851" t="s">
        <v>89</v>
      </c>
      <c r="C851" s="1">
        <v>45680</v>
      </c>
      <c r="D851" t="s">
        <v>21</v>
      </c>
      <c r="E851" t="s">
        <v>19</v>
      </c>
      <c r="F851">
        <v>5</v>
      </c>
      <c r="G851">
        <v>377.24</v>
      </c>
      <c r="H851">
        <v>1886.2</v>
      </c>
      <c r="I851" t="s">
        <v>12</v>
      </c>
      <c r="J851" t="str">
        <f t="shared" si="13"/>
        <v>Repeat Customer</v>
      </c>
    </row>
    <row r="852" spans="1:10" x14ac:dyDescent="0.25">
      <c r="A852">
        <v>10095</v>
      </c>
      <c r="B852" t="s">
        <v>89</v>
      </c>
      <c r="C852" s="1">
        <v>45321</v>
      </c>
      <c r="D852" t="s">
        <v>10</v>
      </c>
      <c r="E852" t="s">
        <v>31</v>
      </c>
      <c r="F852">
        <v>8</v>
      </c>
      <c r="G852">
        <v>426.22</v>
      </c>
      <c r="H852">
        <v>3409.76</v>
      </c>
      <c r="I852" t="s">
        <v>14</v>
      </c>
      <c r="J852" t="str">
        <f t="shared" si="13"/>
        <v>Repeat Customer</v>
      </c>
    </row>
    <row r="853" spans="1:10" x14ac:dyDescent="0.25">
      <c r="A853">
        <v>11112</v>
      </c>
      <c r="B853" t="s">
        <v>89</v>
      </c>
      <c r="C853" s="1">
        <v>45732</v>
      </c>
      <c r="D853" t="s">
        <v>24</v>
      </c>
      <c r="E853" t="s">
        <v>25</v>
      </c>
      <c r="F853">
        <v>2</v>
      </c>
      <c r="G853">
        <v>310.69</v>
      </c>
      <c r="H853">
        <v>621.38</v>
      </c>
      <c r="I853" t="s">
        <v>32</v>
      </c>
      <c r="J853" t="str">
        <f t="shared" si="13"/>
        <v>Repeat Customer</v>
      </c>
    </row>
    <row r="854" spans="1:10" x14ac:dyDescent="0.25">
      <c r="A854">
        <v>11309</v>
      </c>
      <c r="B854" t="s">
        <v>89</v>
      </c>
      <c r="C854" s="1">
        <v>45910</v>
      </c>
      <c r="D854" t="s">
        <v>16</v>
      </c>
      <c r="E854" t="s">
        <v>19</v>
      </c>
      <c r="F854">
        <v>7</v>
      </c>
      <c r="G854">
        <v>171.59</v>
      </c>
      <c r="H854">
        <v>1201.1300000000001</v>
      </c>
      <c r="I854" t="s">
        <v>14</v>
      </c>
      <c r="J854" t="str">
        <f t="shared" si="13"/>
        <v>Repeat Customer</v>
      </c>
    </row>
    <row r="855" spans="1:10" x14ac:dyDescent="0.25">
      <c r="A855">
        <v>10030</v>
      </c>
      <c r="B855" t="s">
        <v>49</v>
      </c>
      <c r="C855" s="1">
        <v>45403</v>
      </c>
      <c r="D855" t="s">
        <v>18</v>
      </c>
      <c r="E855" t="s">
        <v>31</v>
      </c>
      <c r="F855">
        <v>4</v>
      </c>
      <c r="G855">
        <v>99.84</v>
      </c>
      <c r="H855">
        <v>399.36</v>
      </c>
      <c r="I855" t="s">
        <v>14</v>
      </c>
      <c r="J855" t="str">
        <f t="shared" si="13"/>
        <v>Repeat Customer</v>
      </c>
    </row>
    <row r="856" spans="1:10" x14ac:dyDescent="0.25">
      <c r="A856">
        <v>11123</v>
      </c>
      <c r="B856" t="s">
        <v>49</v>
      </c>
      <c r="C856" s="1">
        <v>45614</v>
      </c>
      <c r="D856" t="s">
        <v>10</v>
      </c>
      <c r="E856" t="s">
        <v>31</v>
      </c>
      <c r="F856">
        <v>7</v>
      </c>
      <c r="G856">
        <v>491.06</v>
      </c>
      <c r="H856">
        <v>3437.42</v>
      </c>
      <c r="I856" t="s">
        <v>12</v>
      </c>
      <c r="J856" t="str">
        <f t="shared" si="13"/>
        <v>Repeat Customer</v>
      </c>
    </row>
    <row r="857" spans="1:10" x14ac:dyDescent="0.25">
      <c r="A857">
        <v>11133</v>
      </c>
      <c r="B857" t="s">
        <v>49</v>
      </c>
      <c r="C857" s="1">
        <v>45533</v>
      </c>
      <c r="D857" t="s">
        <v>18</v>
      </c>
      <c r="E857" t="s">
        <v>25</v>
      </c>
      <c r="F857">
        <v>10</v>
      </c>
      <c r="G857">
        <v>284.97000000000003</v>
      </c>
      <c r="H857">
        <v>2849.7</v>
      </c>
      <c r="I857" t="s">
        <v>22</v>
      </c>
      <c r="J857" t="str">
        <f t="shared" si="13"/>
        <v>Repeat Customer</v>
      </c>
    </row>
    <row r="858" spans="1:10" x14ac:dyDescent="0.25">
      <c r="A858">
        <v>10106</v>
      </c>
      <c r="B858" t="s">
        <v>105</v>
      </c>
      <c r="C858" s="1">
        <v>45480</v>
      </c>
      <c r="D858" t="s">
        <v>21</v>
      </c>
      <c r="E858" t="s">
        <v>11</v>
      </c>
      <c r="F858">
        <v>1</v>
      </c>
      <c r="G858">
        <v>129.97999999999999</v>
      </c>
      <c r="H858">
        <v>129.97999999999999</v>
      </c>
      <c r="I858" t="s">
        <v>12</v>
      </c>
      <c r="J858" t="str">
        <f t="shared" si="13"/>
        <v>Repeat Customer</v>
      </c>
    </row>
    <row r="859" spans="1:10" x14ac:dyDescent="0.25">
      <c r="A859">
        <v>10473</v>
      </c>
      <c r="B859" t="s">
        <v>105</v>
      </c>
      <c r="C859" s="1">
        <v>45473</v>
      </c>
      <c r="D859" t="s">
        <v>10</v>
      </c>
      <c r="E859" t="s">
        <v>25</v>
      </c>
      <c r="F859">
        <v>6</v>
      </c>
      <c r="G859">
        <v>34.479999999999997</v>
      </c>
      <c r="H859">
        <v>206.88</v>
      </c>
      <c r="I859" t="s">
        <v>12</v>
      </c>
      <c r="J859" t="str">
        <f t="shared" si="13"/>
        <v>Repeat Customer</v>
      </c>
    </row>
    <row r="860" spans="1:10" x14ac:dyDescent="0.25">
      <c r="A860">
        <v>10665</v>
      </c>
      <c r="B860" t="s">
        <v>105</v>
      </c>
      <c r="C860" s="1">
        <v>45411</v>
      </c>
      <c r="D860" t="s">
        <v>18</v>
      </c>
      <c r="E860" t="s">
        <v>19</v>
      </c>
      <c r="F860">
        <v>9</v>
      </c>
      <c r="G860">
        <v>478.57</v>
      </c>
      <c r="H860">
        <v>4307.13</v>
      </c>
      <c r="I860" t="s">
        <v>32</v>
      </c>
      <c r="J860" t="str">
        <f t="shared" si="13"/>
        <v>Repeat Customer</v>
      </c>
    </row>
    <row r="861" spans="1:10" x14ac:dyDescent="0.25">
      <c r="A861">
        <v>10822</v>
      </c>
      <c r="B861" t="s">
        <v>105</v>
      </c>
      <c r="C861" s="1">
        <v>45787</v>
      </c>
      <c r="D861" t="s">
        <v>16</v>
      </c>
      <c r="E861" t="s">
        <v>25</v>
      </c>
      <c r="F861">
        <v>9</v>
      </c>
      <c r="G861">
        <v>158.63</v>
      </c>
      <c r="H861">
        <v>1427.67</v>
      </c>
      <c r="I861" t="s">
        <v>12</v>
      </c>
      <c r="J861" t="str">
        <f t="shared" si="13"/>
        <v>Repeat Customer</v>
      </c>
    </row>
    <row r="862" spans="1:10" x14ac:dyDescent="0.25">
      <c r="A862">
        <v>11156</v>
      </c>
      <c r="B862" t="s">
        <v>105</v>
      </c>
      <c r="C862" s="1">
        <v>45739</v>
      </c>
      <c r="D862" t="s">
        <v>18</v>
      </c>
      <c r="E862" t="s">
        <v>19</v>
      </c>
      <c r="F862">
        <v>3</v>
      </c>
      <c r="G862">
        <v>210.39</v>
      </c>
      <c r="H862">
        <v>631.16999999999996</v>
      </c>
      <c r="I862" t="s">
        <v>32</v>
      </c>
      <c r="J862" t="str">
        <f t="shared" si="13"/>
        <v>Repeat Customer</v>
      </c>
    </row>
    <row r="863" spans="1:10" x14ac:dyDescent="0.25">
      <c r="A863">
        <v>11234</v>
      </c>
      <c r="B863" t="s">
        <v>105</v>
      </c>
      <c r="C863" s="1">
        <v>45379</v>
      </c>
      <c r="D863" t="s">
        <v>21</v>
      </c>
      <c r="E863" t="s">
        <v>31</v>
      </c>
      <c r="F863">
        <v>6</v>
      </c>
      <c r="G863">
        <v>423.67</v>
      </c>
      <c r="H863">
        <v>2542.02</v>
      </c>
      <c r="I863" t="s">
        <v>14</v>
      </c>
      <c r="J863" t="str">
        <f t="shared" si="13"/>
        <v>Repeat Customer</v>
      </c>
    </row>
    <row r="864" spans="1:10" x14ac:dyDescent="0.25">
      <c r="A864">
        <v>10409</v>
      </c>
      <c r="B864" t="s">
        <v>230</v>
      </c>
      <c r="C864" s="1">
        <v>45990</v>
      </c>
      <c r="D864" t="s">
        <v>21</v>
      </c>
      <c r="E864" t="s">
        <v>11</v>
      </c>
      <c r="F864">
        <v>1</v>
      </c>
      <c r="G864">
        <v>27.74</v>
      </c>
      <c r="H864">
        <v>27.74</v>
      </c>
      <c r="I864" t="s">
        <v>12</v>
      </c>
      <c r="J864" t="str">
        <f t="shared" si="13"/>
        <v>Repeat Customer</v>
      </c>
    </row>
    <row r="865" spans="1:10" x14ac:dyDescent="0.25">
      <c r="A865">
        <v>10641</v>
      </c>
      <c r="B865" t="s">
        <v>230</v>
      </c>
      <c r="C865" s="1">
        <v>45756</v>
      </c>
      <c r="D865" t="s">
        <v>10</v>
      </c>
      <c r="E865" t="s">
        <v>31</v>
      </c>
      <c r="F865">
        <v>10</v>
      </c>
      <c r="G865">
        <v>297.35000000000002</v>
      </c>
      <c r="H865">
        <v>2973.5</v>
      </c>
      <c r="I865" t="s">
        <v>32</v>
      </c>
      <c r="J865" t="str">
        <f t="shared" si="13"/>
        <v>Repeat Customer</v>
      </c>
    </row>
    <row r="866" spans="1:10" x14ac:dyDescent="0.25">
      <c r="A866">
        <v>10691</v>
      </c>
      <c r="B866" t="s">
        <v>230</v>
      </c>
      <c r="C866" s="1">
        <v>45525</v>
      </c>
      <c r="D866" t="s">
        <v>16</v>
      </c>
      <c r="E866" t="s">
        <v>19</v>
      </c>
      <c r="F866">
        <v>6</v>
      </c>
      <c r="G866">
        <v>161.85</v>
      </c>
      <c r="H866">
        <v>971.1</v>
      </c>
      <c r="I866" t="s">
        <v>32</v>
      </c>
      <c r="J866" t="str">
        <f t="shared" si="13"/>
        <v>Repeat Customer</v>
      </c>
    </row>
    <row r="867" spans="1:10" x14ac:dyDescent="0.25">
      <c r="A867">
        <v>10861</v>
      </c>
      <c r="B867" t="s">
        <v>230</v>
      </c>
      <c r="C867" s="1">
        <v>45839</v>
      </c>
      <c r="D867" t="s">
        <v>18</v>
      </c>
      <c r="E867" t="s">
        <v>31</v>
      </c>
      <c r="F867">
        <v>1</v>
      </c>
      <c r="G867">
        <v>237.09</v>
      </c>
      <c r="H867">
        <v>237.09</v>
      </c>
      <c r="I867" t="s">
        <v>22</v>
      </c>
      <c r="J867" t="str">
        <f t="shared" si="13"/>
        <v>Repeat Customer</v>
      </c>
    </row>
    <row r="868" spans="1:10" x14ac:dyDescent="0.25">
      <c r="A868">
        <v>11202</v>
      </c>
      <c r="B868" t="s">
        <v>230</v>
      </c>
      <c r="C868" s="1">
        <v>45590</v>
      </c>
      <c r="D868" t="s">
        <v>18</v>
      </c>
      <c r="E868" t="s">
        <v>25</v>
      </c>
      <c r="F868">
        <v>6</v>
      </c>
      <c r="G868">
        <v>485.28</v>
      </c>
      <c r="H868">
        <v>2911.68</v>
      </c>
      <c r="I868" t="s">
        <v>12</v>
      </c>
      <c r="J868" t="str">
        <f t="shared" si="13"/>
        <v>Repeat Customer</v>
      </c>
    </row>
    <row r="869" spans="1:10" x14ac:dyDescent="0.25">
      <c r="A869">
        <v>11306</v>
      </c>
      <c r="B869" t="s">
        <v>230</v>
      </c>
      <c r="C869" s="1">
        <v>45322</v>
      </c>
      <c r="D869" t="s">
        <v>21</v>
      </c>
      <c r="E869" t="s">
        <v>11</v>
      </c>
      <c r="F869">
        <v>10</v>
      </c>
      <c r="G869">
        <v>121.22</v>
      </c>
      <c r="H869">
        <v>1212.2</v>
      </c>
      <c r="I869" t="s">
        <v>12</v>
      </c>
      <c r="J869" t="str">
        <f t="shared" si="13"/>
        <v>Repeat Customer</v>
      </c>
    </row>
    <row r="870" spans="1:10" x14ac:dyDescent="0.25">
      <c r="A870">
        <v>11322</v>
      </c>
      <c r="B870" t="s">
        <v>230</v>
      </c>
      <c r="C870" s="1">
        <v>45678</v>
      </c>
      <c r="D870" t="s">
        <v>18</v>
      </c>
      <c r="E870" t="s">
        <v>31</v>
      </c>
      <c r="F870">
        <v>7</v>
      </c>
      <c r="G870">
        <v>328.69</v>
      </c>
      <c r="H870">
        <v>2300.83</v>
      </c>
      <c r="I870" t="s">
        <v>14</v>
      </c>
      <c r="J870" t="str">
        <f t="shared" si="13"/>
        <v>Repeat Customer</v>
      </c>
    </row>
    <row r="871" spans="1:10" x14ac:dyDescent="0.25">
      <c r="A871">
        <v>10145</v>
      </c>
      <c r="B871" t="s">
        <v>130</v>
      </c>
      <c r="C871" s="1">
        <v>45893</v>
      </c>
      <c r="D871" t="s">
        <v>21</v>
      </c>
      <c r="E871" t="s">
        <v>19</v>
      </c>
      <c r="F871">
        <v>5</v>
      </c>
      <c r="G871">
        <v>321.27</v>
      </c>
      <c r="H871">
        <v>1606.35</v>
      </c>
      <c r="I871" t="s">
        <v>32</v>
      </c>
      <c r="J871" t="str">
        <f t="shared" si="13"/>
        <v>Repeat Customer</v>
      </c>
    </row>
    <row r="872" spans="1:10" x14ac:dyDescent="0.25">
      <c r="A872">
        <v>10189</v>
      </c>
      <c r="B872" t="s">
        <v>130</v>
      </c>
      <c r="C872" s="1">
        <v>45732</v>
      </c>
      <c r="D872" t="s">
        <v>18</v>
      </c>
      <c r="E872" t="s">
        <v>31</v>
      </c>
      <c r="F872">
        <v>2</v>
      </c>
      <c r="G872">
        <v>145.21</v>
      </c>
      <c r="H872">
        <v>290.42</v>
      </c>
      <c r="I872" t="s">
        <v>22</v>
      </c>
      <c r="J872" t="str">
        <f t="shared" si="13"/>
        <v>Repeat Customer</v>
      </c>
    </row>
    <row r="873" spans="1:10" x14ac:dyDescent="0.25">
      <c r="A873">
        <v>10288</v>
      </c>
      <c r="B873" t="s">
        <v>130</v>
      </c>
      <c r="C873" s="1">
        <v>45441</v>
      </c>
      <c r="D873" t="s">
        <v>24</v>
      </c>
      <c r="E873" t="s">
        <v>19</v>
      </c>
      <c r="F873">
        <v>5</v>
      </c>
      <c r="G873">
        <v>25.82</v>
      </c>
      <c r="H873">
        <v>129.1</v>
      </c>
      <c r="I873" t="s">
        <v>32</v>
      </c>
      <c r="J873" t="str">
        <f t="shared" si="13"/>
        <v>Repeat Customer</v>
      </c>
    </row>
    <row r="874" spans="1:10" x14ac:dyDescent="0.25">
      <c r="A874">
        <v>10632</v>
      </c>
      <c r="B874" t="s">
        <v>130</v>
      </c>
      <c r="C874" s="1">
        <v>45790</v>
      </c>
      <c r="D874" t="s">
        <v>24</v>
      </c>
      <c r="E874" t="s">
        <v>25</v>
      </c>
      <c r="F874">
        <v>8</v>
      </c>
      <c r="G874">
        <v>444.15</v>
      </c>
      <c r="H874">
        <v>3553.2</v>
      </c>
      <c r="I874" t="s">
        <v>32</v>
      </c>
      <c r="J874" t="str">
        <f t="shared" si="13"/>
        <v>Repeat Customer</v>
      </c>
    </row>
    <row r="875" spans="1:10" x14ac:dyDescent="0.25">
      <c r="A875">
        <v>10257</v>
      </c>
      <c r="B875" t="s">
        <v>183</v>
      </c>
      <c r="C875" s="1">
        <v>45823</v>
      </c>
      <c r="D875" t="s">
        <v>16</v>
      </c>
      <c r="E875" t="s">
        <v>25</v>
      </c>
      <c r="F875">
        <v>5</v>
      </c>
      <c r="G875">
        <v>423.74</v>
      </c>
      <c r="H875">
        <v>2118.6999999999998</v>
      </c>
      <c r="I875" t="s">
        <v>22</v>
      </c>
      <c r="J875" t="str">
        <f t="shared" si="13"/>
        <v>Repeat Customer</v>
      </c>
    </row>
    <row r="876" spans="1:10" x14ac:dyDescent="0.25">
      <c r="A876">
        <v>10432</v>
      </c>
      <c r="B876" t="s">
        <v>183</v>
      </c>
      <c r="C876" s="1">
        <v>45827</v>
      </c>
      <c r="D876" t="s">
        <v>16</v>
      </c>
      <c r="E876" t="s">
        <v>25</v>
      </c>
      <c r="F876">
        <v>9</v>
      </c>
      <c r="G876">
        <v>392.58</v>
      </c>
      <c r="H876">
        <v>3533.22</v>
      </c>
      <c r="I876" t="s">
        <v>22</v>
      </c>
      <c r="J876" t="str">
        <f t="shared" si="13"/>
        <v>Repeat Customer</v>
      </c>
    </row>
    <row r="877" spans="1:10" x14ac:dyDescent="0.25">
      <c r="A877">
        <v>10597</v>
      </c>
      <c r="B877" t="s">
        <v>183</v>
      </c>
      <c r="C877" s="1">
        <v>45748</v>
      </c>
      <c r="D877" t="s">
        <v>18</v>
      </c>
      <c r="E877" t="s">
        <v>25</v>
      </c>
      <c r="F877">
        <v>4</v>
      </c>
      <c r="G877">
        <v>452.73</v>
      </c>
      <c r="H877">
        <v>1810.92</v>
      </c>
      <c r="I877" t="s">
        <v>12</v>
      </c>
      <c r="J877" t="str">
        <f t="shared" si="13"/>
        <v>Repeat Customer</v>
      </c>
    </row>
    <row r="878" spans="1:10" x14ac:dyDescent="0.25">
      <c r="A878">
        <v>10944</v>
      </c>
      <c r="B878" t="s">
        <v>183</v>
      </c>
      <c r="C878" s="1">
        <v>45722</v>
      </c>
      <c r="D878" t="s">
        <v>24</v>
      </c>
      <c r="E878" t="s">
        <v>19</v>
      </c>
      <c r="F878">
        <v>8</v>
      </c>
      <c r="G878">
        <v>370.17</v>
      </c>
      <c r="H878">
        <v>2961.36</v>
      </c>
      <c r="I878" t="s">
        <v>14</v>
      </c>
      <c r="J878" t="str">
        <f t="shared" si="13"/>
        <v>Repeat Customer</v>
      </c>
    </row>
    <row r="879" spans="1:10" x14ac:dyDescent="0.25">
      <c r="A879">
        <v>11250</v>
      </c>
      <c r="B879" t="s">
        <v>183</v>
      </c>
      <c r="C879" s="1">
        <v>46009</v>
      </c>
      <c r="D879" t="s">
        <v>10</v>
      </c>
      <c r="E879" t="s">
        <v>31</v>
      </c>
      <c r="F879">
        <v>5</v>
      </c>
      <c r="G879">
        <v>198.59</v>
      </c>
      <c r="H879">
        <v>992.95</v>
      </c>
      <c r="I879" t="s">
        <v>14</v>
      </c>
      <c r="J879" t="str">
        <f t="shared" si="13"/>
        <v>Repeat Customer</v>
      </c>
    </row>
    <row r="880" spans="1:10" x14ac:dyDescent="0.25">
      <c r="A880">
        <v>11418</v>
      </c>
      <c r="B880" t="s">
        <v>183</v>
      </c>
      <c r="C880" s="1">
        <v>45939</v>
      </c>
      <c r="D880" t="s">
        <v>16</v>
      </c>
      <c r="E880" t="s">
        <v>11</v>
      </c>
      <c r="F880">
        <v>10</v>
      </c>
      <c r="G880">
        <v>486.25</v>
      </c>
      <c r="H880">
        <v>4862.5</v>
      </c>
      <c r="I880" t="s">
        <v>22</v>
      </c>
      <c r="J880" t="str">
        <f t="shared" si="13"/>
        <v>Repeat Customer</v>
      </c>
    </row>
    <row r="881" spans="1:10" x14ac:dyDescent="0.25">
      <c r="A881">
        <v>10287</v>
      </c>
      <c r="B881" t="s">
        <v>193</v>
      </c>
      <c r="C881" s="1">
        <v>45865</v>
      </c>
      <c r="D881" t="s">
        <v>18</v>
      </c>
      <c r="E881" t="s">
        <v>31</v>
      </c>
      <c r="F881">
        <v>5</v>
      </c>
      <c r="G881">
        <v>147.46</v>
      </c>
      <c r="H881">
        <v>737.3</v>
      </c>
      <c r="I881" t="s">
        <v>32</v>
      </c>
      <c r="J881" t="str">
        <f t="shared" si="13"/>
        <v>Repeat Customer</v>
      </c>
    </row>
    <row r="882" spans="1:10" x14ac:dyDescent="0.25">
      <c r="A882">
        <v>10379</v>
      </c>
      <c r="B882" t="s">
        <v>193</v>
      </c>
      <c r="C882" s="1">
        <v>45611</v>
      </c>
      <c r="D882" t="s">
        <v>10</v>
      </c>
      <c r="E882" t="s">
        <v>31</v>
      </c>
      <c r="F882">
        <v>6</v>
      </c>
      <c r="G882">
        <v>230.39</v>
      </c>
      <c r="H882">
        <v>1382.34</v>
      </c>
      <c r="I882" t="s">
        <v>22</v>
      </c>
      <c r="J882" t="str">
        <f t="shared" si="13"/>
        <v>Repeat Customer</v>
      </c>
    </row>
    <row r="883" spans="1:10" x14ac:dyDescent="0.25">
      <c r="A883">
        <v>10398</v>
      </c>
      <c r="B883" t="s">
        <v>193</v>
      </c>
      <c r="C883" s="1">
        <v>45381</v>
      </c>
      <c r="D883" t="s">
        <v>24</v>
      </c>
      <c r="E883" t="s">
        <v>25</v>
      </c>
      <c r="F883">
        <v>8</v>
      </c>
      <c r="G883">
        <v>433.32</v>
      </c>
      <c r="H883">
        <v>3466.56</v>
      </c>
      <c r="I883" t="s">
        <v>14</v>
      </c>
      <c r="J883" t="str">
        <f t="shared" si="13"/>
        <v>Repeat Customer</v>
      </c>
    </row>
    <row r="884" spans="1:10" x14ac:dyDescent="0.25">
      <c r="A884">
        <v>10595</v>
      </c>
      <c r="B884" t="s">
        <v>193</v>
      </c>
      <c r="C884" s="1">
        <v>45518</v>
      </c>
      <c r="D884" t="s">
        <v>16</v>
      </c>
      <c r="E884" t="s">
        <v>19</v>
      </c>
      <c r="F884">
        <v>4</v>
      </c>
      <c r="G884">
        <v>333.35</v>
      </c>
      <c r="H884">
        <v>1333.4</v>
      </c>
      <c r="I884" t="s">
        <v>22</v>
      </c>
      <c r="J884" t="str">
        <f t="shared" si="13"/>
        <v>Repeat Customer</v>
      </c>
    </row>
    <row r="885" spans="1:10" x14ac:dyDescent="0.25">
      <c r="A885">
        <v>10399</v>
      </c>
      <c r="B885" t="s">
        <v>226</v>
      </c>
      <c r="C885" s="1">
        <v>46019</v>
      </c>
      <c r="D885" t="s">
        <v>10</v>
      </c>
      <c r="E885" t="s">
        <v>25</v>
      </c>
      <c r="F885">
        <v>10</v>
      </c>
      <c r="G885">
        <v>318.22000000000003</v>
      </c>
      <c r="H885">
        <v>3182.2</v>
      </c>
      <c r="I885" t="s">
        <v>14</v>
      </c>
      <c r="J885" t="str">
        <f t="shared" si="13"/>
        <v>Repeat Customer</v>
      </c>
    </row>
    <row r="886" spans="1:10" x14ac:dyDescent="0.25">
      <c r="A886">
        <v>10962</v>
      </c>
      <c r="B886" t="s">
        <v>226</v>
      </c>
      <c r="C886" s="1">
        <v>45607</v>
      </c>
      <c r="D886" t="s">
        <v>24</v>
      </c>
      <c r="E886" t="s">
        <v>25</v>
      </c>
      <c r="F886">
        <v>8</v>
      </c>
      <c r="G886">
        <v>437.78</v>
      </c>
      <c r="H886">
        <v>3502.24</v>
      </c>
      <c r="I886" t="s">
        <v>32</v>
      </c>
      <c r="J886" t="str">
        <f t="shared" si="13"/>
        <v>Repeat Customer</v>
      </c>
    </row>
    <row r="887" spans="1:10" x14ac:dyDescent="0.25">
      <c r="A887">
        <v>10470</v>
      </c>
      <c r="B887" t="s">
        <v>245</v>
      </c>
      <c r="C887" s="1">
        <v>45873</v>
      </c>
      <c r="D887" t="s">
        <v>10</v>
      </c>
      <c r="E887" t="s">
        <v>31</v>
      </c>
      <c r="F887">
        <v>10</v>
      </c>
      <c r="G887">
        <v>75.34</v>
      </c>
      <c r="H887">
        <v>753.4</v>
      </c>
      <c r="I887" t="s">
        <v>22</v>
      </c>
      <c r="J887" t="str">
        <f t="shared" si="13"/>
        <v>Repeat Customer</v>
      </c>
    </row>
    <row r="888" spans="1:10" x14ac:dyDescent="0.25">
      <c r="A888">
        <v>10661</v>
      </c>
      <c r="B888" t="s">
        <v>245</v>
      </c>
      <c r="C888" s="1">
        <v>45977</v>
      </c>
      <c r="D888" t="s">
        <v>10</v>
      </c>
      <c r="E888" t="s">
        <v>11</v>
      </c>
      <c r="F888">
        <v>7</v>
      </c>
      <c r="G888">
        <v>205.7</v>
      </c>
      <c r="H888">
        <v>1439.9</v>
      </c>
      <c r="I888" t="s">
        <v>12</v>
      </c>
      <c r="J888" t="str">
        <f t="shared" si="13"/>
        <v>Repeat Customer</v>
      </c>
    </row>
    <row r="889" spans="1:10" x14ac:dyDescent="0.25">
      <c r="A889">
        <v>10096</v>
      </c>
      <c r="B889" t="s">
        <v>98</v>
      </c>
      <c r="C889" s="1">
        <v>45556</v>
      </c>
      <c r="D889" t="s">
        <v>18</v>
      </c>
      <c r="E889" t="s">
        <v>19</v>
      </c>
      <c r="F889">
        <v>6</v>
      </c>
      <c r="G889">
        <v>143.43</v>
      </c>
      <c r="H889">
        <v>860.58</v>
      </c>
      <c r="I889" t="s">
        <v>12</v>
      </c>
      <c r="J889" t="str">
        <f t="shared" si="13"/>
        <v>Repeat Customer</v>
      </c>
    </row>
    <row r="890" spans="1:10" x14ac:dyDescent="0.25">
      <c r="A890">
        <v>10469</v>
      </c>
      <c r="B890" t="s">
        <v>98</v>
      </c>
      <c r="C890" s="1">
        <v>45469</v>
      </c>
      <c r="D890" t="s">
        <v>16</v>
      </c>
      <c r="E890" t="s">
        <v>19</v>
      </c>
      <c r="F890">
        <v>3</v>
      </c>
      <c r="G890">
        <v>122.09</v>
      </c>
      <c r="H890">
        <v>366.27</v>
      </c>
      <c r="I890" t="s">
        <v>12</v>
      </c>
      <c r="J890" t="str">
        <f t="shared" si="13"/>
        <v>Repeat Customer</v>
      </c>
    </row>
    <row r="891" spans="1:10" x14ac:dyDescent="0.25">
      <c r="A891">
        <v>10528</v>
      </c>
      <c r="B891" t="s">
        <v>98</v>
      </c>
      <c r="C891" s="1">
        <v>45520</v>
      </c>
      <c r="D891" t="s">
        <v>16</v>
      </c>
      <c r="E891" t="s">
        <v>19</v>
      </c>
      <c r="F891">
        <v>5</v>
      </c>
      <c r="G891">
        <v>213.13</v>
      </c>
      <c r="H891">
        <v>1065.6500000000001</v>
      </c>
      <c r="I891" t="s">
        <v>22</v>
      </c>
      <c r="J891" t="str">
        <f t="shared" si="13"/>
        <v>Repeat Customer</v>
      </c>
    </row>
    <row r="892" spans="1:10" x14ac:dyDescent="0.25">
      <c r="A892">
        <v>10571</v>
      </c>
      <c r="B892" t="s">
        <v>98</v>
      </c>
      <c r="C892" s="1">
        <v>45940</v>
      </c>
      <c r="D892" t="s">
        <v>16</v>
      </c>
      <c r="E892" t="s">
        <v>11</v>
      </c>
      <c r="F892">
        <v>5</v>
      </c>
      <c r="G892">
        <v>276.11</v>
      </c>
      <c r="H892">
        <v>1380.55</v>
      </c>
      <c r="I892" t="s">
        <v>12</v>
      </c>
      <c r="J892" t="str">
        <f t="shared" si="13"/>
        <v>Repeat Customer</v>
      </c>
    </row>
    <row r="893" spans="1:10" x14ac:dyDescent="0.25">
      <c r="A893">
        <v>11199</v>
      </c>
      <c r="B893" t="s">
        <v>98</v>
      </c>
      <c r="C893" s="1">
        <v>45723</v>
      </c>
      <c r="D893" t="s">
        <v>21</v>
      </c>
      <c r="E893" t="s">
        <v>25</v>
      </c>
      <c r="F893">
        <v>8</v>
      </c>
      <c r="G893">
        <v>363.69</v>
      </c>
      <c r="H893">
        <v>2909.52</v>
      </c>
      <c r="I893" t="s">
        <v>14</v>
      </c>
      <c r="J893" t="str">
        <f t="shared" si="13"/>
        <v>Repeat Customer</v>
      </c>
    </row>
    <row r="894" spans="1:10" x14ac:dyDescent="0.25">
      <c r="A894">
        <v>10356</v>
      </c>
      <c r="B894" t="s">
        <v>218</v>
      </c>
      <c r="C894" s="1">
        <v>45858</v>
      </c>
      <c r="D894" t="s">
        <v>18</v>
      </c>
      <c r="E894" t="s">
        <v>31</v>
      </c>
      <c r="F894">
        <v>7</v>
      </c>
      <c r="G894">
        <v>218.76</v>
      </c>
      <c r="H894">
        <v>1531.32</v>
      </c>
      <c r="I894" t="s">
        <v>12</v>
      </c>
      <c r="J894" t="str">
        <f t="shared" si="13"/>
        <v>Repeat Customer</v>
      </c>
    </row>
    <row r="895" spans="1:10" x14ac:dyDescent="0.25">
      <c r="A895">
        <v>10616</v>
      </c>
      <c r="B895" t="s">
        <v>218</v>
      </c>
      <c r="C895" s="1">
        <v>45423</v>
      </c>
      <c r="D895" t="s">
        <v>18</v>
      </c>
      <c r="E895" t="s">
        <v>11</v>
      </c>
      <c r="F895">
        <v>4</v>
      </c>
      <c r="G895">
        <v>54.52</v>
      </c>
      <c r="H895">
        <v>218.08</v>
      </c>
      <c r="I895" t="s">
        <v>14</v>
      </c>
      <c r="J895" t="str">
        <f t="shared" si="13"/>
        <v>Repeat Customer</v>
      </c>
    </row>
    <row r="896" spans="1:10" x14ac:dyDescent="0.25">
      <c r="A896">
        <v>11000</v>
      </c>
      <c r="B896" t="s">
        <v>218</v>
      </c>
      <c r="C896" s="1">
        <v>45779</v>
      </c>
      <c r="D896" t="s">
        <v>21</v>
      </c>
      <c r="E896" t="s">
        <v>19</v>
      </c>
      <c r="F896">
        <v>10</v>
      </c>
      <c r="G896">
        <v>475.32</v>
      </c>
      <c r="H896">
        <v>4753.2</v>
      </c>
      <c r="I896" t="s">
        <v>14</v>
      </c>
      <c r="J896" t="str">
        <f t="shared" si="13"/>
        <v>Repeat Customer</v>
      </c>
    </row>
    <row r="897" spans="1:10" x14ac:dyDescent="0.25">
      <c r="A897">
        <v>11070</v>
      </c>
      <c r="B897" t="s">
        <v>218</v>
      </c>
      <c r="C897" s="1">
        <v>46018</v>
      </c>
      <c r="D897" t="s">
        <v>21</v>
      </c>
      <c r="E897" t="s">
        <v>11</v>
      </c>
      <c r="F897">
        <v>9</v>
      </c>
      <c r="G897">
        <v>245.17</v>
      </c>
      <c r="H897">
        <v>2206.5300000000002</v>
      </c>
      <c r="I897" t="s">
        <v>14</v>
      </c>
      <c r="J897" t="str">
        <f t="shared" si="13"/>
        <v>Repeat Customer</v>
      </c>
    </row>
    <row r="898" spans="1:10" x14ac:dyDescent="0.25">
      <c r="A898">
        <v>11111</v>
      </c>
      <c r="B898" t="s">
        <v>218</v>
      </c>
      <c r="C898" s="1">
        <v>45985</v>
      </c>
      <c r="D898" t="s">
        <v>18</v>
      </c>
      <c r="E898" t="s">
        <v>11</v>
      </c>
      <c r="F898">
        <v>3</v>
      </c>
      <c r="G898">
        <v>91.48</v>
      </c>
      <c r="H898">
        <v>274.44</v>
      </c>
      <c r="I898" t="s">
        <v>12</v>
      </c>
      <c r="J898" t="str">
        <f t="shared" ref="J898:J961" si="14">IF(COUNTIF($B:$B,B898)&gt;1,"Repeat Customer","New Customer")</f>
        <v>Repeat Customer</v>
      </c>
    </row>
    <row r="899" spans="1:10" x14ac:dyDescent="0.25">
      <c r="A899">
        <v>11339</v>
      </c>
      <c r="B899" t="s">
        <v>218</v>
      </c>
      <c r="C899" s="1">
        <v>45777</v>
      </c>
      <c r="D899" t="s">
        <v>24</v>
      </c>
      <c r="E899" t="s">
        <v>19</v>
      </c>
      <c r="F899">
        <v>3</v>
      </c>
      <c r="G899">
        <v>472.81</v>
      </c>
      <c r="H899">
        <v>1418.43</v>
      </c>
      <c r="I899" t="s">
        <v>32</v>
      </c>
      <c r="J899" t="str">
        <f t="shared" si="14"/>
        <v>Repeat Customer</v>
      </c>
    </row>
    <row r="900" spans="1:10" x14ac:dyDescent="0.25">
      <c r="A900">
        <v>10607</v>
      </c>
      <c r="B900" t="s">
        <v>275</v>
      </c>
      <c r="C900" s="1">
        <v>45806</v>
      </c>
      <c r="D900" t="s">
        <v>16</v>
      </c>
      <c r="E900" t="s">
        <v>11</v>
      </c>
      <c r="F900">
        <v>2</v>
      </c>
      <c r="G900">
        <v>148.47</v>
      </c>
      <c r="H900">
        <v>296.94</v>
      </c>
      <c r="I900" t="s">
        <v>22</v>
      </c>
      <c r="J900" t="str">
        <f t="shared" si="14"/>
        <v>Repeat Customer</v>
      </c>
    </row>
    <row r="901" spans="1:10" x14ac:dyDescent="0.25">
      <c r="A901">
        <v>10627</v>
      </c>
      <c r="B901" t="s">
        <v>275</v>
      </c>
      <c r="C901" s="1">
        <v>45333</v>
      </c>
      <c r="D901" t="s">
        <v>10</v>
      </c>
      <c r="E901" t="s">
        <v>11</v>
      </c>
      <c r="F901">
        <v>4</v>
      </c>
      <c r="G901">
        <v>381.93</v>
      </c>
      <c r="H901">
        <v>1527.72</v>
      </c>
      <c r="I901" t="s">
        <v>22</v>
      </c>
      <c r="J901" t="str">
        <f t="shared" si="14"/>
        <v>Repeat Customer</v>
      </c>
    </row>
    <row r="902" spans="1:10" x14ac:dyDescent="0.25">
      <c r="A902">
        <v>10930</v>
      </c>
      <c r="B902" t="s">
        <v>275</v>
      </c>
      <c r="C902" s="1">
        <v>45594</v>
      </c>
      <c r="D902" t="s">
        <v>24</v>
      </c>
      <c r="E902" t="s">
        <v>11</v>
      </c>
      <c r="F902">
        <v>4</v>
      </c>
      <c r="G902">
        <v>325.58</v>
      </c>
      <c r="H902">
        <v>1302.32</v>
      </c>
      <c r="I902" t="s">
        <v>32</v>
      </c>
      <c r="J902" t="str">
        <f t="shared" si="14"/>
        <v>Repeat Customer</v>
      </c>
    </row>
    <row r="903" spans="1:10" x14ac:dyDescent="0.25">
      <c r="A903">
        <v>11387</v>
      </c>
      <c r="B903" t="s">
        <v>275</v>
      </c>
      <c r="C903" s="1">
        <v>46018</v>
      </c>
      <c r="D903" t="s">
        <v>16</v>
      </c>
      <c r="E903" t="s">
        <v>11</v>
      </c>
      <c r="F903">
        <v>4</v>
      </c>
      <c r="G903">
        <v>59.78</v>
      </c>
      <c r="H903">
        <v>239.12</v>
      </c>
      <c r="I903" t="s">
        <v>14</v>
      </c>
      <c r="J903" t="str">
        <f t="shared" si="14"/>
        <v>Repeat Customer</v>
      </c>
    </row>
    <row r="904" spans="1:10" x14ac:dyDescent="0.25">
      <c r="A904">
        <v>10303</v>
      </c>
      <c r="B904" t="s">
        <v>200</v>
      </c>
      <c r="C904" s="1">
        <v>46001</v>
      </c>
      <c r="D904" t="s">
        <v>24</v>
      </c>
      <c r="E904" t="s">
        <v>31</v>
      </c>
      <c r="F904">
        <v>4</v>
      </c>
      <c r="G904">
        <v>35.75</v>
      </c>
      <c r="H904">
        <v>143</v>
      </c>
      <c r="I904" t="s">
        <v>22</v>
      </c>
      <c r="J904" t="str">
        <f t="shared" si="14"/>
        <v>Repeat Customer</v>
      </c>
    </row>
    <row r="905" spans="1:10" x14ac:dyDescent="0.25">
      <c r="A905">
        <v>10359</v>
      </c>
      <c r="B905" t="s">
        <v>200</v>
      </c>
      <c r="C905" s="1">
        <v>45568</v>
      </c>
      <c r="D905" t="s">
        <v>10</v>
      </c>
      <c r="E905" t="s">
        <v>31</v>
      </c>
      <c r="F905">
        <v>2</v>
      </c>
      <c r="G905">
        <v>70.59</v>
      </c>
      <c r="H905">
        <v>141.18</v>
      </c>
      <c r="I905" t="s">
        <v>32</v>
      </c>
      <c r="J905" t="str">
        <f t="shared" si="14"/>
        <v>Repeat Customer</v>
      </c>
    </row>
    <row r="906" spans="1:10" x14ac:dyDescent="0.25">
      <c r="A906">
        <v>10365</v>
      </c>
      <c r="B906" t="s">
        <v>200</v>
      </c>
      <c r="C906" s="1">
        <v>45549</v>
      </c>
      <c r="D906" t="s">
        <v>21</v>
      </c>
      <c r="E906" t="s">
        <v>25</v>
      </c>
      <c r="F906">
        <v>4</v>
      </c>
      <c r="G906">
        <v>361.85</v>
      </c>
      <c r="H906">
        <v>1447.4</v>
      </c>
      <c r="I906" t="s">
        <v>32</v>
      </c>
      <c r="J906" t="str">
        <f t="shared" si="14"/>
        <v>Repeat Customer</v>
      </c>
    </row>
    <row r="907" spans="1:10" x14ac:dyDescent="0.25">
      <c r="A907">
        <v>10660</v>
      </c>
      <c r="B907" t="s">
        <v>200</v>
      </c>
      <c r="C907" s="1">
        <v>45536</v>
      </c>
      <c r="D907" t="s">
        <v>24</v>
      </c>
      <c r="E907" t="s">
        <v>19</v>
      </c>
      <c r="F907">
        <v>1</v>
      </c>
      <c r="G907">
        <v>487.94</v>
      </c>
      <c r="H907">
        <v>487.94</v>
      </c>
      <c r="I907" t="s">
        <v>32</v>
      </c>
      <c r="J907" t="str">
        <f t="shared" si="14"/>
        <v>Repeat Customer</v>
      </c>
    </row>
    <row r="908" spans="1:10" x14ac:dyDescent="0.25">
      <c r="A908">
        <v>11066</v>
      </c>
      <c r="B908" t="s">
        <v>200</v>
      </c>
      <c r="C908" s="1">
        <v>45732</v>
      </c>
      <c r="D908" t="s">
        <v>16</v>
      </c>
      <c r="E908" t="s">
        <v>19</v>
      </c>
      <c r="F908">
        <v>5</v>
      </c>
      <c r="G908">
        <v>451.88</v>
      </c>
      <c r="H908">
        <v>2259.4</v>
      </c>
      <c r="I908" t="s">
        <v>22</v>
      </c>
      <c r="J908" t="str">
        <f t="shared" si="14"/>
        <v>Repeat Customer</v>
      </c>
    </row>
    <row r="909" spans="1:10" x14ac:dyDescent="0.25">
      <c r="A909">
        <v>11095</v>
      </c>
      <c r="B909" t="s">
        <v>200</v>
      </c>
      <c r="C909" s="1">
        <v>45999</v>
      </c>
      <c r="D909" t="s">
        <v>24</v>
      </c>
      <c r="E909" t="s">
        <v>25</v>
      </c>
      <c r="F909">
        <v>7</v>
      </c>
      <c r="G909">
        <v>403.3</v>
      </c>
      <c r="H909">
        <v>2823.1</v>
      </c>
      <c r="I909" t="s">
        <v>14</v>
      </c>
      <c r="J909" t="str">
        <f t="shared" si="14"/>
        <v>Repeat Customer</v>
      </c>
    </row>
    <row r="910" spans="1:10" x14ac:dyDescent="0.25">
      <c r="A910">
        <v>11310</v>
      </c>
      <c r="B910" t="s">
        <v>200</v>
      </c>
      <c r="C910" s="1">
        <v>45973</v>
      </c>
      <c r="D910" t="s">
        <v>24</v>
      </c>
      <c r="E910" t="s">
        <v>19</v>
      </c>
      <c r="F910">
        <v>7</v>
      </c>
      <c r="G910">
        <v>192.33</v>
      </c>
      <c r="H910">
        <v>1346.31</v>
      </c>
      <c r="I910" t="s">
        <v>22</v>
      </c>
      <c r="J910" t="str">
        <f t="shared" si="14"/>
        <v>Repeat Customer</v>
      </c>
    </row>
    <row r="911" spans="1:10" x14ac:dyDescent="0.25">
      <c r="A911">
        <v>11314</v>
      </c>
      <c r="B911" t="s">
        <v>200</v>
      </c>
      <c r="C911" s="1">
        <v>45338</v>
      </c>
      <c r="D911" t="s">
        <v>10</v>
      </c>
      <c r="E911" t="s">
        <v>31</v>
      </c>
      <c r="F911">
        <v>6</v>
      </c>
      <c r="G911">
        <v>340.58</v>
      </c>
      <c r="H911">
        <v>2043.48</v>
      </c>
      <c r="I911" t="s">
        <v>32</v>
      </c>
      <c r="J911" t="str">
        <f t="shared" si="14"/>
        <v>Repeat Customer</v>
      </c>
    </row>
    <row r="912" spans="1:10" x14ac:dyDescent="0.25">
      <c r="A912">
        <v>11404</v>
      </c>
      <c r="B912" t="s">
        <v>200</v>
      </c>
      <c r="C912" s="1">
        <v>45662</v>
      </c>
      <c r="D912" t="s">
        <v>16</v>
      </c>
      <c r="E912" t="s">
        <v>25</v>
      </c>
      <c r="F912">
        <v>10</v>
      </c>
      <c r="G912">
        <v>266.79000000000002</v>
      </c>
      <c r="H912">
        <v>2667.9</v>
      </c>
      <c r="I912" t="s">
        <v>22</v>
      </c>
      <c r="J912" t="str">
        <f t="shared" si="14"/>
        <v>Repeat Customer</v>
      </c>
    </row>
    <row r="913" spans="1:10" x14ac:dyDescent="0.25">
      <c r="A913">
        <v>10007</v>
      </c>
      <c r="B913" t="s">
        <v>23</v>
      </c>
      <c r="C913" s="1">
        <v>45883</v>
      </c>
      <c r="D913" t="s">
        <v>24</v>
      </c>
      <c r="E913" t="s">
        <v>25</v>
      </c>
      <c r="F913">
        <v>4</v>
      </c>
      <c r="G913">
        <v>353.76</v>
      </c>
      <c r="H913">
        <v>1415.04</v>
      </c>
      <c r="I913" t="s">
        <v>22</v>
      </c>
      <c r="J913" t="str">
        <f t="shared" si="14"/>
        <v>Repeat Customer</v>
      </c>
    </row>
    <row r="914" spans="1:10" x14ac:dyDescent="0.25">
      <c r="A914">
        <v>10212</v>
      </c>
      <c r="B914" t="s">
        <v>23</v>
      </c>
      <c r="C914" s="1">
        <v>45608</v>
      </c>
      <c r="D914" t="s">
        <v>16</v>
      </c>
      <c r="E914" t="s">
        <v>31</v>
      </c>
      <c r="F914">
        <v>3</v>
      </c>
      <c r="G914">
        <v>475.83</v>
      </c>
      <c r="H914">
        <v>1427.49</v>
      </c>
      <c r="I914" t="s">
        <v>14</v>
      </c>
      <c r="J914" t="str">
        <f t="shared" si="14"/>
        <v>Repeat Customer</v>
      </c>
    </row>
    <row r="915" spans="1:10" x14ac:dyDescent="0.25">
      <c r="A915">
        <v>10971</v>
      </c>
      <c r="B915" t="s">
        <v>23</v>
      </c>
      <c r="C915" s="1">
        <v>45887</v>
      </c>
      <c r="D915" t="s">
        <v>16</v>
      </c>
      <c r="E915" t="s">
        <v>31</v>
      </c>
      <c r="F915">
        <v>8</v>
      </c>
      <c r="G915">
        <v>284.95999999999998</v>
      </c>
      <c r="H915">
        <v>2279.6799999999998</v>
      </c>
      <c r="I915" t="s">
        <v>12</v>
      </c>
      <c r="J915" t="str">
        <f t="shared" si="14"/>
        <v>Repeat Customer</v>
      </c>
    </row>
    <row r="916" spans="1:10" x14ac:dyDescent="0.25">
      <c r="A916">
        <v>11039</v>
      </c>
      <c r="B916" t="s">
        <v>23</v>
      </c>
      <c r="C916" s="1">
        <v>45778</v>
      </c>
      <c r="D916" t="s">
        <v>24</v>
      </c>
      <c r="E916" t="s">
        <v>11</v>
      </c>
      <c r="F916">
        <v>6</v>
      </c>
      <c r="G916">
        <v>411.58</v>
      </c>
      <c r="H916">
        <v>2469.48</v>
      </c>
      <c r="I916" t="s">
        <v>12</v>
      </c>
      <c r="J916" t="str">
        <f t="shared" si="14"/>
        <v>Repeat Customer</v>
      </c>
    </row>
    <row r="917" spans="1:10" x14ac:dyDescent="0.25">
      <c r="A917">
        <v>11179</v>
      </c>
      <c r="B917" t="s">
        <v>23</v>
      </c>
      <c r="C917" s="1">
        <v>45329</v>
      </c>
      <c r="D917" t="s">
        <v>18</v>
      </c>
      <c r="E917" t="s">
        <v>25</v>
      </c>
      <c r="F917">
        <v>5</v>
      </c>
      <c r="G917">
        <v>248.95</v>
      </c>
      <c r="H917">
        <v>1244.75</v>
      </c>
      <c r="I917" t="s">
        <v>12</v>
      </c>
      <c r="J917" t="str">
        <f t="shared" si="14"/>
        <v>Repeat Customer</v>
      </c>
    </row>
    <row r="918" spans="1:10" x14ac:dyDescent="0.25">
      <c r="A918">
        <v>11460</v>
      </c>
      <c r="B918" t="s">
        <v>23</v>
      </c>
      <c r="C918" s="1">
        <v>45909</v>
      </c>
      <c r="D918" t="s">
        <v>16</v>
      </c>
      <c r="E918" t="s">
        <v>25</v>
      </c>
      <c r="F918">
        <v>6</v>
      </c>
      <c r="G918">
        <v>18.88</v>
      </c>
      <c r="H918">
        <v>113.28</v>
      </c>
      <c r="I918" t="s">
        <v>12</v>
      </c>
      <c r="J918" t="str">
        <f t="shared" si="14"/>
        <v>Repeat Customer</v>
      </c>
    </row>
    <row r="919" spans="1:10" x14ac:dyDescent="0.25">
      <c r="A919">
        <v>11485</v>
      </c>
      <c r="B919" t="s">
        <v>23</v>
      </c>
      <c r="C919" s="1">
        <v>45732</v>
      </c>
      <c r="D919" t="s">
        <v>10</v>
      </c>
      <c r="E919" t="s">
        <v>11</v>
      </c>
      <c r="F919">
        <v>8</v>
      </c>
      <c r="G919">
        <v>110.64</v>
      </c>
      <c r="H919">
        <v>885.12</v>
      </c>
      <c r="I919" t="s">
        <v>32</v>
      </c>
      <c r="J919" t="str">
        <f t="shared" si="14"/>
        <v>Repeat Customer</v>
      </c>
    </row>
    <row r="920" spans="1:10" x14ac:dyDescent="0.25">
      <c r="A920">
        <v>10061</v>
      </c>
      <c r="B920" t="s">
        <v>71</v>
      </c>
      <c r="C920" s="1">
        <v>45733</v>
      </c>
      <c r="D920" t="s">
        <v>16</v>
      </c>
      <c r="E920" t="s">
        <v>19</v>
      </c>
      <c r="F920">
        <v>2</v>
      </c>
      <c r="G920">
        <v>474.69</v>
      </c>
      <c r="H920">
        <v>949.38</v>
      </c>
      <c r="I920" t="s">
        <v>12</v>
      </c>
      <c r="J920" t="str">
        <f t="shared" si="14"/>
        <v>Repeat Customer</v>
      </c>
    </row>
    <row r="921" spans="1:10" x14ac:dyDescent="0.25">
      <c r="A921">
        <v>10207</v>
      </c>
      <c r="B921" t="s">
        <v>71</v>
      </c>
      <c r="C921" s="1">
        <v>45673</v>
      </c>
      <c r="D921" t="s">
        <v>16</v>
      </c>
      <c r="E921" t="s">
        <v>11</v>
      </c>
      <c r="F921">
        <v>5</v>
      </c>
      <c r="G921">
        <v>196.77</v>
      </c>
      <c r="H921">
        <v>983.85</v>
      </c>
      <c r="I921" t="s">
        <v>22</v>
      </c>
      <c r="J921" t="str">
        <f t="shared" si="14"/>
        <v>Repeat Customer</v>
      </c>
    </row>
    <row r="922" spans="1:10" x14ac:dyDescent="0.25">
      <c r="A922">
        <v>10835</v>
      </c>
      <c r="B922" t="s">
        <v>71</v>
      </c>
      <c r="C922" s="1">
        <v>45693</v>
      </c>
      <c r="D922" t="s">
        <v>16</v>
      </c>
      <c r="E922" t="s">
        <v>19</v>
      </c>
      <c r="F922">
        <v>3</v>
      </c>
      <c r="G922">
        <v>351.31</v>
      </c>
      <c r="H922">
        <v>1053.93</v>
      </c>
      <c r="I922" t="s">
        <v>32</v>
      </c>
      <c r="J922" t="str">
        <f t="shared" si="14"/>
        <v>Repeat Customer</v>
      </c>
    </row>
    <row r="923" spans="1:10" x14ac:dyDescent="0.25">
      <c r="A923">
        <v>11026</v>
      </c>
      <c r="B923" t="s">
        <v>71</v>
      </c>
      <c r="C923" s="1">
        <v>45765</v>
      </c>
      <c r="D923" t="s">
        <v>16</v>
      </c>
      <c r="E923" t="s">
        <v>31</v>
      </c>
      <c r="F923">
        <v>3</v>
      </c>
      <c r="G923">
        <v>123.99</v>
      </c>
      <c r="H923">
        <v>371.97</v>
      </c>
      <c r="I923" t="s">
        <v>32</v>
      </c>
      <c r="J923" t="str">
        <f t="shared" si="14"/>
        <v>Repeat Customer</v>
      </c>
    </row>
    <row r="924" spans="1:10" x14ac:dyDescent="0.25">
      <c r="A924">
        <v>11326</v>
      </c>
      <c r="B924" t="s">
        <v>71</v>
      </c>
      <c r="C924" s="1">
        <v>45987</v>
      </c>
      <c r="D924" t="s">
        <v>18</v>
      </c>
      <c r="E924" t="s">
        <v>25</v>
      </c>
      <c r="F924">
        <v>3</v>
      </c>
      <c r="G924">
        <v>262.27999999999997</v>
      </c>
      <c r="H924">
        <v>786.84</v>
      </c>
      <c r="I924" t="s">
        <v>12</v>
      </c>
      <c r="J924" t="str">
        <f t="shared" si="14"/>
        <v>Repeat Customer</v>
      </c>
    </row>
    <row r="925" spans="1:10" x14ac:dyDescent="0.25">
      <c r="A925">
        <v>11403</v>
      </c>
      <c r="B925" t="s">
        <v>71</v>
      </c>
      <c r="C925" s="1">
        <v>45634</v>
      </c>
      <c r="D925" t="s">
        <v>24</v>
      </c>
      <c r="E925" t="s">
        <v>25</v>
      </c>
      <c r="F925">
        <v>5</v>
      </c>
      <c r="G925">
        <v>60.21</v>
      </c>
      <c r="H925">
        <v>301.05</v>
      </c>
      <c r="I925" t="s">
        <v>22</v>
      </c>
      <c r="J925" t="str">
        <f t="shared" si="14"/>
        <v>Repeat Customer</v>
      </c>
    </row>
    <row r="926" spans="1:10" x14ac:dyDescent="0.25">
      <c r="A926">
        <v>11496</v>
      </c>
      <c r="B926" t="s">
        <v>71</v>
      </c>
      <c r="C926" s="1">
        <v>45308</v>
      </c>
      <c r="D926" t="s">
        <v>18</v>
      </c>
      <c r="E926" t="s">
        <v>11</v>
      </c>
      <c r="F926">
        <v>5</v>
      </c>
      <c r="G926">
        <v>448.84</v>
      </c>
      <c r="H926">
        <v>2244.1999999999998</v>
      </c>
      <c r="I926" t="s">
        <v>32</v>
      </c>
      <c r="J926" t="str">
        <f t="shared" si="14"/>
        <v>Repeat Customer</v>
      </c>
    </row>
    <row r="927" spans="1:10" x14ac:dyDescent="0.25">
      <c r="A927">
        <v>10271</v>
      </c>
      <c r="B927" t="s">
        <v>188</v>
      </c>
      <c r="C927" s="1">
        <v>45704</v>
      </c>
      <c r="D927" t="s">
        <v>24</v>
      </c>
      <c r="E927" t="s">
        <v>25</v>
      </c>
      <c r="F927">
        <v>6</v>
      </c>
      <c r="G927">
        <v>27.39</v>
      </c>
      <c r="H927">
        <v>164.34</v>
      </c>
      <c r="I927" t="s">
        <v>22</v>
      </c>
      <c r="J927" t="str">
        <f t="shared" si="14"/>
        <v>Repeat Customer</v>
      </c>
    </row>
    <row r="928" spans="1:10" x14ac:dyDescent="0.25">
      <c r="A928">
        <v>10624</v>
      </c>
      <c r="B928" t="s">
        <v>188</v>
      </c>
      <c r="C928" s="1">
        <v>45693</v>
      </c>
      <c r="D928" t="s">
        <v>18</v>
      </c>
      <c r="E928" t="s">
        <v>19</v>
      </c>
      <c r="F928">
        <v>4</v>
      </c>
      <c r="G928">
        <v>446.26</v>
      </c>
      <c r="H928">
        <v>1785.04</v>
      </c>
      <c r="I928" t="s">
        <v>14</v>
      </c>
      <c r="J928" t="str">
        <f t="shared" si="14"/>
        <v>Repeat Customer</v>
      </c>
    </row>
    <row r="929" spans="1:10" x14ac:dyDescent="0.25">
      <c r="A929">
        <v>10680</v>
      </c>
      <c r="B929" t="s">
        <v>188</v>
      </c>
      <c r="C929" s="1">
        <v>45480</v>
      </c>
      <c r="D929" t="s">
        <v>21</v>
      </c>
      <c r="E929" t="s">
        <v>19</v>
      </c>
      <c r="F929">
        <v>8</v>
      </c>
      <c r="G929">
        <v>214.85</v>
      </c>
      <c r="H929">
        <v>1718.8</v>
      </c>
      <c r="I929" t="s">
        <v>22</v>
      </c>
      <c r="J929" t="str">
        <f t="shared" si="14"/>
        <v>Repeat Customer</v>
      </c>
    </row>
    <row r="930" spans="1:10" x14ac:dyDescent="0.25">
      <c r="A930">
        <v>10733</v>
      </c>
      <c r="B930" t="s">
        <v>188</v>
      </c>
      <c r="C930" s="1">
        <v>45518</v>
      </c>
      <c r="D930" t="s">
        <v>24</v>
      </c>
      <c r="E930" t="s">
        <v>25</v>
      </c>
      <c r="F930">
        <v>10</v>
      </c>
      <c r="G930">
        <v>360.33</v>
      </c>
      <c r="H930">
        <v>3603.3</v>
      </c>
      <c r="I930" t="s">
        <v>32</v>
      </c>
      <c r="J930" t="str">
        <f t="shared" si="14"/>
        <v>Repeat Customer</v>
      </c>
    </row>
    <row r="931" spans="1:10" x14ac:dyDescent="0.25">
      <c r="A931">
        <v>11476</v>
      </c>
      <c r="B931" t="s">
        <v>188</v>
      </c>
      <c r="C931" s="1">
        <v>45816</v>
      </c>
      <c r="D931" t="s">
        <v>16</v>
      </c>
      <c r="E931" t="s">
        <v>11</v>
      </c>
      <c r="F931">
        <v>10</v>
      </c>
      <c r="G931">
        <v>476.26</v>
      </c>
      <c r="H931">
        <v>4762.6000000000004</v>
      </c>
      <c r="I931" t="s">
        <v>32</v>
      </c>
      <c r="J931" t="str">
        <f t="shared" si="14"/>
        <v>Repeat Customer</v>
      </c>
    </row>
    <row r="932" spans="1:10" x14ac:dyDescent="0.25">
      <c r="A932">
        <v>10087</v>
      </c>
      <c r="B932" t="s">
        <v>92</v>
      </c>
      <c r="C932" s="1">
        <v>45463</v>
      </c>
      <c r="D932" t="s">
        <v>24</v>
      </c>
      <c r="E932" t="s">
        <v>25</v>
      </c>
      <c r="F932">
        <v>10</v>
      </c>
      <c r="G932">
        <v>305.58999999999997</v>
      </c>
      <c r="H932">
        <v>3055.9</v>
      </c>
      <c r="I932" t="s">
        <v>22</v>
      </c>
      <c r="J932" t="str">
        <f t="shared" si="14"/>
        <v>Repeat Customer</v>
      </c>
    </row>
    <row r="933" spans="1:10" x14ac:dyDescent="0.25">
      <c r="A933">
        <v>10305</v>
      </c>
      <c r="B933" t="s">
        <v>92</v>
      </c>
      <c r="C933" s="1">
        <v>45921</v>
      </c>
      <c r="D933" t="s">
        <v>10</v>
      </c>
      <c r="E933" t="s">
        <v>31</v>
      </c>
      <c r="F933">
        <v>4</v>
      </c>
      <c r="G933">
        <v>113.47</v>
      </c>
      <c r="H933">
        <v>453.88</v>
      </c>
      <c r="I933" t="s">
        <v>14</v>
      </c>
      <c r="J933" t="str">
        <f t="shared" si="14"/>
        <v>Repeat Customer</v>
      </c>
    </row>
    <row r="934" spans="1:10" x14ac:dyDescent="0.25">
      <c r="A934">
        <v>10803</v>
      </c>
      <c r="B934" t="s">
        <v>92</v>
      </c>
      <c r="C934" s="1">
        <v>45680</v>
      </c>
      <c r="D934" t="s">
        <v>18</v>
      </c>
      <c r="E934" t="s">
        <v>11</v>
      </c>
      <c r="F934">
        <v>2</v>
      </c>
      <c r="G934">
        <v>380.43</v>
      </c>
      <c r="H934">
        <v>760.86</v>
      </c>
      <c r="I934" t="s">
        <v>22</v>
      </c>
      <c r="J934" t="str">
        <f t="shared" si="14"/>
        <v>Repeat Customer</v>
      </c>
    </row>
    <row r="935" spans="1:10" x14ac:dyDescent="0.25">
      <c r="A935">
        <v>11294</v>
      </c>
      <c r="B935" t="s">
        <v>92</v>
      </c>
      <c r="C935" s="1">
        <v>46005</v>
      </c>
      <c r="D935" t="s">
        <v>21</v>
      </c>
      <c r="E935" t="s">
        <v>25</v>
      </c>
      <c r="F935">
        <v>1</v>
      </c>
      <c r="G935">
        <v>327.2</v>
      </c>
      <c r="H935">
        <v>327.2</v>
      </c>
      <c r="I935" t="s">
        <v>14</v>
      </c>
      <c r="J935" t="str">
        <f t="shared" si="14"/>
        <v>Repeat Customer</v>
      </c>
    </row>
    <row r="936" spans="1:10" x14ac:dyDescent="0.25">
      <c r="A936">
        <v>11440</v>
      </c>
      <c r="B936" t="s">
        <v>92</v>
      </c>
      <c r="C936" s="1">
        <v>45563</v>
      </c>
      <c r="D936" t="s">
        <v>10</v>
      </c>
      <c r="E936" t="s">
        <v>25</v>
      </c>
      <c r="F936">
        <v>2</v>
      </c>
      <c r="G936">
        <v>395.48</v>
      </c>
      <c r="H936">
        <v>790.96</v>
      </c>
      <c r="I936" t="s">
        <v>22</v>
      </c>
      <c r="J936" t="str">
        <f t="shared" si="14"/>
        <v>Repeat Customer</v>
      </c>
    </row>
    <row r="937" spans="1:10" x14ac:dyDescent="0.25">
      <c r="A937">
        <v>10009</v>
      </c>
      <c r="B937" t="s">
        <v>27</v>
      </c>
      <c r="C937" s="1">
        <v>45655</v>
      </c>
      <c r="D937" t="s">
        <v>24</v>
      </c>
      <c r="E937" t="s">
        <v>25</v>
      </c>
      <c r="F937">
        <v>4</v>
      </c>
      <c r="G937">
        <v>336.74</v>
      </c>
      <c r="H937">
        <v>1346.96</v>
      </c>
      <c r="I937" t="s">
        <v>14</v>
      </c>
      <c r="J937" t="str">
        <f t="shared" si="14"/>
        <v>Repeat Customer</v>
      </c>
    </row>
    <row r="938" spans="1:10" x14ac:dyDescent="0.25">
      <c r="A938">
        <v>10044</v>
      </c>
      <c r="B938" t="s">
        <v>27</v>
      </c>
      <c r="C938" s="1">
        <v>45583</v>
      </c>
      <c r="D938" t="s">
        <v>18</v>
      </c>
      <c r="E938" t="s">
        <v>19</v>
      </c>
      <c r="F938">
        <v>3</v>
      </c>
      <c r="G938">
        <v>221.9</v>
      </c>
      <c r="H938">
        <v>665.7</v>
      </c>
      <c r="I938" t="s">
        <v>12</v>
      </c>
      <c r="J938" t="str">
        <f t="shared" si="14"/>
        <v>Repeat Customer</v>
      </c>
    </row>
    <row r="939" spans="1:10" x14ac:dyDescent="0.25">
      <c r="A939">
        <v>10160</v>
      </c>
      <c r="B939" t="s">
        <v>27</v>
      </c>
      <c r="C939" s="1">
        <v>45978</v>
      </c>
      <c r="D939" t="s">
        <v>10</v>
      </c>
      <c r="E939" t="s">
        <v>31</v>
      </c>
      <c r="F939">
        <v>9</v>
      </c>
      <c r="G939">
        <v>212.47</v>
      </c>
      <c r="H939">
        <v>1912.23</v>
      </c>
      <c r="I939" t="s">
        <v>12</v>
      </c>
      <c r="J939" t="str">
        <f t="shared" si="14"/>
        <v>Repeat Customer</v>
      </c>
    </row>
    <row r="940" spans="1:10" x14ac:dyDescent="0.25">
      <c r="A940">
        <v>10628</v>
      </c>
      <c r="B940" t="s">
        <v>27</v>
      </c>
      <c r="C940" s="1">
        <v>45531</v>
      </c>
      <c r="D940" t="s">
        <v>18</v>
      </c>
      <c r="E940" t="s">
        <v>19</v>
      </c>
      <c r="F940">
        <v>1</v>
      </c>
      <c r="G940">
        <v>335.95</v>
      </c>
      <c r="H940">
        <v>335.95</v>
      </c>
      <c r="I940" t="s">
        <v>32</v>
      </c>
      <c r="J940" t="str">
        <f t="shared" si="14"/>
        <v>Repeat Customer</v>
      </c>
    </row>
    <row r="941" spans="1:10" x14ac:dyDescent="0.25">
      <c r="A941">
        <v>11177</v>
      </c>
      <c r="B941" t="s">
        <v>27</v>
      </c>
      <c r="C941" s="1">
        <v>45489</v>
      </c>
      <c r="D941" t="s">
        <v>24</v>
      </c>
      <c r="E941" t="s">
        <v>19</v>
      </c>
      <c r="F941">
        <v>8</v>
      </c>
      <c r="G941">
        <v>9.6300000000000008</v>
      </c>
      <c r="H941">
        <v>77.040000000000006</v>
      </c>
      <c r="I941" t="s">
        <v>22</v>
      </c>
      <c r="J941" t="str">
        <f t="shared" si="14"/>
        <v>Repeat Customer</v>
      </c>
    </row>
    <row r="942" spans="1:10" x14ac:dyDescent="0.25">
      <c r="A942">
        <v>10412</v>
      </c>
      <c r="B942" t="s">
        <v>231</v>
      </c>
      <c r="C942" s="1">
        <v>45972</v>
      </c>
      <c r="D942" t="s">
        <v>16</v>
      </c>
      <c r="E942" t="s">
        <v>25</v>
      </c>
      <c r="F942">
        <v>3</v>
      </c>
      <c r="G942">
        <v>30.63</v>
      </c>
      <c r="H942">
        <v>91.89</v>
      </c>
      <c r="I942" t="s">
        <v>32</v>
      </c>
      <c r="J942" t="str">
        <f t="shared" si="14"/>
        <v>Repeat Customer</v>
      </c>
    </row>
    <row r="943" spans="1:10" x14ac:dyDescent="0.25">
      <c r="A943">
        <v>10514</v>
      </c>
      <c r="B943" t="s">
        <v>231</v>
      </c>
      <c r="C943" s="1">
        <v>45792</v>
      </c>
      <c r="D943" t="s">
        <v>21</v>
      </c>
      <c r="E943" t="s">
        <v>19</v>
      </c>
      <c r="F943">
        <v>10</v>
      </c>
      <c r="G943">
        <v>225.82</v>
      </c>
      <c r="H943">
        <v>2258.1999999999998</v>
      </c>
      <c r="I943" t="s">
        <v>22</v>
      </c>
      <c r="J943" t="str">
        <f t="shared" si="14"/>
        <v>Repeat Customer</v>
      </c>
    </row>
    <row r="944" spans="1:10" x14ac:dyDescent="0.25">
      <c r="A944">
        <v>10555</v>
      </c>
      <c r="B944" t="s">
        <v>231</v>
      </c>
      <c r="C944" s="1">
        <v>45642</v>
      </c>
      <c r="D944" t="s">
        <v>21</v>
      </c>
      <c r="E944" t="s">
        <v>31</v>
      </c>
      <c r="F944">
        <v>3</v>
      </c>
      <c r="G944">
        <v>61.35</v>
      </c>
      <c r="H944">
        <v>184.05</v>
      </c>
      <c r="I944" t="s">
        <v>22</v>
      </c>
      <c r="J944" t="str">
        <f t="shared" si="14"/>
        <v>Repeat Customer</v>
      </c>
    </row>
    <row r="945" spans="1:10" x14ac:dyDescent="0.25">
      <c r="A945">
        <v>10674</v>
      </c>
      <c r="B945" t="s">
        <v>231</v>
      </c>
      <c r="C945" s="1">
        <v>45927</v>
      </c>
      <c r="D945" t="s">
        <v>18</v>
      </c>
      <c r="E945" t="s">
        <v>19</v>
      </c>
      <c r="F945">
        <v>6</v>
      </c>
      <c r="G945">
        <v>248.71</v>
      </c>
      <c r="H945">
        <v>1492.26</v>
      </c>
      <c r="I945" t="s">
        <v>32</v>
      </c>
      <c r="J945" t="str">
        <f t="shared" si="14"/>
        <v>Repeat Customer</v>
      </c>
    </row>
    <row r="946" spans="1:10" x14ac:dyDescent="0.25">
      <c r="A946">
        <v>10720</v>
      </c>
      <c r="B946" t="s">
        <v>231</v>
      </c>
      <c r="C946" s="1">
        <v>45383</v>
      </c>
      <c r="D946" t="s">
        <v>24</v>
      </c>
      <c r="E946" t="s">
        <v>19</v>
      </c>
      <c r="F946">
        <v>4</v>
      </c>
      <c r="G946">
        <v>83.06</v>
      </c>
      <c r="H946">
        <v>332.24</v>
      </c>
      <c r="I946" t="s">
        <v>12</v>
      </c>
      <c r="J946" t="str">
        <f t="shared" si="14"/>
        <v>Repeat Customer</v>
      </c>
    </row>
    <row r="947" spans="1:10" x14ac:dyDescent="0.25">
      <c r="A947">
        <v>11120</v>
      </c>
      <c r="B947" t="s">
        <v>231</v>
      </c>
      <c r="C947" s="1">
        <v>45716</v>
      </c>
      <c r="D947" t="s">
        <v>10</v>
      </c>
      <c r="E947" t="s">
        <v>25</v>
      </c>
      <c r="F947">
        <v>6</v>
      </c>
      <c r="G947">
        <v>316.57</v>
      </c>
      <c r="H947">
        <v>1899.42</v>
      </c>
      <c r="I947" t="s">
        <v>32</v>
      </c>
      <c r="J947" t="str">
        <f t="shared" si="14"/>
        <v>Repeat Customer</v>
      </c>
    </row>
    <row r="948" spans="1:10" x14ac:dyDescent="0.25">
      <c r="A948">
        <v>10780</v>
      </c>
      <c r="B948" t="s">
        <v>300</v>
      </c>
      <c r="C948" s="1">
        <v>45480</v>
      </c>
      <c r="D948" t="s">
        <v>10</v>
      </c>
      <c r="E948" t="s">
        <v>25</v>
      </c>
      <c r="F948">
        <v>7</v>
      </c>
      <c r="G948">
        <v>248.27</v>
      </c>
      <c r="H948">
        <v>1737.89</v>
      </c>
      <c r="I948" t="s">
        <v>14</v>
      </c>
      <c r="J948" t="str">
        <f t="shared" si="14"/>
        <v>Repeat Customer</v>
      </c>
    </row>
    <row r="949" spans="1:10" x14ac:dyDescent="0.25">
      <c r="A949">
        <v>10920</v>
      </c>
      <c r="B949" t="s">
        <v>300</v>
      </c>
      <c r="C949" s="1">
        <v>45431</v>
      </c>
      <c r="D949" t="s">
        <v>16</v>
      </c>
      <c r="E949" t="s">
        <v>19</v>
      </c>
      <c r="F949">
        <v>8</v>
      </c>
      <c r="G949">
        <v>361.31</v>
      </c>
      <c r="H949">
        <v>2890.48</v>
      </c>
      <c r="I949" t="s">
        <v>14</v>
      </c>
      <c r="J949" t="str">
        <f t="shared" si="14"/>
        <v>Repeat Customer</v>
      </c>
    </row>
    <row r="950" spans="1:10" x14ac:dyDescent="0.25">
      <c r="A950">
        <v>10972</v>
      </c>
      <c r="B950" t="s">
        <v>300</v>
      </c>
      <c r="C950" s="1">
        <v>45816</v>
      </c>
      <c r="D950" t="s">
        <v>16</v>
      </c>
      <c r="E950" t="s">
        <v>25</v>
      </c>
      <c r="F950">
        <v>10</v>
      </c>
      <c r="G950">
        <v>13.68</v>
      </c>
      <c r="H950">
        <v>136.80000000000001</v>
      </c>
      <c r="I950" t="s">
        <v>12</v>
      </c>
      <c r="J950" t="str">
        <f t="shared" si="14"/>
        <v>Repeat Customer</v>
      </c>
    </row>
    <row r="951" spans="1:10" x14ac:dyDescent="0.25">
      <c r="A951">
        <v>11166</v>
      </c>
      <c r="B951" t="s">
        <v>300</v>
      </c>
      <c r="C951" s="1">
        <v>45845</v>
      </c>
      <c r="D951" t="s">
        <v>18</v>
      </c>
      <c r="E951" t="s">
        <v>31</v>
      </c>
      <c r="F951">
        <v>3</v>
      </c>
      <c r="G951">
        <v>392.1</v>
      </c>
      <c r="H951">
        <v>1176.3</v>
      </c>
      <c r="I951" t="s">
        <v>32</v>
      </c>
      <c r="J951" t="str">
        <f t="shared" si="14"/>
        <v>Repeat Customer</v>
      </c>
    </row>
    <row r="952" spans="1:10" x14ac:dyDescent="0.25">
      <c r="A952">
        <v>10486</v>
      </c>
      <c r="B952" t="s">
        <v>248</v>
      </c>
      <c r="C952" s="1">
        <v>45456</v>
      </c>
      <c r="D952" t="s">
        <v>24</v>
      </c>
      <c r="E952" t="s">
        <v>19</v>
      </c>
      <c r="F952">
        <v>2</v>
      </c>
      <c r="G952">
        <v>275.79000000000002</v>
      </c>
      <c r="H952">
        <v>551.58000000000004</v>
      </c>
      <c r="I952" t="s">
        <v>32</v>
      </c>
      <c r="J952" t="str">
        <f t="shared" si="14"/>
        <v>Repeat Customer</v>
      </c>
    </row>
    <row r="953" spans="1:10" x14ac:dyDescent="0.25">
      <c r="A953">
        <v>10519</v>
      </c>
      <c r="B953" t="s">
        <v>248</v>
      </c>
      <c r="C953" s="1">
        <v>45649</v>
      </c>
      <c r="D953" t="s">
        <v>21</v>
      </c>
      <c r="E953" t="s">
        <v>19</v>
      </c>
      <c r="F953">
        <v>8</v>
      </c>
      <c r="G953">
        <v>129.74</v>
      </c>
      <c r="H953">
        <v>1037.92</v>
      </c>
      <c r="I953" t="s">
        <v>32</v>
      </c>
      <c r="J953" t="str">
        <f t="shared" si="14"/>
        <v>Repeat Customer</v>
      </c>
    </row>
    <row r="954" spans="1:10" x14ac:dyDescent="0.25">
      <c r="A954">
        <v>10649</v>
      </c>
      <c r="B954" t="s">
        <v>248</v>
      </c>
      <c r="C954" s="1">
        <v>45962</v>
      </c>
      <c r="D954" t="s">
        <v>16</v>
      </c>
      <c r="E954" t="s">
        <v>31</v>
      </c>
      <c r="F954">
        <v>4</v>
      </c>
      <c r="G954">
        <v>345.44</v>
      </c>
      <c r="H954">
        <v>1381.76</v>
      </c>
      <c r="I954" t="s">
        <v>22</v>
      </c>
      <c r="J954" t="str">
        <f t="shared" si="14"/>
        <v>Repeat Customer</v>
      </c>
    </row>
    <row r="955" spans="1:10" x14ac:dyDescent="0.25">
      <c r="A955">
        <v>10880</v>
      </c>
      <c r="B955" t="s">
        <v>248</v>
      </c>
      <c r="C955" s="1">
        <v>45964</v>
      </c>
      <c r="D955" t="s">
        <v>10</v>
      </c>
      <c r="E955" t="s">
        <v>11</v>
      </c>
      <c r="F955">
        <v>10</v>
      </c>
      <c r="G955">
        <v>402.58</v>
      </c>
      <c r="H955">
        <v>4025.8</v>
      </c>
      <c r="I955" t="s">
        <v>14</v>
      </c>
      <c r="J955" t="str">
        <f t="shared" si="14"/>
        <v>Repeat Customer</v>
      </c>
    </row>
    <row r="956" spans="1:10" x14ac:dyDescent="0.25">
      <c r="A956">
        <v>10965</v>
      </c>
      <c r="B956" t="s">
        <v>248</v>
      </c>
      <c r="C956" s="1">
        <v>45382</v>
      </c>
      <c r="D956" t="s">
        <v>16</v>
      </c>
      <c r="E956" t="s">
        <v>31</v>
      </c>
      <c r="F956">
        <v>1</v>
      </c>
      <c r="G956">
        <v>207.68</v>
      </c>
      <c r="H956">
        <v>207.68</v>
      </c>
      <c r="I956" t="s">
        <v>14</v>
      </c>
      <c r="J956" t="str">
        <f t="shared" si="14"/>
        <v>Repeat Customer</v>
      </c>
    </row>
    <row r="957" spans="1:10" x14ac:dyDescent="0.25">
      <c r="A957">
        <v>11161</v>
      </c>
      <c r="B957" t="s">
        <v>248</v>
      </c>
      <c r="C957" s="1">
        <v>45415</v>
      </c>
      <c r="D957" t="s">
        <v>18</v>
      </c>
      <c r="E957" t="s">
        <v>25</v>
      </c>
      <c r="F957">
        <v>1</v>
      </c>
      <c r="G957">
        <v>105.27</v>
      </c>
      <c r="H957">
        <v>105.27</v>
      </c>
      <c r="I957" t="s">
        <v>32</v>
      </c>
      <c r="J957" t="str">
        <f t="shared" si="14"/>
        <v>Repeat Customer</v>
      </c>
    </row>
    <row r="958" spans="1:10" x14ac:dyDescent="0.25">
      <c r="A958">
        <v>11176</v>
      </c>
      <c r="B958" t="s">
        <v>248</v>
      </c>
      <c r="C958" s="1">
        <v>45907</v>
      </c>
      <c r="D958" t="s">
        <v>24</v>
      </c>
      <c r="E958" t="s">
        <v>11</v>
      </c>
      <c r="F958">
        <v>6</v>
      </c>
      <c r="G958">
        <v>196.44</v>
      </c>
      <c r="H958">
        <v>1178.6400000000001</v>
      </c>
      <c r="I958" t="s">
        <v>32</v>
      </c>
      <c r="J958" t="str">
        <f t="shared" si="14"/>
        <v>Repeat Customer</v>
      </c>
    </row>
    <row r="959" spans="1:10" x14ac:dyDescent="0.25">
      <c r="A959">
        <v>11289</v>
      </c>
      <c r="B959" t="s">
        <v>248</v>
      </c>
      <c r="C959" s="1">
        <v>45867</v>
      </c>
      <c r="D959" t="s">
        <v>16</v>
      </c>
      <c r="E959" t="s">
        <v>25</v>
      </c>
      <c r="F959">
        <v>10</v>
      </c>
      <c r="G959">
        <v>243.02</v>
      </c>
      <c r="H959">
        <v>2430.1999999999998</v>
      </c>
      <c r="I959" t="s">
        <v>32</v>
      </c>
      <c r="J959" t="str">
        <f t="shared" si="14"/>
        <v>Repeat Customer</v>
      </c>
    </row>
    <row r="960" spans="1:10" x14ac:dyDescent="0.25">
      <c r="A960">
        <v>10330</v>
      </c>
      <c r="B960" t="s">
        <v>209</v>
      </c>
      <c r="C960" s="1">
        <v>45981</v>
      </c>
      <c r="D960" t="s">
        <v>24</v>
      </c>
      <c r="E960" t="s">
        <v>25</v>
      </c>
      <c r="F960">
        <v>10</v>
      </c>
      <c r="G960">
        <v>303.45</v>
      </c>
      <c r="H960">
        <v>3034.5</v>
      </c>
      <c r="I960" t="s">
        <v>14</v>
      </c>
      <c r="J960" t="str">
        <f t="shared" si="14"/>
        <v>Repeat Customer</v>
      </c>
    </row>
    <row r="961" spans="1:10" x14ac:dyDescent="0.25">
      <c r="A961">
        <v>10666</v>
      </c>
      <c r="B961" t="s">
        <v>209</v>
      </c>
      <c r="C961" s="1">
        <v>45868</v>
      </c>
      <c r="D961" t="s">
        <v>16</v>
      </c>
      <c r="E961" t="s">
        <v>31</v>
      </c>
      <c r="F961">
        <v>8</v>
      </c>
      <c r="G961">
        <v>386.13</v>
      </c>
      <c r="H961">
        <v>3089.04</v>
      </c>
      <c r="I961" t="s">
        <v>32</v>
      </c>
      <c r="J961" t="str">
        <f t="shared" si="14"/>
        <v>Repeat Customer</v>
      </c>
    </row>
    <row r="962" spans="1:10" x14ac:dyDescent="0.25">
      <c r="A962">
        <v>10793</v>
      </c>
      <c r="B962" t="s">
        <v>209</v>
      </c>
      <c r="C962" s="1">
        <v>45855</v>
      </c>
      <c r="D962" t="s">
        <v>10</v>
      </c>
      <c r="E962" t="s">
        <v>19</v>
      </c>
      <c r="F962">
        <v>7</v>
      </c>
      <c r="G962">
        <v>26.73</v>
      </c>
      <c r="H962">
        <v>187.11</v>
      </c>
      <c r="I962" t="s">
        <v>14</v>
      </c>
      <c r="J962" t="str">
        <f t="shared" ref="J962:J1025" si="15">IF(COUNTIF($B:$B,B962)&gt;1,"Repeat Customer","New Customer")</f>
        <v>Repeat Customer</v>
      </c>
    </row>
    <row r="963" spans="1:10" x14ac:dyDescent="0.25">
      <c r="A963">
        <v>10005</v>
      </c>
      <c r="B963" t="s">
        <v>17</v>
      </c>
      <c r="C963" s="1">
        <v>45391</v>
      </c>
      <c r="D963" t="s">
        <v>18</v>
      </c>
      <c r="E963" t="s">
        <v>19</v>
      </c>
      <c r="F963">
        <v>6</v>
      </c>
      <c r="G963">
        <v>424.51</v>
      </c>
      <c r="H963">
        <v>2547.06</v>
      </c>
      <c r="I963" t="s">
        <v>12</v>
      </c>
      <c r="J963" t="str">
        <f t="shared" si="15"/>
        <v>Repeat Customer</v>
      </c>
    </row>
    <row r="964" spans="1:10" x14ac:dyDescent="0.25">
      <c r="A964">
        <v>10034</v>
      </c>
      <c r="B964" t="s">
        <v>17</v>
      </c>
      <c r="C964" s="1">
        <v>45294</v>
      </c>
      <c r="D964" t="s">
        <v>21</v>
      </c>
      <c r="E964" t="s">
        <v>19</v>
      </c>
      <c r="F964">
        <v>7</v>
      </c>
      <c r="G964">
        <v>136.28</v>
      </c>
      <c r="H964">
        <v>953.96</v>
      </c>
      <c r="I964" t="s">
        <v>32</v>
      </c>
      <c r="J964" t="str">
        <f t="shared" si="15"/>
        <v>Repeat Customer</v>
      </c>
    </row>
    <row r="965" spans="1:10" x14ac:dyDescent="0.25">
      <c r="A965">
        <v>10348</v>
      </c>
      <c r="B965" t="s">
        <v>17</v>
      </c>
      <c r="C965" s="1">
        <v>45678</v>
      </c>
      <c r="D965" t="s">
        <v>24</v>
      </c>
      <c r="E965" t="s">
        <v>25</v>
      </c>
      <c r="F965">
        <v>9</v>
      </c>
      <c r="G965">
        <v>240.62</v>
      </c>
      <c r="H965">
        <v>2165.58</v>
      </c>
      <c r="I965" t="s">
        <v>12</v>
      </c>
      <c r="J965" t="str">
        <f t="shared" si="15"/>
        <v>Repeat Customer</v>
      </c>
    </row>
    <row r="966" spans="1:10" x14ac:dyDescent="0.25">
      <c r="A966">
        <v>10363</v>
      </c>
      <c r="B966" t="s">
        <v>17</v>
      </c>
      <c r="C966" s="1">
        <v>45465</v>
      </c>
      <c r="D966" t="s">
        <v>16</v>
      </c>
      <c r="E966" t="s">
        <v>31</v>
      </c>
      <c r="F966">
        <v>3</v>
      </c>
      <c r="G966">
        <v>138.11000000000001</v>
      </c>
      <c r="H966">
        <v>414.33</v>
      </c>
      <c r="I966" t="s">
        <v>14</v>
      </c>
      <c r="J966" t="str">
        <f t="shared" si="15"/>
        <v>Repeat Customer</v>
      </c>
    </row>
    <row r="967" spans="1:10" x14ac:dyDescent="0.25">
      <c r="A967">
        <v>10016</v>
      </c>
      <c r="B967" t="s">
        <v>36</v>
      </c>
      <c r="C967" s="1">
        <v>45902</v>
      </c>
      <c r="D967" t="s">
        <v>18</v>
      </c>
      <c r="E967" t="s">
        <v>11</v>
      </c>
      <c r="F967">
        <v>8</v>
      </c>
      <c r="G967">
        <v>266.91000000000003</v>
      </c>
      <c r="H967">
        <v>2135.2800000000002</v>
      </c>
      <c r="I967" t="s">
        <v>12</v>
      </c>
      <c r="J967" t="str">
        <f t="shared" si="15"/>
        <v>Repeat Customer</v>
      </c>
    </row>
    <row r="968" spans="1:10" x14ac:dyDescent="0.25">
      <c r="A968">
        <v>10465</v>
      </c>
      <c r="B968" t="s">
        <v>36</v>
      </c>
      <c r="C968" s="1">
        <v>46022</v>
      </c>
      <c r="D968" t="s">
        <v>21</v>
      </c>
      <c r="E968" t="s">
        <v>19</v>
      </c>
      <c r="F968">
        <v>6</v>
      </c>
      <c r="G968">
        <v>242.44</v>
      </c>
      <c r="H968">
        <v>1454.64</v>
      </c>
      <c r="I968" t="s">
        <v>22</v>
      </c>
      <c r="J968" t="str">
        <f t="shared" si="15"/>
        <v>Repeat Customer</v>
      </c>
    </row>
    <row r="969" spans="1:10" x14ac:dyDescent="0.25">
      <c r="A969">
        <v>10689</v>
      </c>
      <c r="B969" t="s">
        <v>36</v>
      </c>
      <c r="C969" s="1">
        <v>45920</v>
      </c>
      <c r="D969" t="s">
        <v>10</v>
      </c>
      <c r="E969" t="s">
        <v>25</v>
      </c>
      <c r="F969">
        <v>5</v>
      </c>
      <c r="G969">
        <v>234.56</v>
      </c>
      <c r="H969">
        <v>1172.8</v>
      </c>
      <c r="I969" t="s">
        <v>22</v>
      </c>
      <c r="J969" t="str">
        <f t="shared" si="15"/>
        <v>Repeat Customer</v>
      </c>
    </row>
    <row r="970" spans="1:10" x14ac:dyDescent="0.25">
      <c r="A970">
        <v>10850</v>
      </c>
      <c r="B970" t="s">
        <v>36</v>
      </c>
      <c r="C970" s="1">
        <v>45707</v>
      </c>
      <c r="D970" t="s">
        <v>10</v>
      </c>
      <c r="E970" t="s">
        <v>25</v>
      </c>
      <c r="F970">
        <v>7</v>
      </c>
      <c r="G970">
        <v>220.42</v>
      </c>
      <c r="H970">
        <v>1542.94</v>
      </c>
      <c r="I970" t="s">
        <v>32</v>
      </c>
      <c r="J970" t="str">
        <f t="shared" si="15"/>
        <v>Repeat Customer</v>
      </c>
    </row>
    <row r="971" spans="1:10" x14ac:dyDescent="0.25">
      <c r="A971">
        <v>10883</v>
      </c>
      <c r="B971" t="s">
        <v>36</v>
      </c>
      <c r="C971" s="1">
        <v>45689</v>
      </c>
      <c r="D971" t="s">
        <v>16</v>
      </c>
      <c r="E971" t="s">
        <v>19</v>
      </c>
      <c r="F971">
        <v>6</v>
      </c>
      <c r="G971">
        <v>498</v>
      </c>
      <c r="H971">
        <v>2988</v>
      </c>
      <c r="I971" t="s">
        <v>14</v>
      </c>
      <c r="J971" t="str">
        <f t="shared" si="15"/>
        <v>Repeat Customer</v>
      </c>
    </row>
    <row r="972" spans="1:10" x14ac:dyDescent="0.25">
      <c r="A972">
        <v>10967</v>
      </c>
      <c r="B972" t="s">
        <v>36</v>
      </c>
      <c r="C972" s="1">
        <v>45588</v>
      </c>
      <c r="D972" t="s">
        <v>16</v>
      </c>
      <c r="E972" t="s">
        <v>19</v>
      </c>
      <c r="F972">
        <v>9</v>
      </c>
      <c r="G972">
        <v>247.84</v>
      </c>
      <c r="H972">
        <v>2230.56</v>
      </c>
      <c r="I972" t="s">
        <v>32</v>
      </c>
      <c r="J972" t="str">
        <f t="shared" si="15"/>
        <v>Repeat Customer</v>
      </c>
    </row>
    <row r="973" spans="1:10" x14ac:dyDescent="0.25">
      <c r="A973">
        <v>11003</v>
      </c>
      <c r="B973" t="s">
        <v>36</v>
      </c>
      <c r="C973" s="1">
        <v>45911</v>
      </c>
      <c r="D973" t="s">
        <v>18</v>
      </c>
      <c r="E973" t="s">
        <v>11</v>
      </c>
      <c r="F973">
        <v>6</v>
      </c>
      <c r="G973">
        <v>80.599999999999994</v>
      </c>
      <c r="H973">
        <v>483.6</v>
      </c>
      <c r="I973" t="s">
        <v>12</v>
      </c>
      <c r="J973" t="str">
        <f t="shared" si="15"/>
        <v>Repeat Customer</v>
      </c>
    </row>
    <row r="974" spans="1:10" x14ac:dyDescent="0.25">
      <c r="A974">
        <v>11195</v>
      </c>
      <c r="B974" t="s">
        <v>36</v>
      </c>
      <c r="C974" s="1">
        <v>45703</v>
      </c>
      <c r="D974" t="s">
        <v>21</v>
      </c>
      <c r="E974" t="s">
        <v>25</v>
      </c>
      <c r="F974">
        <v>2</v>
      </c>
      <c r="G974">
        <v>310.56</v>
      </c>
      <c r="H974">
        <v>621.12</v>
      </c>
      <c r="I974" t="s">
        <v>12</v>
      </c>
      <c r="J974" t="str">
        <f t="shared" si="15"/>
        <v>Repeat Customer</v>
      </c>
    </row>
    <row r="975" spans="1:10" x14ac:dyDescent="0.25">
      <c r="A975">
        <v>11342</v>
      </c>
      <c r="B975" t="s">
        <v>36</v>
      </c>
      <c r="C975" s="1">
        <v>45573</v>
      </c>
      <c r="D975" t="s">
        <v>24</v>
      </c>
      <c r="E975" t="s">
        <v>11</v>
      </c>
      <c r="F975">
        <v>8</v>
      </c>
      <c r="G975">
        <v>186.82</v>
      </c>
      <c r="H975">
        <v>1494.56</v>
      </c>
      <c r="I975" t="s">
        <v>12</v>
      </c>
      <c r="J975" t="str">
        <f t="shared" si="15"/>
        <v>Repeat Customer</v>
      </c>
    </row>
    <row r="976" spans="1:10" x14ac:dyDescent="0.25">
      <c r="A976">
        <v>11499</v>
      </c>
      <c r="B976" t="s">
        <v>36</v>
      </c>
      <c r="C976" s="1">
        <v>45583</v>
      </c>
      <c r="D976" t="s">
        <v>18</v>
      </c>
      <c r="E976" t="s">
        <v>11</v>
      </c>
      <c r="F976">
        <v>7</v>
      </c>
      <c r="G976">
        <v>318.88</v>
      </c>
      <c r="H976">
        <v>2232.16</v>
      </c>
      <c r="I976" t="s">
        <v>12</v>
      </c>
      <c r="J976" t="str">
        <f t="shared" si="15"/>
        <v>Repeat Customer</v>
      </c>
    </row>
    <row r="977" spans="1:10" x14ac:dyDescent="0.25">
      <c r="A977">
        <v>10504</v>
      </c>
      <c r="B977" t="s">
        <v>253</v>
      </c>
      <c r="C977" s="1">
        <v>45962</v>
      </c>
      <c r="D977" t="s">
        <v>21</v>
      </c>
      <c r="E977" t="s">
        <v>11</v>
      </c>
      <c r="F977">
        <v>8</v>
      </c>
      <c r="G977">
        <v>288.14999999999998</v>
      </c>
      <c r="H977">
        <v>2305.1999999999998</v>
      </c>
      <c r="I977" t="s">
        <v>14</v>
      </c>
      <c r="J977" t="str">
        <f t="shared" si="15"/>
        <v>Repeat Customer</v>
      </c>
    </row>
    <row r="978" spans="1:10" x14ac:dyDescent="0.25">
      <c r="A978">
        <v>10890</v>
      </c>
      <c r="B978" t="s">
        <v>253</v>
      </c>
      <c r="C978" s="1">
        <v>45997</v>
      </c>
      <c r="D978" t="s">
        <v>18</v>
      </c>
      <c r="E978" t="s">
        <v>19</v>
      </c>
      <c r="F978">
        <v>8</v>
      </c>
      <c r="G978">
        <v>65</v>
      </c>
      <c r="H978">
        <v>520</v>
      </c>
      <c r="I978" t="s">
        <v>22</v>
      </c>
      <c r="J978" t="str">
        <f t="shared" si="15"/>
        <v>Repeat Customer</v>
      </c>
    </row>
    <row r="979" spans="1:10" x14ac:dyDescent="0.25">
      <c r="A979">
        <v>11006</v>
      </c>
      <c r="B979" t="s">
        <v>253</v>
      </c>
      <c r="C979" s="1">
        <v>45752</v>
      </c>
      <c r="D979" t="s">
        <v>21</v>
      </c>
      <c r="E979" t="s">
        <v>31</v>
      </c>
      <c r="F979">
        <v>6</v>
      </c>
      <c r="G979">
        <v>427.17</v>
      </c>
      <c r="H979">
        <v>2563.02</v>
      </c>
      <c r="I979" t="s">
        <v>12</v>
      </c>
      <c r="J979" t="str">
        <f t="shared" si="15"/>
        <v>Repeat Customer</v>
      </c>
    </row>
    <row r="980" spans="1:10" x14ac:dyDescent="0.25">
      <c r="A980">
        <v>11320</v>
      </c>
      <c r="B980" t="s">
        <v>253</v>
      </c>
      <c r="C980" s="1">
        <v>45579</v>
      </c>
      <c r="D980" t="s">
        <v>21</v>
      </c>
      <c r="E980" t="s">
        <v>11</v>
      </c>
      <c r="F980">
        <v>4</v>
      </c>
      <c r="G980">
        <v>360.99</v>
      </c>
      <c r="H980">
        <v>1443.96</v>
      </c>
      <c r="I980" t="s">
        <v>14</v>
      </c>
      <c r="J980" t="str">
        <f t="shared" si="15"/>
        <v>Repeat Customer</v>
      </c>
    </row>
    <row r="981" spans="1:10" x14ac:dyDescent="0.25">
      <c r="A981">
        <v>11428</v>
      </c>
      <c r="B981" t="s">
        <v>253</v>
      </c>
      <c r="C981" s="1">
        <v>45313</v>
      </c>
      <c r="D981" t="s">
        <v>24</v>
      </c>
      <c r="E981" t="s">
        <v>25</v>
      </c>
      <c r="F981">
        <v>2</v>
      </c>
      <c r="G981">
        <v>414.15</v>
      </c>
      <c r="H981">
        <v>828.3</v>
      </c>
      <c r="I981" t="s">
        <v>14</v>
      </c>
      <c r="J981" t="str">
        <f t="shared" si="15"/>
        <v>Repeat Customer</v>
      </c>
    </row>
    <row r="982" spans="1:10" x14ac:dyDescent="0.25">
      <c r="A982">
        <v>10222</v>
      </c>
      <c r="B982" t="s">
        <v>172</v>
      </c>
      <c r="C982" s="1">
        <v>45375</v>
      </c>
      <c r="D982" t="s">
        <v>16</v>
      </c>
      <c r="E982" t="s">
        <v>11</v>
      </c>
      <c r="F982">
        <v>6</v>
      </c>
      <c r="G982">
        <v>116.15</v>
      </c>
      <c r="H982">
        <v>696.9</v>
      </c>
      <c r="I982" t="s">
        <v>22</v>
      </c>
      <c r="J982" t="str">
        <f t="shared" si="15"/>
        <v>Repeat Customer</v>
      </c>
    </row>
    <row r="983" spans="1:10" x14ac:dyDescent="0.25">
      <c r="A983">
        <v>10556</v>
      </c>
      <c r="B983" t="s">
        <v>172</v>
      </c>
      <c r="C983" s="1">
        <v>45998</v>
      </c>
      <c r="D983" t="s">
        <v>10</v>
      </c>
      <c r="E983" t="s">
        <v>11</v>
      </c>
      <c r="F983">
        <v>8</v>
      </c>
      <c r="G983">
        <v>400.95</v>
      </c>
      <c r="H983">
        <v>3207.6</v>
      </c>
      <c r="I983" t="s">
        <v>14</v>
      </c>
      <c r="J983" t="str">
        <f t="shared" si="15"/>
        <v>Repeat Customer</v>
      </c>
    </row>
    <row r="984" spans="1:10" x14ac:dyDescent="0.25">
      <c r="A984">
        <v>10562</v>
      </c>
      <c r="B984" t="s">
        <v>172</v>
      </c>
      <c r="C984" s="1">
        <v>45444</v>
      </c>
      <c r="D984" t="s">
        <v>18</v>
      </c>
      <c r="E984" t="s">
        <v>11</v>
      </c>
      <c r="F984">
        <v>9</v>
      </c>
      <c r="G984">
        <v>446.57</v>
      </c>
      <c r="H984">
        <v>4019.13</v>
      </c>
      <c r="I984" t="s">
        <v>12</v>
      </c>
      <c r="J984" t="str">
        <f t="shared" si="15"/>
        <v>Repeat Customer</v>
      </c>
    </row>
    <row r="985" spans="1:10" x14ac:dyDescent="0.25">
      <c r="A985">
        <v>11443</v>
      </c>
      <c r="B985" t="s">
        <v>172</v>
      </c>
      <c r="C985" s="1">
        <v>45653</v>
      </c>
      <c r="D985" t="s">
        <v>21</v>
      </c>
      <c r="E985" t="s">
        <v>31</v>
      </c>
      <c r="F985">
        <v>6</v>
      </c>
      <c r="G985">
        <v>249.63</v>
      </c>
      <c r="H985">
        <v>1497.78</v>
      </c>
      <c r="I985" t="s">
        <v>22</v>
      </c>
      <c r="J985" t="str">
        <f t="shared" si="15"/>
        <v>Repeat Customer</v>
      </c>
    </row>
    <row r="986" spans="1:10" x14ac:dyDescent="0.25">
      <c r="A986">
        <v>10466</v>
      </c>
      <c r="B986" t="s">
        <v>244</v>
      </c>
      <c r="C986" s="1">
        <v>45568</v>
      </c>
      <c r="D986" t="s">
        <v>18</v>
      </c>
      <c r="E986" t="s">
        <v>25</v>
      </c>
      <c r="F986">
        <v>3</v>
      </c>
      <c r="G986">
        <v>17.899999999999999</v>
      </c>
      <c r="H986">
        <v>53.7</v>
      </c>
      <c r="I986" t="s">
        <v>12</v>
      </c>
      <c r="J986" t="str">
        <f t="shared" si="15"/>
        <v>Repeat Customer</v>
      </c>
    </row>
    <row r="987" spans="1:10" x14ac:dyDescent="0.25">
      <c r="A987">
        <v>10496</v>
      </c>
      <c r="B987" t="s">
        <v>244</v>
      </c>
      <c r="C987" s="1">
        <v>45827</v>
      </c>
      <c r="D987" t="s">
        <v>21</v>
      </c>
      <c r="E987" t="s">
        <v>25</v>
      </c>
      <c r="F987">
        <v>7</v>
      </c>
      <c r="G987">
        <v>482.99</v>
      </c>
      <c r="H987">
        <v>3380.93</v>
      </c>
      <c r="I987" t="s">
        <v>32</v>
      </c>
      <c r="J987" t="str">
        <f t="shared" si="15"/>
        <v>Repeat Customer</v>
      </c>
    </row>
    <row r="988" spans="1:10" x14ac:dyDescent="0.25">
      <c r="A988">
        <v>10587</v>
      </c>
      <c r="B988" t="s">
        <v>244</v>
      </c>
      <c r="C988" s="1">
        <v>45718</v>
      </c>
      <c r="D988" t="s">
        <v>24</v>
      </c>
      <c r="E988" t="s">
        <v>11</v>
      </c>
      <c r="F988">
        <v>6</v>
      </c>
      <c r="G988">
        <v>483.09</v>
      </c>
      <c r="H988">
        <v>2898.54</v>
      </c>
      <c r="I988" t="s">
        <v>22</v>
      </c>
      <c r="J988" t="str">
        <f t="shared" si="15"/>
        <v>Repeat Customer</v>
      </c>
    </row>
    <row r="989" spans="1:10" x14ac:dyDescent="0.25">
      <c r="A989">
        <v>10605</v>
      </c>
      <c r="B989" t="s">
        <v>244</v>
      </c>
      <c r="C989" s="1">
        <v>45753</v>
      </c>
      <c r="D989" t="s">
        <v>24</v>
      </c>
      <c r="E989" t="s">
        <v>31</v>
      </c>
      <c r="F989">
        <v>7</v>
      </c>
      <c r="G989">
        <v>219.35</v>
      </c>
      <c r="H989">
        <v>1535.45</v>
      </c>
      <c r="I989" t="s">
        <v>12</v>
      </c>
      <c r="J989" t="str">
        <f t="shared" si="15"/>
        <v>Repeat Customer</v>
      </c>
    </row>
    <row r="990" spans="1:10" x14ac:dyDescent="0.25">
      <c r="A990">
        <v>10358</v>
      </c>
      <c r="B990" t="s">
        <v>220</v>
      </c>
      <c r="C990" s="1">
        <v>45616</v>
      </c>
      <c r="D990" t="s">
        <v>24</v>
      </c>
      <c r="E990" t="s">
        <v>19</v>
      </c>
      <c r="F990">
        <v>6</v>
      </c>
      <c r="G990">
        <v>57.74</v>
      </c>
      <c r="H990">
        <v>346.44</v>
      </c>
      <c r="I990" t="s">
        <v>32</v>
      </c>
      <c r="J990" t="str">
        <f t="shared" si="15"/>
        <v>Repeat Customer</v>
      </c>
    </row>
    <row r="991" spans="1:10" x14ac:dyDescent="0.25">
      <c r="A991">
        <v>10716</v>
      </c>
      <c r="B991" t="s">
        <v>220</v>
      </c>
      <c r="C991" s="1">
        <v>45989</v>
      </c>
      <c r="D991" t="s">
        <v>10</v>
      </c>
      <c r="E991" t="s">
        <v>11</v>
      </c>
      <c r="F991">
        <v>5</v>
      </c>
      <c r="G991">
        <v>468.43</v>
      </c>
      <c r="H991">
        <v>2342.15</v>
      </c>
      <c r="I991" t="s">
        <v>12</v>
      </c>
      <c r="J991" t="str">
        <f t="shared" si="15"/>
        <v>Repeat Customer</v>
      </c>
    </row>
    <row r="992" spans="1:10" x14ac:dyDescent="0.25">
      <c r="A992">
        <v>10895</v>
      </c>
      <c r="B992" t="s">
        <v>220</v>
      </c>
      <c r="C992" s="1">
        <v>45356</v>
      </c>
      <c r="D992" t="s">
        <v>21</v>
      </c>
      <c r="E992" t="s">
        <v>31</v>
      </c>
      <c r="F992">
        <v>9</v>
      </c>
      <c r="G992">
        <v>323.49</v>
      </c>
      <c r="H992">
        <v>2911.41</v>
      </c>
      <c r="I992" t="s">
        <v>12</v>
      </c>
      <c r="J992" t="str">
        <f t="shared" si="15"/>
        <v>Repeat Customer</v>
      </c>
    </row>
    <row r="993" spans="1:10" x14ac:dyDescent="0.25">
      <c r="A993">
        <v>10210</v>
      </c>
      <c r="B993" t="s">
        <v>166</v>
      </c>
      <c r="C993" s="1">
        <v>45424</v>
      </c>
      <c r="D993" t="s">
        <v>24</v>
      </c>
      <c r="E993" t="s">
        <v>19</v>
      </c>
      <c r="F993">
        <v>10</v>
      </c>
      <c r="G993">
        <v>355.87</v>
      </c>
      <c r="H993">
        <v>3558.7</v>
      </c>
      <c r="I993" t="s">
        <v>32</v>
      </c>
      <c r="J993" t="str">
        <f t="shared" si="15"/>
        <v>Repeat Customer</v>
      </c>
    </row>
    <row r="994" spans="1:10" x14ac:dyDescent="0.25">
      <c r="A994">
        <v>10387</v>
      </c>
      <c r="B994" t="s">
        <v>166</v>
      </c>
      <c r="C994" s="1">
        <v>45893</v>
      </c>
      <c r="D994" t="s">
        <v>21</v>
      </c>
      <c r="E994" t="s">
        <v>25</v>
      </c>
      <c r="F994">
        <v>2</v>
      </c>
      <c r="G994">
        <v>177.22</v>
      </c>
      <c r="H994">
        <v>354.44</v>
      </c>
      <c r="I994" t="s">
        <v>22</v>
      </c>
      <c r="J994" t="str">
        <f t="shared" si="15"/>
        <v>Repeat Customer</v>
      </c>
    </row>
    <row r="995" spans="1:10" x14ac:dyDescent="0.25">
      <c r="A995">
        <v>10429</v>
      </c>
      <c r="B995" t="s">
        <v>166</v>
      </c>
      <c r="C995" s="1">
        <v>45892</v>
      </c>
      <c r="D995" t="s">
        <v>21</v>
      </c>
      <c r="E995" t="s">
        <v>25</v>
      </c>
      <c r="F995">
        <v>2</v>
      </c>
      <c r="G995">
        <v>158.53</v>
      </c>
      <c r="H995">
        <v>317.06</v>
      </c>
      <c r="I995" t="s">
        <v>12</v>
      </c>
      <c r="J995" t="str">
        <f t="shared" si="15"/>
        <v>Repeat Customer</v>
      </c>
    </row>
    <row r="996" spans="1:10" x14ac:dyDescent="0.25">
      <c r="A996">
        <v>11010</v>
      </c>
      <c r="B996" t="s">
        <v>166</v>
      </c>
      <c r="C996" s="1">
        <v>45561</v>
      </c>
      <c r="D996" t="s">
        <v>21</v>
      </c>
      <c r="E996" t="s">
        <v>19</v>
      </c>
      <c r="F996">
        <v>8</v>
      </c>
      <c r="G996">
        <v>297.57</v>
      </c>
      <c r="H996">
        <v>2380.56</v>
      </c>
      <c r="I996" t="s">
        <v>22</v>
      </c>
      <c r="J996" t="str">
        <f t="shared" si="15"/>
        <v>Repeat Customer</v>
      </c>
    </row>
    <row r="997" spans="1:10" x14ac:dyDescent="0.25">
      <c r="A997">
        <v>11332</v>
      </c>
      <c r="B997" t="s">
        <v>166</v>
      </c>
      <c r="C997" s="1">
        <v>45598</v>
      </c>
      <c r="D997" t="s">
        <v>18</v>
      </c>
      <c r="E997" t="s">
        <v>31</v>
      </c>
      <c r="F997">
        <v>3</v>
      </c>
      <c r="G997">
        <v>495.58</v>
      </c>
      <c r="H997">
        <v>1486.74</v>
      </c>
      <c r="I997" t="s">
        <v>22</v>
      </c>
      <c r="J997" t="str">
        <f t="shared" si="15"/>
        <v>Repeat Customer</v>
      </c>
    </row>
    <row r="998" spans="1:10" x14ac:dyDescent="0.25">
      <c r="A998">
        <v>11124</v>
      </c>
      <c r="B998" t="s">
        <v>316</v>
      </c>
      <c r="C998" s="1">
        <v>45329</v>
      </c>
      <c r="D998" t="s">
        <v>24</v>
      </c>
      <c r="E998" t="s">
        <v>19</v>
      </c>
      <c r="F998">
        <v>3</v>
      </c>
      <c r="G998">
        <v>451.74</v>
      </c>
      <c r="H998">
        <v>1355.22</v>
      </c>
      <c r="I998" t="s">
        <v>32</v>
      </c>
      <c r="J998" t="str">
        <f t="shared" si="15"/>
        <v>New Customer</v>
      </c>
    </row>
    <row r="999" spans="1:10" x14ac:dyDescent="0.25">
      <c r="A999">
        <v>10155</v>
      </c>
      <c r="B999" t="s">
        <v>138</v>
      </c>
      <c r="C999" s="1">
        <v>45306</v>
      </c>
      <c r="D999" t="s">
        <v>21</v>
      </c>
      <c r="E999" t="s">
        <v>19</v>
      </c>
      <c r="F999">
        <v>5</v>
      </c>
      <c r="G999">
        <v>270.60000000000002</v>
      </c>
      <c r="H999">
        <v>1353</v>
      </c>
      <c r="I999" t="s">
        <v>22</v>
      </c>
      <c r="J999" t="str">
        <f t="shared" si="15"/>
        <v>Repeat Customer</v>
      </c>
    </row>
    <row r="1000" spans="1:10" x14ac:dyDescent="0.25">
      <c r="A1000">
        <v>10197</v>
      </c>
      <c r="B1000" t="s">
        <v>138</v>
      </c>
      <c r="C1000" s="1">
        <v>45609</v>
      </c>
      <c r="D1000" t="s">
        <v>10</v>
      </c>
      <c r="E1000" t="s">
        <v>11</v>
      </c>
      <c r="F1000">
        <v>6</v>
      </c>
      <c r="G1000">
        <v>114.68</v>
      </c>
      <c r="H1000">
        <v>688.08</v>
      </c>
      <c r="I1000" t="s">
        <v>12</v>
      </c>
      <c r="J1000" t="str">
        <f t="shared" si="15"/>
        <v>Repeat Customer</v>
      </c>
    </row>
    <row r="1001" spans="1:10" x14ac:dyDescent="0.25">
      <c r="A1001">
        <v>10461</v>
      </c>
      <c r="B1001" t="s">
        <v>138</v>
      </c>
      <c r="C1001" s="1">
        <v>45800</v>
      </c>
      <c r="D1001" t="s">
        <v>21</v>
      </c>
      <c r="E1001" t="s">
        <v>25</v>
      </c>
      <c r="F1001">
        <v>1</v>
      </c>
      <c r="G1001">
        <v>194.45</v>
      </c>
      <c r="H1001">
        <v>194.45</v>
      </c>
      <c r="I1001" t="s">
        <v>22</v>
      </c>
      <c r="J1001" t="str">
        <f t="shared" si="15"/>
        <v>Repeat Customer</v>
      </c>
    </row>
    <row r="1002" spans="1:10" x14ac:dyDescent="0.25">
      <c r="A1002">
        <v>10719</v>
      </c>
      <c r="B1002" t="s">
        <v>138</v>
      </c>
      <c r="C1002" s="1">
        <v>45540</v>
      </c>
      <c r="D1002" t="s">
        <v>18</v>
      </c>
      <c r="E1002" t="s">
        <v>31</v>
      </c>
      <c r="F1002">
        <v>1</v>
      </c>
      <c r="G1002">
        <v>484.57</v>
      </c>
      <c r="H1002">
        <v>484.57</v>
      </c>
      <c r="I1002" t="s">
        <v>14</v>
      </c>
      <c r="J1002" t="str">
        <f t="shared" si="15"/>
        <v>Repeat Customer</v>
      </c>
    </row>
    <row r="1003" spans="1:10" x14ac:dyDescent="0.25">
      <c r="A1003">
        <v>11327</v>
      </c>
      <c r="B1003" t="s">
        <v>138</v>
      </c>
      <c r="C1003" s="1">
        <v>45301</v>
      </c>
      <c r="D1003" t="s">
        <v>16</v>
      </c>
      <c r="E1003" t="s">
        <v>25</v>
      </c>
      <c r="F1003">
        <v>9</v>
      </c>
      <c r="G1003">
        <v>426.92</v>
      </c>
      <c r="H1003">
        <v>3842.28</v>
      </c>
      <c r="I1003" t="s">
        <v>22</v>
      </c>
      <c r="J1003" t="str">
        <f t="shared" si="15"/>
        <v>Repeat Customer</v>
      </c>
    </row>
    <row r="1004" spans="1:10" x14ac:dyDescent="0.25">
      <c r="A1004">
        <v>11385</v>
      </c>
      <c r="B1004" t="s">
        <v>138</v>
      </c>
      <c r="C1004" s="1">
        <v>45675</v>
      </c>
      <c r="D1004" t="s">
        <v>10</v>
      </c>
      <c r="E1004" t="s">
        <v>19</v>
      </c>
      <c r="F1004">
        <v>5</v>
      </c>
      <c r="G1004">
        <v>185.43</v>
      </c>
      <c r="H1004">
        <v>927.15</v>
      </c>
      <c r="I1004" t="s">
        <v>12</v>
      </c>
      <c r="J1004" t="str">
        <f t="shared" si="15"/>
        <v>Repeat Customer</v>
      </c>
    </row>
    <row r="1005" spans="1:10" x14ac:dyDescent="0.25">
      <c r="A1005">
        <v>11388</v>
      </c>
      <c r="B1005" t="s">
        <v>138</v>
      </c>
      <c r="C1005" s="1">
        <v>45723</v>
      </c>
      <c r="D1005" t="s">
        <v>10</v>
      </c>
      <c r="E1005" t="s">
        <v>25</v>
      </c>
      <c r="F1005">
        <v>6</v>
      </c>
      <c r="G1005">
        <v>450.99</v>
      </c>
      <c r="H1005">
        <v>2705.94</v>
      </c>
      <c r="I1005" t="s">
        <v>32</v>
      </c>
      <c r="J1005" t="str">
        <f t="shared" si="15"/>
        <v>Repeat Customer</v>
      </c>
    </row>
    <row r="1006" spans="1:10" x14ac:dyDescent="0.25">
      <c r="A1006">
        <v>10253</v>
      </c>
      <c r="B1006" t="s">
        <v>182</v>
      </c>
      <c r="C1006" s="1">
        <v>45782</v>
      </c>
      <c r="D1006" t="s">
        <v>21</v>
      </c>
      <c r="E1006" t="s">
        <v>11</v>
      </c>
      <c r="F1006">
        <v>9</v>
      </c>
      <c r="G1006">
        <v>208.34</v>
      </c>
      <c r="H1006">
        <v>1875.06</v>
      </c>
      <c r="I1006" t="s">
        <v>14</v>
      </c>
      <c r="J1006" t="str">
        <f t="shared" si="15"/>
        <v>New Customer</v>
      </c>
    </row>
    <row r="1007" spans="1:10" x14ac:dyDescent="0.25">
      <c r="A1007">
        <v>11390</v>
      </c>
      <c r="B1007" t="s">
        <v>320</v>
      </c>
      <c r="C1007" s="1">
        <v>45805</v>
      </c>
      <c r="D1007" t="s">
        <v>24</v>
      </c>
      <c r="E1007" t="s">
        <v>11</v>
      </c>
      <c r="F1007">
        <v>7</v>
      </c>
      <c r="G1007">
        <v>70.05</v>
      </c>
      <c r="H1007">
        <v>490.35</v>
      </c>
      <c r="I1007" t="s">
        <v>14</v>
      </c>
      <c r="J1007" t="str">
        <f t="shared" si="15"/>
        <v>New Customer</v>
      </c>
    </row>
    <row r="1008" spans="1:10" x14ac:dyDescent="0.25">
      <c r="A1008">
        <v>10107</v>
      </c>
      <c r="B1008" t="s">
        <v>106</v>
      </c>
      <c r="C1008" s="1">
        <v>45795</v>
      </c>
      <c r="D1008" t="s">
        <v>24</v>
      </c>
      <c r="E1008" t="s">
        <v>25</v>
      </c>
      <c r="F1008">
        <v>2</v>
      </c>
      <c r="G1008">
        <v>290.63</v>
      </c>
      <c r="H1008">
        <v>581.26</v>
      </c>
      <c r="I1008" t="s">
        <v>14</v>
      </c>
      <c r="J1008" t="str">
        <f t="shared" si="15"/>
        <v>Repeat Customer</v>
      </c>
    </row>
    <row r="1009" spans="1:10" x14ac:dyDescent="0.25">
      <c r="A1009">
        <v>10172</v>
      </c>
      <c r="B1009" t="s">
        <v>106</v>
      </c>
      <c r="C1009" s="1">
        <v>45728</v>
      </c>
      <c r="D1009" t="s">
        <v>21</v>
      </c>
      <c r="E1009" t="s">
        <v>11</v>
      </c>
      <c r="F1009">
        <v>2</v>
      </c>
      <c r="G1009">
        <v>247.68</v>
      </c>
      <c r="H1009">
        <v>495.36</v>
      </c>
      <c r="I1009" t="s">
        <v>12</v>
      </c>
      <c r="J1009" t="str">
        <f t="shared" si="15"/>
        <v>Repeat Customer</v>
      </c>
    </row>
    <row r="1010" spans="1:10" x14ac:dyDescent="0.25">
      <c r="A1010">
        <v>10681</v>
      </c>
      <c r="B1010" t="s">
        <v>106</v>
      </c>
      <c r="C1010" s="1">
        <v>45578</v>
      </c>
      <c r="D1010" t="s">
        <v>10</v>
      </c>
      <c r="E1010" t="s">
        <v>25</v>
      </c>
      <c r="F1010">
        <v>8</v>
      </c>
      <c r="G1010">
        <v>94.05</v>
      </c>
      <c r="H1010">
        <v>752.4</v>
      </c>
      <c r="I1010" t="s">
        <v>12</v>
      </c>
      <c r="J1010" t="str">
        <f t="shared" si="15"/>
        <v>Repeat Customer</v>
      </c>
    </row>
    <row r="1011" spans="1:10" x14ac:dyDescent="0.25">
      <c r="A1011">
        <v>10902</v>
      </c>
      <c r="B1011" t="s">
        <v>106</v>
      </c>
      <c r="C1011" s="1">
        <v>45624</v>
      </c>
      <c r="D1011" t="s">
        <v>18</v>
      </c>
      <c r="E1011" t="s">
        <v>25</v>
      </c>
      <c r="F1011">
        <v>2</v>
      </c>
      <c r="G1011">
        <v>488.05</v>
      </c>
      <c r="H1011">
        <v>976.1</v>
      </c>
      <c r="I1011" t="s">
        <v>22</v>
      </c>
      <c r="J1011" t="str">
        <f t="shared" si="15"/>
        <v>Repeat Customer</v>
      </c>
    </row>
    <row r="1012" spans="1:10" x14ac:dyDescent="0.25">
      <c r="A1012">
        <v>10957</v>
      </c>
      <c r="B1012" t="s">
        <v>106</v>
      </c>
      <c r="C1012" s="1">
        <v>45924</v>
      </c>
      <c r="D1012" t="s">
        <v>24</v>
      </c>
      <c r="E1012" t="s">
        <v>19</v>
      </c>
      <c r="F1012">
        <v>4</v>
      </c>
      <c r="G1012">
        <v>225.76</v>
      </c>
      <c r="H1012">
        <v>903.04</v>
      </c>
      <c r="I1012" t="s">
        <v>12</v>
      </c>
      <c r="J1012" t="str">
        <f t="shared" si="15"/>
        <v>Repeat Customer</v>
      </c>
    </row>
    <row r="1013" spans="1:10" x14ac:dyDescent="0.25">
      <c r="A1013">
        <v>11125</v>
      </c>
      <c r="B1013" t="s">
        <v>106</v>
      </c>
      <c r="C1013" s="1">
        <v>45989</v>
      </c>
      <c r="D1013" t="s">
        <v>16</v>
      </c>
      <c r="E1013" t="s">
        <v>19</v>
      </c>
      <c r="F1013">
        <v>9</v>
      </c>
      <c r="G1013">
        <v>437.41</v>
      </c>
      <c r="H1013">
        <v>3936.69</v>
      </c>
      <c r="I1013" t="s">
        <v>12</v>
      </c>
      <c r="J1013" t="str">
        <f t="shared" si="15"/>
        <v>Repeat Customer</v>
      </c>
    </row>
    <row r="1014" spans="1:10" x14ac:dyDescent="0.25">
      <c r="A1014">
        <v>11269</v>
      </c>
      <c r="B1014" t="s">
        <v>106</v>
      </c>
      <c r="C1014" s="1">
        <v>45961</v>
      </c>
      <c r="D1014" t="s">
        <v>10</v>
      </c>
      <c r="E1014" t="s">
        <v>31</v>
      </c>
      <c r="F1014">
        <v>6</v>
      </c>
      <c r="G1014">
        <v>10.93</v>
      </c>
      <c r="H1014">
        <v>65.58</v>
      </c>
      <c r="I1014" t="s">
        <v>14</v>
      </c>
      <c r="J1014" t="str">
        <f t="shared" si="15"/>
        <v>Repeat Customer</v>
      </c>
    </row>
    <row r="1015" spans="1:10" x14ac:dyDescent="0.25">
      <c r="A1015">
        <v>11413</v>
      </c>
      <c r="B1015" t="s">
        <v>106</v>
      </c>
      <c r="C1015" s="1">
        <v>45913</v>
      </c>
      <c r="D1015" t="s">
        <v>24</v>
      </c>
      <c r="E1015" t="s">
        <v>25</v>
      </c>
      <c r="F1015">
        <v>5</v>
      </c>
      <c r="G1015">
        <v>107.43</v>
      </c>
      <c r="H1015">
        <v>537.15</v>
      </c>
      <c r="I1015" t="s">
        <v>14</v>
      </c>
      <c r="J1015" t="str">
        <f t="shared" si="15"/>
        <v>Repeat Customer</v>
      </c>
    </row>
    <row r="1016" spans="1:10" x14ac:dyDescent="0.25">
      <c r="A1016">
        <v>10523</v>
      </c>
      <c r="B1016" t="s">
        <v>259</v>
      </c>
      <c r="C1016" s="1">
        <v>45968</v>
      </c>
      <c r="D1016" t="s">
        <v>24</v>
      </c>
      <c r="E1016" t="s">
        <v>31</v>
      </c>
      <c r="F1016">
        <v>6</v>
      </c>
      <c r="G1016">
        <v>341.97</v>
      </c>
      <c r="H1016">
        <v>2051.8200000000002</v>
      </c>
      <c r="I1016" t="s">
        <v>22</v>
      </c>
      <c r="J1016" t="str">
        <f t="shared" si="15"/>
        <v>Repeat Customer</v>
      </c>
    </row>
    <row r="1017" spans="1:10" x14ac:dyDescent="0.25">
      <c r="A1017">
        <v>10565</v>
      </c>
      <c r="B1017" t="s">
        <v>259</v>
      </c>
      <c r="C1017" s="1">
        <v>45532</v>
      </c>
      <c r="D1017" t="s">
        <v>18</v>
      </c>
      <c r="E1017" t="s">
        <v>31</v>
      </c>
      <c r="F1017">
        <v>2</v>
      </c>
      <c r="G1017">
        <v>232.25</v>
      </c>
      <c r="H1017">
        <v>464.5</v>
      </c>
      <c r="I1017" t="s">
        <v>12</v>
      </c>
      <c r="J1017" t="str">
        <f t="shared" si="15"/>
        <v>Repeat Customer</v>
      </c>
    </row>
    <row r="1018" spans="1:10" x14ac:dyDescent="0.25">
      <c r="A1018">
        <v>10567</v>
      </c>
      <c r="B1018" t="s">
        <v>259</v>
      </c>
      <c r="C1018" s="1">
        <v>45714</v>
      </c>
      <c r="D1018" t="s">
        <v>24</v>
      </c>
      <c r="E1018" t="s">
        <v>11</v>
      </c>
      <c r="F1018">
        <v>1</v>
      </c>
      <c r="G1018">
        <v>280.77999999999997</v>
      </c>
      <c r="H1018">
        <v>280.77999999999997</v>
      </c>
      <c r="I1018" t="s">
        <v>22</v>
      </c>
      <c r="J1018" t="str">
        <f t="shared" si="15"/>
        <v>Repeat Customer</v>
      </c>
    </row>
    <row r="1019" spans="1:10" x14ac:dyDescent="0.25">
      <c r="A1019">
        <v>11080</v>
      </c>
      <c r="B1019" t="s">
        <v>259</v>
      </c>
      <c r="C1019" s="1">
        <v>45583</v>
      </c>
      <c r="D1019" t="s">
        <v>21</v>
      </c>
      <c r="E1019" t="s">
        <v>31</v>
      </c>
      <c r="F1019">
        <v>3</v>
      </c>
      <c r="G1019">
        <v>64.7</v>
      </c>
      <c r="H1019">
        <v>194.1</v>
      </c>
      <c r="I1019" t="s">
        <v>22</v>
      </c>
      <c r="J1019" t="str">
        <f t="shared" si="15"/>
        <v>Repeat Customer</v>
      </c>
    </row>
    <row r="1020" spans="1:10" x14ac:dyDescent="0.25">
      <c r="A1020">
        <v>10064</v>
      </c>
      <c r="B1020" t="s">
        <v>73</v>
      </c>
      <c r="C1020" s="1">
        <v>45853</v>
      </c>
      <c r="D1020" t="s">
        <v>10</v>
      </c>
      <c r="E1020" t="s">
        <v>31</v>
      </c>
      <c r="F1020">
        <v>1</v>
      </c>
      <c r="G1020">
        <v>155.41999999999999</v>
      </c>
      <c r="H1020">
        <v>155.41999999999999</v>
      </c>
      <c r="I1020" t="s">
        <v>22</v>
      </c>
      <c r="J1020" t="str">
        <f t="shared" si="15"/>
        <v>Repeat Customer</v>
      </c>
    </row>
    <row r="1021" spans="1:10" x14ac:dyDescent="0.25">
      <c r="A1021">
        <v>10080</v>
      </c>
      <c r="B1021" t="s">
        <v>73</v>
      </c>
      <c r="C1021" s="1">
        <v>45461</v>
      </c>
      <c r="D1021" t="s">
        <v>18</v>
      </c>
      <c r="E1021" t="s">
        <v>11</v>
      </c>
      <c r="F1021">
        <v>8</v>
      </c>
      <c r="G1021">
        <v>460.17</v>
      </c>
      <c r="H1021">
        <v>3681.36</v>
      </c>
      <c r="I1021" t="s">
        <v>32</v>
      </c>
      <c r="J1021" t="str">
        <f t="shared" si="15"/>
        <v>Repeat Customer</v>
      </c>
    </row>
    <row r="1022" spans="1:10" x14ac:dyDescent="0.25">
      <c r="A1022">
        <v>10195</v>
      </c>
      <c r="B1022" t="s">
        <v>73</v>
      </c>
      <c r="C1022" s="1">
        <v>45313</v>
      </c>
      <c r="D1022" t="s">
        <v>18</v>
      </c>
      <c r="E1022" t="s">
        <v>31</v>
      </c>
      <c r="F1022">
        <v>6</v>
      </c>
      <c r="G1022">
        <v>90.08</v>
      </c>
      <c r="H1022">
        <v>540.48</v>
      </c>
      <c r="I1022" t="s">
        <v>22</v>
      </c>
      <c r="J1022" t="str">
        <f t="shared" si="15"/>
        <v>Repeat Customer</v>
      </c>
    </row>
    <row r="1023" spans="1:10" x14ac:dyDescent="0.25">
      <c r="A1023">
        <v>10242</v>
      </c>
      <c r="B1023" t="s">
        <v>73</v>
      </c>
      <c r="C1023" s="1">
        <v>45664</v>
      </c>
      <c r="D1023" t="s">
        <v>10</v>
      </c>
      <c r="E1023" t="s">
        <v>11</v>
      </c>
      <c r="F1023">
        <v>9</v>
      </c>
      <c r="G1023">
        <v>401.54</v>
      </c>
      <c r="H1023">
        <v>3613.86</v>
      </c>
      <c r="I1023" t="s">
        <v>14</v>
      </c>
      <c r="J1023" t="str">
        <f t="shared" si="15"/>
        <v>Repeat Customer</v>
      </c>
    </row>
    <row r="1024" spans="1:10" x14ac:dyDescent="0.25">
      <c r="A1024">
        <v>11232</v>
      </c>
      <c r="B1024" t="s">
        <v>73</v>
      </c>
      <c r="C1024" s="1">
        <v>45885</v>
      </c>
      <c r="D1024" t="s">
        <v>18</v>
      </c>
      <c r="E1024" t="s">
        <v>25</v>
      </c>
      <c r="F1024">
        <v>1</v>
      </c>
      <c r="G1024">
        <v>238.64</v>
      </c>
      <c r="H1024">
        <v>238.64</v>
      </c>
      <c r="I1024" t="s">
        <v>32</v>
      </c>
      <c r="J1024" t="str">
        <f t="shared" si="15"/>
        <v>Repeat Customer</v>
      </c>
    </row>
    <row r="1025" spans="1:10" x14ac:dyDescent="0.25">
      <c r="A1025">
        <v>11291</v>
      </c>
      <c r="B1025" t="s">
        <v>73</v>
      </c>
      <c r="C1025" s="1">
        <v>45717</v>
      </c>
      <c r="D1025" t="s">
        <v>16</v>
      </c>
      <c r="E1025" t="s">
        <v>31</v>
      </c>
      <c r="F1025">
        <v>7</v>
      </c>
      <c r="G1025">
        <v>485.39</v>
      </c>
      <c r="H1025">
        <v>3397.73</v>
      </c>
      <c r="I1025" t="s">
        <v>32</v>
      </c>
      <c r="J1025" t="str">
        <f t="shared" si="15"/>
        <v>Repeat Customer</v>
      </c>
    </row>
    <row r="1026" spans="1:10" x14ac:dyDescent="0.25">
      <c r="A1026">
        <v>10033</v>
      </c>
      <c r="B1026" t="s">
        <v>51</v>
      </c>
      <c r="C1026" s="1">
        <v>45789</v>
      </c>
      <c r="D1026" t="s">
        <v>21</v>
      </c>
      <c r="E1026" t="s">
        <v>11</v>
      </c>
      <c r="F1026">
        <v>8</v>
      </c>
      <c r="G1026">
        <v>110.8</v>
      </c>
      <c r="H1026">
        <v>886.4</v>
      </c>
      <c r="I1026" t="s">
        <v>14</v>
      </c>
      <c r="J1026" t="str">
        <f t="shared" ref="J1026:J1089" si="16">IF(COUNTIF($B:$B,B1026)&gt;1,"Repeat Customer","New Customer")</f>
        <v>Repeat Customer</v>
      </c>
    </row>
    <row r="1027" spans="1:10" x14ac:dyDescent="0.25">
      <c r="A1027">
        <v>11043</v>
      </c>
      <c r="B1027" t="s">
        <v>51</v>
      </c>
      <c r="C1027" s="1">
        <v>45326</v>
      </c>
      <c r="D1027" t="s">
        <v>21</v>
      </c>
      <c r="E1027" t="s">
        <v>31</v>
      </c>
      <c r="F1027">
        <v>5</v>
      </c>
      <c r="G1027">
        <v>433.89</v>
      </c>
      <c r="H1027">
        <v>2169.4499999999998</v>
      </c>
      <c r="I1027" t="s">
        <v>32</v>
      </c>
      <c r="J1027" t="str">
        <f t="shared" si="16"/>
        <v>Repeat Customer</v>
      </c>
    </row>
    <row r="1028" spans="1:10" x14ac:dyDescent="0.25">
      <c r="A1028">
        <v>11398</v>
      </c>
      <c r="B1028" t="s">
        <v>51</v>
      </c>
      <c r="C1028" s="1">
        <v>45829</v>
      </c>
      <c r="D1028" t="s">
        <v>10</v>
      </c>
      <c r="E1028" t="s">
        <v>25</v>
      </c>
      <c r="F1028">
        <v>5</v>
      </c>
      <c r="G1028">
        <v>351.58</v>
      </c>
      <c r="H1028">
        <v>1757.9</v>
      </c>
      <c r="I1028" t="s">
        <v>22</v>
      </c>
      <c r="J1028" t="str">
        <f t="shared" si="16"/>
        <v>Repeat Customer</v>
      </c>
    </row>
    <row r="1029" spans="1:10" x14ac:dyDescent="0.25">
      <c r="A1029">
        <v>10158</v>
      </c>
      <c r="B1029" t="s">
        <v>141</v>
      </c>
      <c r="C1029" s="1">
        <v>45411</v>
      </c>
      <c r="D1029" t="s">
        <v>24</v>
      </c>
      <c r="E1029" t="s">
        <v>19</v>
      </c>
      <c r="F1029">
        <v>3</v>
      </c>
      <c r="G1029">
        <v>27.45</v>
      </c>
      <c r="H1029">
        <v>82.35</v>
      </c>
      <c r="I1029" t="s">
        <v>32</v>
      </c>
      <c r="J1029" t="str">
        <f t="shared" si="16"/>
        <v>Repeat Customer</v>
      </c>
    </row>
    <row r="1030" spans="1:10" x14ac:dyDescent="0.25">
      <c r="A1030">
        <v>10326</v>
      </c>
      <c r="B1030" t="s">
        <v>141</v>
      </c>
      <c r="C1030" s="1">
        <v>45444</v>
      </c>
      <c r="D1030" t="s">
        <v>18</v>
      </c>
      <c r="E1030" t="s">
        <v>31</v>
      </c>
      <c r="F1030">
        <v>5</v>
      </c>
      <c r="G1030">
        <v>191.35</v>
      </c>
      <c r="H1030">
        <v>956.75</v>
      </c>
      <c r="I1030" t="s">
        <v>14</v>
      </c>
      <c r="J1030" t="str">
        <f t="shared" si="16"/>
        <v>Repeat Customer</v>
      </c>
    </row>
    <row r="1031" spans="1:10" x14ac:dyDescent="0.25">
      <c r="A1031">
        <v>10549</v>
      </c>
      <c r="B1031" t="s">
        <v>141</v>
      </c>
      <c r="C1031" s="1">
        <v>45594</v>
      </c>
      <c r="D1031" t="s">
        <v>21</v>
      </c>
      <c r="E1031" t="s">
        <v>25</v>
      </c>
      <c r="F1031">
        <v>3</v>
      </c>
      <c r="G1031">
        <v>24.51</v>
      </c>
      <c r="H1031">
        <v>73.53</v>
      </c>
      <c r="I1031" t="s">
        <v>32</v>
      </c>
      <c r="J1031" t="str">
        <f t="shared" si="16"/>
        <v>Repeat Customer</v>
      </c>
    </row>
    <row r="1032" spans="1:10" x14ac:dyDescent="0.25">
      <c r="A1032">
        <v>10730</v>
      </c>
      <c r="B1032" t="s">
        <v>141</v>
      </c>
      <c r="C1032" s="1">
        <v>45948</v>
      </c>
      <c r="D1032" t="s">
        <v>18</v>
      </c>
      <c r="E1032" t="s">
        <v>11</v>
      </c>
      <c r="F1032">
        <v>6</v>
      </c>
      <c r="G1032">
        <v>59.68</v>
      </c>
      <c r="H1032">
        <v>358.08</v>
      </c>
      <c r="I1032" t="s">
        <v>12</v>
      </c>
      <c r="J1032" t="str">
        <f t="shared" si="16"/>
        <v>Repeat Customer</v>
      </c>
    </row>
    <row r="1033" spans="1:10" x14ac:dyDescent="0.25">
      <c r="A1033">
        <v>11142</v>
      </c>
      <c r="B1033" t="s">
        <v>141</v>
      </c>
      <c r="C1033" s="1">
        <v>45404</v>
      </c>
      <c r="D1033" t="s">
        <v>16</v>
      </c>
      <c r="E1033" t="s">
        <v>11</v>
      </c>
      <c r="F1033">
        <v>2</v>
      </c>
      <c r="G1033">
        <v>187.95</v>
      </c>
      <c r="H1033">
        <v>375.9</v>
      </c>
      <c r="I1033" t="s">
        <v>14</v>
      </c>
      <c r="J1033" t="str">
        <f t="shared" si="16"/>
        <v>Repeat Customer</v>
      </c>
    </row>
    <row r="1034" spans="1:10" x14ac:dyDescent="0.25">
      <c r="A1034">
        <v>11226</v>
      </c>
      <c r="B1034" t="s">
        <v>141</v>
      </c>
      <c r="C1034" s="1">
        <v>45668</v>
      </c>
      <c r="D1034" t="s">
        <v>21</v>
      </c>
      <c r="E1034" t="s">
        <v>11</v>
      </c>
      <c r="F1034">
        <v>8</v>
      </c>
      <c r="G1034">
        <v>161.93</v>
      </c>
      <c r="H1034">
        <v>1295.44</v>
      </c>
      <c r="I1034" t="s">
        <v>14</v>
      </c>
      <c r="J1034" t="str">
        <f t="shared" si="16"/>
        <v>Repeat Customer</v>
      </c>
    </row>
    <row r="1035" spans="1:10" x14ac:dyDescent="0.25">
      <c r="A1035">
        <v>10029</v>
      </c>
      <c r="B1035" t="s">
        <v>48</v>
      </c>
      <c r="C1035" s="1">
        <v>45770</v>
      </c>
      <c r="D1035" t="s">
        <v>24</v>
      </c>
      <c r="E1035" t="s">
        <v>11</v>
      </c>
      <c r="F1035">
        <v>1</v>
      </c>
      <c r="G1035">
        <v>338.32</v>
      </c>
      <c r="H1035">
        <v>338.32</v>
      </c>
      <c r="I1035" t="s">
        <v>32</v>
      </c>
      <c r="J1035" t="str">
        <f t="shared" si="16"/>
        <v>Repeat Customer</v>
      </c>
    </row>
    <row r="1036" spans="1:10" x14ac:dyDescent="0.25">
      <c r="A1036">
        <v>10054</v>
      </c>
      <c r="B1036" t="s">
        <v>48</v>
      </c>
      <c r="C1036" s="1">
        <v>45977</v>
      </c>
      <c r="D1036" t="s">
        <v>24</v>
      </c>
      <c r="E1036" t="s">
        <v>31</v>
      </c>
      <c r="F1036">
        <v>4</v>
      </c>
      <c r="G1036">
        <v>137.07</v>
      </c>
      <c r="H1036">
        <v>548.28</v>
      </c>
      <c r="I1036" t="s">
        <v>12</v>
      </c>
      <c r="J1036" t="str">
        <f t="shared" si="16"/>
        <v>Repeat Customer</v>
      </c>
    </row>
    <row r="1037" spans="1:10" x14ac:dyDescent="0.25">
      <c r="A1037">
        <v>10402</v>
      </c>
      <c r="B1037" t="s">
        <v>48</v>
      </c>
      <c r="C1037" s="1">
        <v>45352</v>
      </c>
      <c r="D1037" t="s">
        <v>10</v>
      </c>
      <c r="E1037" t="s">
        <v>25</v>
      </c>
      <c r="F1037">
        <v>5</v>
      </c>
      <c r="G1037">
        <v>434.19</v>
      </c>
      <c r="H1037">
        <v>2170.9499999999998</v>
      </c>
      <c r="I1037" t="s">
        <v>14</v>
      </c>
      <c r="J1037" t="str">
        <f t="shared" si="16"/>
        <v>Repeat Customer</v>
      </c>
    </row>
    <row r="1038" spans="1:10" x14ac:dyDescent="0.25">
      <c r="A1038">
        <v>10636</v>
      </c>
      <c r="B1038" t="s">
        <v>48</v>
      </c>
      <c r="C1038" s="1">
        <v>45314</v>
      </c>
      <c r="D1038" t="s">
        <v>18</v>
      </c>
      <c r="E1038" t="s">
        <v>25</v>
      </c>
      <c r="F1038">
        <v>4</v>
      </c>
      <c r="G1038">
        <v>26.36</v>
      </c>
      <c r="H1038">
        <v>105.44</v>
      </c>
      <c r="I1038" t="s">
        <v>14</v>
      </c>
      <c r="J1038" t="str">
        <f t="shared" si="16"/>
        <v>Repeat Customer</v>
      </c>
    </row>
    <row r="1039" spans="1:10" x14ac:dyDescent="0.25">
      <c r="A1039">
        <v>10640</v>
      </c>
      <c r="B1039" t="s">
        <v>48</v>
      </c>
      <c r="C1039" s="1">
        <v>45907</v>
      </c>
      <c r="D1039" t="s">
        <v>10</v>
      </c>
      <c r="E1039" t="s">
        <v>19</v>
      </c>
      <c r="F1039">
        <v>3</v>
      </c>
      <c r="G1039">
        <v>398.33</v>
      </c>
      <c r="H1039">
        <v>1194.99</v>
      </c>
      <c r="I1039" t="s">
        <v>14</v>
      </c>
      <c r="J1039" t="str">
        <f t="shared" si="16"/>
        <v>Repeat Customer</v>
      </c>
    </row>
    <row r="1040" spans="1:10" x14ac:dyDescent="0.25">
      <c r="A1040">
        <v>10705</v>
      </c>
      <c r="B1040" t="s">
        <v>48</v>
      </c>
      <c r="C1040" s="1">
        <v>45866</v>
      </c>
      <c r="D1040" t="s">
        <v>10</v>
      </c>
      <c r="E1040" t="s">
        <v>31</v>
      </c>
      <c r="F1040">
        <v>7</v>
      </c>
      <c r="G1040">
        <v>200.4</v>
      </c>
      <c r="H1040">
        <v>1402.8</v>
      </c>
      <c r="I1040" t="s">
        <v>32</v>
      </c>
      <c r="J1040" t="str">
        <f t="shared" si="16"/>
        <v>Repeat Customer</v>
      </c>
    </row>
    <row r="1041" spans="1:10" x14ac:dyDescent="0.25">
      <c r="A1041">
        <v>10857</v>
      </c>
      <c r="B1041" t="s">
        <v>48</v>
      </c>
      <c r="C1041" s="1">
        <v>45851</v>
      </c>
      <c r="D1041" t="s">
        <v>24</v>
      </c>
      <c r="E1041" t="s">
        <v>31</v>
      </c>
      <c r="F1041">
        <v>10</v>
      </c>
      <c r="G1041">
        <v>186.65</v>
      </c>
      <c r="H1041">
        <v>1866.5</v>
      </c>
      <c r="I1041" t="s">
        <v>22</v>
      </c>
      <c r="J1041" t="str">
        <f t="shared" si="16"/>
        <v>Repeat Customer</v>
      </c>
    </row>
    <row r="1042" spans="1:10" x14ac:dyDescent="0.25">
      <c r="A1042">
        <v>10877</v>
      </c>
      <c r="B1042" t="s">
        <v>48</v>
      </c>
      <c r="C1042" s="1">
        <v>45392</v>
      </c>
      <c r="D1042" t="s">
        <v>21</v>
      </c>
      <c r="E1042" t="s">
        <v>19</v>
      </c>
      <c r="F1042">
        <v>9</v>
      </c>
      <c r="G1042">
        <v>56.43</v>
      </c>
      <c r="H1042">
        <v>507.87</v>
      </c>
      <c r="I1042" t="s">
        <v>14</v>
      </c>
      <c r="J1042" t="str">
        <f t="shared" si="16"/>
        <v>Repeat Customer</v>
      </c>
    </row>
    <row r="1043" spans="1:10" x14ac:dyDescent="0.25">
      <c r="A1043">
        <v>10924</v>
      </c>
      <c r="B1043" t="s">
        <v>48</v>
      </c>
      <c r="C1043" s="1">
        <v>45826</v>
      </c>
      <c r="D1043" t="s">
        <v>10</v>
      </c>
      <c r="E1043" t="s">
        <v>31</v>
      </c>
      <c r="F1043">
        <v>8</v>
      </c>
      <c r="G1043">
        <v>431.79</v>
      </c>
      <c r="H1043">
        <v>3454.32</v>
      </c>
      <c r="I1043" t="s">
        <v>32</v>
      </c>
      <c r="J1043" t="str">
        <f t="shared" si="16"/>
        <v>Repeat Customer</v>
      </c>
    </row>
    <row r="1044" spans="1:10" x14ac:dyDescent="0.25">
      <c r="A1044">
        <v>11013</v>
      </c>
      <c r="B1044" t="s">
        <v>48</v>
      </c>
      <c r="C1044" s="1">
        <v>45651</v>
      </c>
      <c r="D1044" t="s">
        <v>10</v>
      </c>
      <c r="E1044" t="s">
        <v>25</v>
      </c>
      <c r="F1044">
        <v>1</v>
      </c>
      <c r="G1044">
        <v>332.31</v>
      </c>
      <c r="H1044">
        <v>332.31</v>
      </c>
      <c r="I1044" t="s">
        <v>22</v>
      </c>
      <c r="J1044" t="str">
        <f t="shared" si="16"/>
        <v>Repeat Customer</v>
      </c>
    </row>
    <row r="1045" spans="1:10" x14ac:dyDescent="0.25">
      <c r="A1045">
        <v>11299</v>
      </c>
      <c r="B1045" t="s">
        <v>48</v>
      </c>
      <c r="C1045" s="1">
        <v>45383</v>
      </c>
      <c r="D1045" t="s">
        <v>16</v>
      </c>
      <c r="E1045" t="s">
        <v>25</v>
      </c>
      <c r="F1045">
        <v>2</v>
      </c>
      <c r="G1045">
        <v>319.91000000000003</v>
      </c>
      <c r="H1045">
        <v>639.82000000000005</v>
      </c>
      <c r="I1045" t="s">
        <v>22</v>
      </c>
      <c r="J1045" t="str">
        <f t="shared" si="16"/>
        <v>Repeat Customer</v>
      </c>
    </row>
    <row r="1046" spans="1:10" x14ac:dyDescent="0.25">
      <c r="A1046">
        <v>10341</v>
      </c>
      <c r="B1046" t="s">
        <v>216</v>
      </c>
      <c r="C1046" s="1">
        <v>45432</v>
      </c>
      <c r="D1046" t="s">
        <v>10</v>
      </c>
      <c r="E1046" t="s">
        <v>11</v>
      </c>
      <c r="F1046">
        <v>4</v>
      </c>
      <c r="G1046">
        <v>38.64</v>
      </c>
      <c r="H1046">
        <v>154.56</v>
      </c>
      <c r="I1046" t="s">
        <v>14</v>
      </c>
      <c r="J1046" t="str">
        <f t="shared" si="16"/>
        <v>Repeat Customer</v>
      </c>
    </row>
    <row r="1047" spans="1:10" x14ac:dyDescent="0.25">
      <c r="A1047">
        <v>10483</v>
      </c>
      <c r="B1047" t="s">
        <v>216</v>
      </c>
      <c r="C1047" s="1">
        <v>45796</v>
      </c>
      <c r="D1047" t="s">
        <v>21</v>
      </c>
      <c r="E1047" t="s">
        <v>11</v>
      </c>
      <c r="F1047">
        <v>7</v>
      </c>
      <c r="G1047">
        <v>178.86</v>
      </c>
      <c r="H1047">
        <v>1252.02</v>
      </c>
      <c r="I1047" t="s">
        <v>32</v>
      </c>
      <c r="J1047" t="str">
        <f t="shared" si="16"/>
        <v>Repeat Customer</v>
      </c>
    </row>
    <row r="1048" spans="1:10" x14ac:dyDescent="0.25">
      <c r="A1048">
        <v>10757</v>
      </c>
      <c r="B1048" t="s">
        <v>216</v>
      </c>
      <c r="C1048" s="1">
        <v>45725</v>
      </c>
      <c r="D1048" t="s">
        <v>16</v>
      </c>
      <c r="E1048" t="s">
        <v>19</v>
      </c>
      <c r="F1048">
        <v>6</v>
      </c>
      <c r="G1048">
        <v>177.41</v>
      </c>
      <c r="H1048">
        <v>1064.46</v>
      </c>
      <c r="I1048" t="s">
        <v>12</v>
      </c>
      <c r="J1048" t="str">
        <f t="shared" si="16"/>
        <v>Repeat Customer</v>
      </c>
    </row>
    <row r="1049" spans="1:10" x14ac:dyDescent="0.25">
      <c r="A1049">
        <v>10790</v>
      </c>
      <c r="B1049" t="s">
        <v>216</v>
      </c>
      <c r="C1049" s="1">
        <v>45623</v>
      </c>
      <c r="D1049" t="s">
        <v>21</v>
      </c>
      <c r="E1049" t="s">
        <v>25</v>
      </c>
      <c r="F1049">
        <v>8</v>
      </c>
      <c r="G1049">
        <v>17.329999999999998</v>
      </c>
      <c r="H1049">
        <v>138.63999999999999</v>
      </c>
      <c r="I1049" t="s">
        <v>32</v>
      </c>
      <c r="J1049" t="str">
        <f t="shared" si="16"/>
        <v>Repeat Customer</v>
      </c>
    </row>
    <row r="1050" spans="1:10" x14ac:dyDescent="0.25">
      <c r="A1050">
        <v>10815</v>
      </c>
      <c r="B1050" t="s">
        <v>216</v>
      </c>
      <c r="C1050" s="1">
        <v>45349</v>
      </c>
      <c r="D1050" t="s">
        <v>16</v>
      </c>
      <c r="E1050" t="s">
        <v>11</v>
      </c>
      <c r="F1050">
        <v>9</v>
      </c>
      <c r="G1050">
        <v>153.18</v>
      </c>
      <c r="H1050">
        <v>1378.62</v>
      </c>
      <c r="I1050" t="s">
        <v>14</v>
      </c>
      <c r="J1050" t="str">
        <f t="shared" si="16"/>
        <v>Repeat Customer</v>
      </c>
    </row>
    <row r="1051" spans="1:10" x14ac:dyDescent="0.25">
      <c r="A1051">
        <v>10839</v>
      </c>
      <c r="B1051" t="s">
        <v>216</v>
      </c>
      <c r="C1051" s="1">
        <v>45536</v>
      </c>
      <c r="D1051" t="s">
        <v>10</v>
      </c>
      <c r="E1051" t="s">
        <v>31</v>
      </c>
      <c r="F1051">
        <v>10</v>
      </c>
      <c r="G1051">
        <v>125.63</v>
      </c>
      <c r="H1051">
        <v>1256.3</v>
      </c>
      <c r="I1051" t="s">
        <v>32</v>
      </c>
      <c r="J1051" t="str">
        <f t="shared" si="16"/>
        <v>Repeat Customer</v>
      </c>
    </row>
    <row r="1052" spans="1:10" x14ac:dyDescent="0.25">
      <c r="A1052">
        <v>11088</v>
      </c>
      <c r="B1052" t="s">
        <v>216</v>
      </c>
      <c r="C1052" s="1">
        <v>45388</v>
      </c>
      <c r="D1052" t="s">
        <v>18</v>
      </c>
      <c r="E1052" t="s">
        <v>19</v>
      </c>
      <c r="F1052">
        <v>8</v>
      </c>
      <c r="G1052">
        <v>332.12</v>
      </c>
      <c r="H1052">
        <v>2656.96</v>
      </c>
      <c r="I1052" t="s">
        <v>22</v>
      </c>
      <c r="J1052" t="str">
        <f t="shared" si="16"/>
        <v>Repeat Customer</v>
      </c>
    </row>
    <row r="1053" spans="1:10" x14ac:dyDescent="0.25">
      <c r="A1053">
        <v>10502</v>
      </c>
      <c r="B1053" t="s">
        <v>252</v>
      </c>
      <c r="C1053" s="1">
        <v>45445</v>
      </c>
      <c r="D1053" t="s">
        <v>18</v>
      </c>
      <c r="E1053" t="s">
        <v>11</v>
      </c>
      <c r="F1053">
        <v>3</v>
      </c>
      <c r="G1053">
        <v>285.45999999999998</v>
      </c>
      <c r="H1053">
        <v>856.38</v>
      </c>
      <c r="I1053" t="s">
        <v>12</v>
      </c>
      <c r="J1053" t="str">
        <f t="shared" si="16"/>
        <v>Repeat Customer</v>
      </c>
    </row>
    <row r="1054" spans="1:10" x14ac:dyDescent="0.25">
      <c r="A1054">
        <v>10854</v>
      </c>
      <c r="B1054" t="s">
        <v>252</v>
      </c>
      <c r="C1054" s="1">
        <v>45758</v>
      </c>
      <c r="D1054" t="s">
        <v>18</v>
      </c>
      <c r="E1054" t="s">
        <v>25</v>
      </c>
      <c r="F1054">
        <v>10</v>
      </c>
      <c r="G1054">
        <v>465.5</v>
      </c>
      <c r="H1054">
        <v>4655</v>
      </c>
      <c r="I1054" t="s">
        <v>32</v>
      </c>
      <c r="J1054" t="str">
        <f t="shared" si="16"/>
        <v>Repeat Customer</v>
      </c>
    </row>
    <row r="1055" spans="1:10" x14ac:dyDescent="0.25">
      <c r="A1055">
        <v>10963</v>
      </c>
      <c r="B1055" t="s">
        <v>252</v>
      </c>
      <c r="C1055" s="1">
        <v>45745</v>
      </c>
      <c r="D1055" t="s">
        <v>21</v>
      </c>
      <c r="E1055" t="s">
        <v>31</v>
      </c>
      <c r="F1055">
        <v>5</v>
      </c>
      <c r="G1055">
        <v>86.08</v>
      </c>
      <c r="H1055">
        <v>430.4</v>
      </c>
      <c r="I1055" t="s">
        <v>14</v>
      </c>
      <c r="J1055" t="str">
        <f t="shared" si="16"/>
        <v>Repeat Customer</v>
      </c>
    </row>
    <row r="1056" spans="1:10" x14ac:dyDescent="0.25">
      <c r="A1056">
        <v>10772</v>
      </c>
      <c r="B1056" t="s">
        <v>298</v>
      </c>
      <c r="C1056" s="1">
        <v>45538</v>
      </c>
      <c r="D1056" t="s">
        <v>16</v>
      </c>
      <c r="E1056" t="s">
        <v>19</v>
      </c>
      <c r="F1056">
        <v>10</v>
      </c>
      <c r="G1056">
        <v>80.61</v>
      </c>
      <c r="H1056">
        <v>806.1</v>
      </c>
      <c r="I1056" t="s">
        <v>32</v>
      </c>
      <c r="J1056" t="str">
        <f t="shared" si="16"/>
        <v>Repeat Customer</v>
      </c>
    </row>
    <row r="1057" spans="1:10" x14ac:dyDescent="0.25">
      <c r="A1057">
        <v>10907</v>
      </c>
      <c r="B1057" t="s">
        <v>298</v>
      </c>
      <c r="C1057" s="1">
        <v>46002</v>
      </c>
      <c r="D1057" t="s">
        <v>10</v>
      </c>
      <c r="E1057" t="s">
        <v>25</v>
      </c>
      <c r="F1057">
        <v>8</v>
      </c>
      <c r="G1057">
        <v>347.72</v>
      </c>
      <c r="H1057">
        <v>2781.76</v>
      </c>
      <c r="I1057" t="s">
        <v>22</v>
      </c>
      <c r="J1057" t="str">
        <f t="shared" si="16"/>
        <v>Repeat Customer</v>
      </c>
    </row>
    <row r="1058" spans="1:10" x14ac:dyDescent="0.25">
      <c r="A1058">
        <v>10927</v>
      </c>
      <c r="B1058" t="s">
        <v>298</v>
      </c>
      <c r="C1058" s="1">
        <v>45337</v>
      </c>
      <c r="D1058" t="s">
        <v>18</v>
      </c>
      <c r="E1058" t="s">
        <v>11</v>
      </c>
      <c r="F1058">
        <v>1</v>
      </c>
      <c r="G1058">
        <v>495.68</v>
      </c>
      <c r="H1058">
        <v>495.68</v>
      </c>
      <c r="I1058" t="s">
        <v>32</v>
      </c>
      <c r="J1058" t="str">
        <f t="shared" si="16"/>
        <v>Repeat Customer</v>
      </c>
    </row>
    <row r="1059" spans="1:10" x14ac:dyDescent="0.25">
      <c r="A1059">
        <v>11104</v>
      </c>
      <c r="B1059" t="s">
        <v>298</v>
      </c>
      <c r="C1059" s="1">
        <v>45776</v>
      </c>
      <c r="D1059" t="s">
        <v>16</v>
      </c>
      <c r="E1059" t="s">
        <v>31</v>
      </c>
      <c r="F1059">
        <v>2</v>
      </c>
      <c r="G1059">
        <v>249.92</v>
      </c>
      <c r="H1059">
        <v>499.84</v>
      </c>
      <c r="I1059" t="s">
        <v>32</v>
      </c>
      <c r="J1059" t="str">
        <f t="shared" si="16"/>
        <v>Repeat Customer</v>
      </c>
    </row>
    <row r="1060" spans="1:10" x14ac:dyDescent="0.25">
      <c r="A1060">
        <v>10578</v>
      </c>
      <c r="B1060" t="s">
        <v>270</v>
      </c>
      <c r="C1060" s="1">
        <v>45915</v>
      </c>
      <c r="D1060" t="s">
        <v>16</v>
      </c>
      <c r="E1060" t="s">
        <v>19</v>
      </c>
      <c r="F1060">
        <v>4</v>
      </c>
      <c r="G1060">
        <v>140.43</v>
      </c>
      <c r="H1060">
        <v>561.72</v>
      </c>
      <c r="I1060" t="s">
        <v>32</v>
      </c>
      <c r="J1060" t="str">
        <f t="shared" si="16"/>
        <v>Repeat Customer</v>
      </c>
    </row>
    <row r="1061" spans="1:10" x14ac:dyDescent="0.25">
      <c r="A1061">
        <v>11206</v>
      </c>
      <c r="B1061" t="s">
        <v>270</v>
      </c>
      <c r="C1061" s="1">
        <v>45628</v>
      </c>
      <c r="D1061" t="s">
        <v>24</v>
      </c>
      <c r="E1061" t="s">
        <v>31</v>
      </c>
      <c r="F1061">
        <v>3</v>
      </c>
      <c r="G1061">
        <v>56.9</v>
      </c>
      <c r="H1061">
        <v>170.7</v>
      </c>
      <c r="I1061" t="s">
        <v>14</v>
      </c>
      <c r="J1061" t="str">
        <f t="shared" si="16"/>
        <v>Repeat Customer</v>
      </c>
    </row>
    <row r="1062" spans="1:10" x14ac:dyDescent="0.25">
      <c r="A1062">
        <v>10690</v>
      </c>
      <c r="B1062" t="s">
        <v>285</v>
      </c>
      <c r="C1062" s="1">
        <v>45938</v>
      </c>
      <c r="D1062" t="s">
        <v>24</v>
      </c>
      <c r="E1062" t="s">
        <v>11</v>
      </c>
      <c r="F1062">
        <v>10</v>
      </c>
      <c r="G1062">
        <v>287.95999999999998</v>
      </c>
      <c r="H1062">
        <v>2879.6</v>
      </c>
      <c r="I1062" t="s">
        <v>14</v>
      </c>
      <c r="J1062" t="str">
        <f t="shared" si="16"/>
        <v>Repeat Customer</v>
      </c>
    </row>
    <row r="1063" spans="1:10" x14ac:dyDescent="0.25">
      <c r="A1063">
        <v>10862</v>
      </c>
      <c r="B1063" t="s">
        <v>285</v>
      </c>
      <c r="C1063" s="1">
        <v>45653</v>
      </c>
      <c r="D1063" t="s">
        <v>24</v>
      </c>
      <c r="E1063" t="s">
        <v>19</v>
      </c>
      <c r="F1063">
        <v>5</v>
      </c>
      <c r="G1063">
        <v>148.16</v>
      </c>
      <c r="H1063">
        <v>740.8</v>
      </c>
      <c r="I1063" t="s">
        <v>22</v>
      </c>
      <c r="J1063" t="str">
        <f t="shared" si="16"/>
        <v>Repeat Customer</v>
      </c>
    </row>
    <row r="1064" spans="1:10" x14ac:dyDescent="0.25">
      <c r="A1064">
        <v>11045</v>
      </c>
      <c r="B1064" t="s">
        <v>285</v>
      </c>
      <c r="C1064" s="1">
        <v>45908</v>
      </c>
      <c r="D1064" t="s">
        <v>21</v>
      </c>
      <c r="E1064" t="s">
        <v>11</v>
      </c>
      <c r="F1064">
        <v>9</v>
      </c>
      <c r="G1064">
        <v>370.2</v>
      </c>
      <c r="H1064">
        <v>3331.8</v>
      </c>
      <c r="I1064" t="s">
        <v>12</v>
      </c>
      <c r="J1064" t="str">
        <f t="shared" si="16"/>
        <v>Repeat Customer</v>
      </c>
    </row>
    <row r="1065" spans="1:10" x14ac:dyDescent="0.25">
      <c r="A1065">
        <v>10002</v>
      </c>
      <c r="B1065" t="s">
        <v>13</v>
      </c>
      <c r="C1065" s="1">
        <v>45324</v>
      </c>
      <c r="D1065" t="s">
        <v>10</v>
      </c>
      <c r="E1065" t="s">
        <v>11</v>
      </c>
      <c r="F1065">
        <v>1</v>
      </c>
      <c r="G1065">
        <v>51.38</v>
      </c>
      <c r="H1065">
        <v>51.38</v>
      </c>
      <c r="I1065" t="s">
        <v>14</v>
      </c>
      <c r="J1065" t="str">
        <f t="shared" si="16"/>
        <v>Repeat Customer</v>
      </c>
    </row>
    <row r="1066" spans="1:10" x14ac:dyDescent="0.25">
      <c r="A1066">
        <v>10004</v>
      </c>
      <c r="B1066" t="s">
        <v>13</v>
      </c>
      <c r="C1066" s="1">
        <v>45640</v>
      </c>
      <c r="D1066" t="s">
        <v>16</v>
      </c>
      <c r="E1066" t="s">
        <v>11</v>
      </c>
      <c r="F1066">
        <v>5</v>
      </c>
      <c r="G1066">
        <v>81.96</v>
      </c>
      <c r="H1066">
        <v>409.8</v>
      </c>
      <c r="I1066" t="s">
        <v>12</v>
      </c>
      <c r="J1066" t="str">
        <f t="shared" si="16"/>
        <v>Repeat Customer</v>
      </c>
    </row>
    <row r="1067" spans="1:10" x14ac:dyDescent="0.25">
      <c r="A1067">
        <v>10031</v>
      </c>
      <c r="B1067" t="s">
        <v>13</v>
      </c>
      <c r="C1067" s="1">
        <v>45479</v>
      </c>
      <c r="D1067" t="s">
        <v>24</v>
      </c>
      <c r="E1067" t="s">
        <v>31</v>
      </c>
      <c r="F1067">
        <v>5</v>
      </c>
      <c r="G1067">
        <v>234</v>
      </c>
      <c r="H1067">
        <v>1170</v>
      </c>
      <c r="I1067" t="s">
        <v>12</v>
      </c>
      <c r="J1067" t="str">
        <f t="shared" si="16"/>
        <v>Repeat Customer</v>
      </c>
    </row>
    <row r="1068" spans="1:10" x14ac:dyDescent="0.25">
      <c r="A1068">
        <v>10048</v>
      </c>
      <c r="B1068" t="s">
        <v>13</v>
      </c>
      <c r="C1068" s="1">
        <v>45575</v>
      </c>
      <c r="D1068" t="s">
        <v>10</v>
      </c>
      <c r="E1068" t="s">
        <v>19</v>
      </c>
      <c r="F1068">
        <v>1</v>
      </c>
      <c r="G1068">
        <v>6.76</v>
      </c>
      <c r="H1068">
        <v>6.76</v>
      </c>
      <c r="I1068" t="s">
        <v>14</v>
      </c>
      <c r="J1068" t="str">
        <f t="shared" si="16"/>
        <v>Repeat Customer</v>
      </c>
    </row>
    <row r="1069" spans="1:10" x14ac:dyDescent="0.25">
      <c r="A1069">
        <v>10390</v>
      </c>
      <c r="B1069" t="s">
        <v>13</v>
      </c>
      <c r="C1069" s="1">
        <v>45482</v>
      </c>
      <c r="D1069" t="s">
        <v>10</v>
      </c>
      <c r="E1069" t="s">
        <v>25</v>
      </c>
      <c r="F1069">
        <v>8</v>
      </c>
      <c r="G1069">
        <v>319.57</v>
      </c>
      <c r="H1069">
        <v>2556.56</v>
      </c>
      <c r="I1069" t="s">
        <v>32</v>
      </c>
      <c r="J1069" t="str">
        <f t="shared" si="16"/>
        <v>Repeat Customer</v>
      </c>
    </row>
    <row r="1070" spans="1:10" x14ac:dyDescent="0.25">
      <c r="A1070">
        <v>10499</v>
      </c>
      <c r="B1070" t="s">
        <v>13</v>
      </c>
      <c r="C1070" s="1">
        <v>45372</v>
      </c>
      <c r="D1070" t="s">
        <v>10</v>
      </c>
      <c r="E1070" t="s">
        <v>19</v>
      </c>
      <c r="F1070">
        <v>7</v>
      </c>
      <c r="G1070">
        <v>104.95</v>
      </c>
      <c r="H1070">
        <v>734.65</v>
      </c>
      <c r="I1070" t="s">
        <v>22</v>
      </c>
      <c r="J1070" t="str">
        <f t="shared" si="16"/>
        <v>Repeat Customer</v>
      </c>
    </row>
    <row r="1071" spans="1:10" x14ac:dyDescent="0.25">
      <c r="A1071">
        <v>10788</v>
      </c>
      <c r="B1071" t="s">
        <v>13</v>
      </c>
      <c r="C1071" s="1">
        <v>45593</v>
      </c>
      <c r="D1071" t="s">
        <v>18</v>
      </c>
      <c r="E1071" t="s">
        <v>25</v>
      </c>
      <c r="F1071">
        <v>10</v>
      </c>
      <c r="G1071">
        <v>459.92</v>
      </c>
      <c r="H1071">
        <v>4599.2</v>
      </c>
      <c r="I1071" t="s">
        <v>32</v>
      </c>
      <c r="J1071" t="str">
        <f t="shared" si="16"/>
        <v>Repeat Customer</v>
      </c>
    </row>
    <row r="1072" spans="1:10" x14ac:dyDescent="0.25">
      <c r="A1072">
        <v>11060</v>
      </c>
      <c r="B1072" t="s">
        <v>13</v>
      </c>
      <c r="C1072" s="1">
        <v>45903</v>
      </c>
      <c r="D1072" t="s">
        <v>18</v>
      </c>
      <c r="E1072" t="s">
        <v>11</v>
      </c>
      <c r="F1072">
        <v>5</v>
      </c>
      <c r="G1072">
        <v>41.16</v>
      </c>
      <c r="H1072">
        <v>205.8</v>
      </c>
      <c r="I1072" t="s">
        <v>12</v>
      </c>
      <c r="J1072" t="str">
        <f t="shared" si="16"/>
        <v>Repeat Customer</v>
      </c>
    </row>
    <row r="1073" spans="1:10" x14ac:dyDescent="0.25">
      <c r="A1073">
        <v>11083</v>
      </c>
      <c r="B1073" t="s">
        <v>13</v>
      </c>
      <c r="C1073" s="1">
        <v>45669</v>
      </c>
      <c r="D1073" t="s">
        <v>21</v>
      </c>
      <c r="E1073" t="s">
        <v>11</v>
      </c>
      <c r="F1073">
        <v>10</v>
      </c>
      <c r="G1073">
        <v>97.25</v>
      </c>
      <c r="H1073">
        <v>972.5</v>
      </c>
      <c r="I1073" t="s">
        <v>12</v>
      </c>
      <c r="J1073" t="str">
        <f t="shared" si="16"/>
        <v>Repeat Customer</v>
      </c>
    </row>
    <row r="1074" spans="1:10" x14ac:dyDescent="0.25">
      <c r="A1074">
        <v>11298</v>
      </c>
      <c r="B1074" t="s">
        <v>13</v>
      </c>
      <c r="C1074" s="1">
        <v>45461</v>
      </c>
      <c r="D1074" t="s">
        <v>16</v>
      </c>
      <c r="E1074" t="s">
        <v>31</v>
      </c>
      <c r="F1074">
        <v>7</v>
      </c>
      <c r="G1074">
        <v>130.16999999999999</v>
      </c>
      <c r="H1074">
        <v>911.19</v>
      </c>
      <c r="I1074" t="s">
        <v>22</v>
      </c>
      <c r="J1074" t="str">
        <f t="shared" si="16"/>
        <v>Repeat Customer</v>
      </c>
    </row>
    <row r="1075" spans="1:10" x14ac:dyDescent="0.25">
      <c r="A1075">
        <v>11333</v>
      </c>
      <c r="B1075" t="s">
        <v>13</v>
      </c>
      <c r="C1075" s="1">
        <v>45986</v>
      </c>
      <c r="D1075" t="s">
        <v>21</v>
      </c>
      <c r="E1075" t="s">
        <v>31</v>
      </c>
      <c r="F1075">
        <v>8</v>
      </c>
      <c r="G1075">
        <v>495.21</v>
      </c>
      <c r="H1075">
        <v>3961.68</v>
      </c>
      <c r="I1075" t="s">
        <v>12</v>
      </c>
      <c r="J1075" t="str">
        <f t="shared" si="16"/>
        <v>Repeat Customer</v>
      </c>
    </row>
    <row r="1076" spans="1:10" x14ac:dyDescent="0.25">
      <c r="A1076">
        <v>10188</v>
      </c>
      <c r="B1076" t="s">
        <v>157</v>
      </c>
      <c r="C1076" s="1">
        <v>45789</v>
      </c>
      <c r="D1076" t="s">
        <v>16</v>
      </c>
      <c r="E1076" t="s">
        <v>25</v>
      </c>
      <c r="F1076">
        <v>10</v>
      </c>
      <c r="G1076">
        <v>223.81</v>
      </c>
      <c r="H1076">
        <v>2238.1</v>
      </c>
      <c r="I1076" t="s">
        <v>12</v>
      </c>
      <c r="J1076" t="str">
        <f t="shared" si="16"/>
        <v>Repeat Customer</v>
      </c>
    </row>
    <row r="1077" spans="1:10" x14ac:dyDescent="0.25">
      <c r="A1077">
        <v>10397</v>
      </c>
      <c r="B1077" t="s">
        <v>157</v>
      </c>
      <c r="C1077" s="1">
        <v>45396</v>
      </c>
      <c r="D1077" t="s">
        <v>24</v>
      </c>
      <c r="E1077" t="s">
        <v>31</v>
      </c>
      <c r="F1077">
        <v>4</v>
      </c>
      <c r="G1077">
        <v>152.37</v>
      </c>
      <c r="H1077">
        <v>609.48</v>
      </c>
      <c r="I1077" t="s">
        <v>22</v>
      </c>
      <c r="J1077" t="str">
        <f t="shared" si="16"/>
        <v>Repeat Customer</v>
      </c>
    </row>
    <row r="1078" spans="1:10" x14ac:dyDescent="0.25">
      <c r="A1078">
        <v>11137</v>
      </c>
      <c r="B1078" t="s">
        <v>157</v>
      </c>
      <c r="C1078" s="1">
        <v>45425</v>
      </c>
      <c r="D1078" t="s">
        <v>24</v>
      </c>
      <c r="E1078" t="s">
        <v>19</v>
      </c>
      <c r="F1078">
        <v>8</v>
      </c>
      <c r="G1078">
        <v>111.32</v>
      </c>
      <c r="H1078">
        <v>890.56</v>
      </c>
      <c r="I1078" t="s">
        <v>32</v>
      </c>
      <c r="J1078" t="str">
        <f t="shared" si="16"/>
        <v>Repeat Customer</v>
      </c>
    </row>
    <row r="1079" spans="1:10" x14ac:dyDescent="0.25">
      <c r="A1079">
        <v>11223</v>
      </c>
      <c r="B1079" t="s">
        <v>157</v>
      </c>
      <c r="C1079" s="1">
        <v>45678</v>
      </c>
      <c r="D1079" t="s">
        <v>16</v>
      </c>
      <c r="E1079" t="s">
        <v>19</v>
      </c>
      <c r="F1079">
        <v>10</v>
      </c>
      <c r="G1079">
        <v>82.82</v>
      </c>
      <c r="H1079">
        <v>828.2</v>
      </c>
      <c r="I1079" t="s">
        <v>12</v>
      </c>
      <c r="J1079" t="str">
        <f t="shared" si="16"/>
        <v>Repeat Customer</v>
      </c>
    </row>
    <row r="1080" spans="1:10" x14ac:dyDescent="0.25">
      <c r="A1080">
        <v>11373</v>
      </c>
      <c r="B1080" t="s">
        <v>157</v>
      </c>
      <c r="C1080" s="1">
        <v>45985</v>
      </c>
      <c r="D1080" t="s">
        <v>10</v>
      </c>
      <c r="E1080" t="s">
        <v>31</v>
      </c>
      <c r="F1080">
        <v>9</v>
      </c>
      <c r="G1080">
        <v>466.56</v>
      </c>
      <c r="H1080">
        <v>4199.04</v>
      </c>
      <c r="I1080" t="s">
        <v>32</v>
      </c>
      <c r="J1080" t="str">
        <f t="shared" si="16"/>
        <v>Repeat Customer</v>
      </c>
    </row>
    <row r="1081" spans="1:10" x14ac:dyDescent="0.25">
      <c r="A1081">
        <v>11450</v>
      </c>
      <c r="B1081" t="s">
        <v>157</v>
      </c>
      <c r="C1081" s="1">
        <v>45672</v>
      </c>
      <c r="D1081" t="s">
        <v>18</v>
      </c>
      <c r="E1081" t="s">
        <v>11</v>
      </c>
      <c r="F1081">
        <v>1</v>
      </c>
      <c r="G1081">
        <v>352.19</v>
      </c>
      <c r="H1081">
        <v>352.19</v>
      </c>
      <c r="I1081" t="s">
        <v>32</v>
      </c>
      <c r="J1081" t="str">
        <f t="shared" si="16"/>
        <v>Repeat Customer</v>
      </c>
    </row>
    <row r="1082" spans="1:10" x14ac:dyDescent="0.25">
      <c r="A1082">
        <v>10300</v>
      </c>
      <c r="B1082" t="s">
        <v>198</v>
      </c>
      <c r="C1082" s="1">
        <v>45819</v>
      </c>
      <c r="D1082" t="s">
        <v>24</v>
      </c>
      <c r="E1082" t="s">
        <v>25</v>
      </c>
      <c r="F1082">
        <v>6</v>
      </c>
      <c r="G1082">
        <v>47.94</v>
      </c>
      <c r="H1082">
        <v>287.64</v>
      </c>
      <c r="I1082" t="s">
        <v>14</v>
      </c>
      <c r="J1082" t="str">
        <f t="shared" si="16"/>
        <v>Repeat Customer</v>
      </c>
    </row>
    <row r="1083" spans="1:10" x14ac:dyDescent="0.25">
      <c r="A1083">
        <v>10882</v>
      </c>
      <c r="B1083" t="s">
        <v>198</v>
      </c>
      <c r="C1083" s="1">
        <v>46000</v>
      </c>
      <c r="D1083" t="s">
        <v>24</v>
      </c>
      <c r="E1083" t="s">
        <v>19</v>
      </c>
      <c r="F1083">
        <v>6</v>
      </c>
      <c r="G1083">
        <v>132.38</v>
      </c>
      <c r="H1083">
        <v>794.28</v>
      </c>
      <c r="I1083" t="s">
        <v>12</v>
      </c>
      <c r="J1083" t="str">
        <f t="shared" si="16"/>
        <v>Repeat Customer</v>
      </c>
    </row>
    <row r="1084" spans="1:10" x14ac:dyDescent="0.25">
      <c r="A1084">
        <v>11283</v>
      </c>
      <c r="B1084" t="s">
        <v>198</v>
      </c>
      <c r="C1084" s="1">
        <v>45770</v>
      </c>
      <c r="D1084" t="s">
        <v>10</v>
      </c>
      <c r="E1084" t="s">
        <v>25</v>
      </c>
      <c r="F1084">
        <v>5</v>
      </c>
      <c r="G1084">
        <v>86.26</v>
      </c>
      <c r="H1084">
        <v>431.3</v>
      </c>
      <c r="I1084" t="s">
        <v>32</v>
      </c>
      <c r="J1084" t="str">
        <f t="shared" si="16"/>
        <v>Repeat Customer</v>
      </c>
    </row>
    <row r="1085" spans="1:10" x14ac:dyDescent="0.25">
      <c r="A1085">
        <v>11399</v>
      </c>
      <c r="B1085" t="s">
        <v>198</v>
      </c>
      <c r="C1085" s="1">
        <v>45782</v>
      </c>
      <c r="D1085" t="s">
        <v>24</v>
      </c>
      <c r="E1085" t="s">
        <v>19</v>
      </c>
      <c r="F1085">
        <v>1</v>
      </c>
      <c r="G1085">
        <v>257.38</v>
      </c>
      <c r="H1085">
        <v>257.38</v>
      </c>
      <c r="I1085" t="s">
        <v>12</v>
      </c>
      <c r="J1085" t="str">
        <f t="shared" si="16"/>
        <v>Repeat Customer</v>
      </c>
    </row>
    <row r="1086" spans="1:10" x14ac:dyDescent="0.25">
      <c r="A1086">
        <v>10420</v>
      </c>
      <c r="B1086" t="s">
        <v>234</v>
      </c>
      <c r="C1086" s="1">
        <v>45614</v>
      </c>
      <c r="D1086" t="s">
        <v>24</v>
      </c>
      <c r="E1086" t="s">
        <v>25</v>
      </c>
      <c r="F1086">
        <v>3</v>
      </c>
      <c r="G1086">
        <v>127.65</v>
      </c>
      <c r="H1086">
        <v>382.95</v>
      </c>
      <c r="I1086" t="s">
        <v>22</v>
      </c>
      <c r="J1086" t="str">
        <f t="shared" si="16"/>
        <v>Repeat Customer</v>
      </c>
    </row>
    <row r="1087" spans="1:10" x14ac:dyDescent="0.25">
      <c r="A1087">
        <v>10535</v>
      </c>
      <c r="B1087" t="s">
        <v>234</v>
      </c>
      <c r="C1087" s="1">
        <v>45705</v>
      </c>
      <c r="D1087" t="s">
        <v>21</v>
      </c>
      <c r="E1087" t="s">
        <v>11</v>
      </c>
      <c r="F1087">
        <v>7</v>
      </c>
      <c r="G1087">
        <v>482.84</v>
      </c>
      <c r="H1087">
        <v>3379.88</v>
      </c>
      <c r="I1087" t="s">
        <v>12</v>
      </c>
      <c r="J1087" t="str">
        <f t="shared" si="16"/>
        <v>Repeat Customer</v>
      </c>
    </row>
    <row r="1088" spans="1:10" x14ac:dyDescent="0.25">
      <c r="A1088">
        <v>11276</v>
      </c>
      <c r="B1088" t="s">
        <v>234</v>
      </c>
      <c r="C1088" s="1">
        <v>45541</v>
      </c>
      <c r="D1088" t="s">
        <v>10</v>
      </c>
      <c r="E1088" t="s">
        <v>19</v>
      </c>
      <c r="F1088">
        <v>10</v>
      </c>
      <c r="G1088">
        <v>44.3</v>
      </c>
      <c r="H1088">
        <v>443</v>
      </c>
      <c r="I1088" t="s">
        <v>32</v>
      </c>
      <c r="J1088" t="str">
        <f t="shared" si="16"/>
        <v>Repeat Customer</v>
      </c>
    </row>
    <row r="1089" spans="1:10" x14ac:dyDescent="0.25">
      <c r="A1089">
        <v>11370</v>
      </c>
      <c r="B1089" t="s">
        <v>234</v>
      </c>
      <c r="C1089" s="1">
        <v>45825</v>
      </c>
      <c r="D1089" t="s">
        <v>24</v>
      </c>
      <c r="E1089" t="s">
        <v>19</v>
      </c>
      <c r="F1089">
        <v>4</v>
      </c>
      <c r="G1089">
        <v>156.07</v>
      </c>
      <c r="H1089">
        <v>624.28</v>
      </c>
      <c r="I1089" t="s">
        <v>32</v>
      </c>
      <c r="J1089" t="str">
        <f t="shared" si="16"/>
        <v>Repeat Customer</v>
      </c>
    </row>
    <row r="1090" spans="1:10" x14ac:dyDescent="0.25">
      <c r="A1090">
        <v>11392</v>
      </c>
      <c r="B1090" t="s">
        <v>234</v>
      </c>
      <c r="C1090" s="1">
        <v>45903</v>
      </c>
      <c r="D1090" t="s">
        <v>16</v>
      </c>
      <c r="E1090" t="s">
        <v>19</v>
      </c>
      <c r="F1090">
        <v>1</v>
      </c>
      <c r="G1090">
        <v>219.99</v>
      </c>
      <c r="H1090">
        <v>219.99</v>
      </c>
      <c r="I1090" t="s">
        <v>32</v>
      </c>
      <c r="J1090" t="str">
        <f t="shared" ref="J1090:J1153" si="17">IF(COUNTIF($B:$B,B1090)&gt;1,"Repeat Customer","New Customer")</f>
        <v>Repeat Customer</v>
      </c>
    </row>
    <row r="1091" spans="1:10" x14ac:dyDescent="0.25">
      <c r="A1091">
        <v>11008</v>
      </c>
      <c r="B1091" t="s">
        <v>313</v>
      </c>
      <c r="C1091" s="1">
        <v>45429</v>
      </c>
      <c r="D1091" t="s">
        <v>21</v>
      </c>
      <c r="E1091" t="s">
        <v>11</v>
      </c>
      <c r="F1091">
        <v>5</v>
      </c>
      <c r="G1091">
        <v>359.28</v>
      </c>
      <c r="H1091">
        <v>1796.4</v>
      </c>
      <c r="I1091" t="s">
        <v>32</v>
      </c>
      <c r="J1091" t="str">
        <f t="shared" si="17"/>
        <v>Repeat Customer</v>
      </c>
    </row>
    <row r="1092" spans="1:10" x14ac:dyDescent="0.25">
      <c r="A1092">
        <v>11056</v>
      </c>
      <c r="B1092" t="s">
        <v>313</v>
      </c>
      <c r="C1092" s="1">
        <v>45503</v>
      </c>
      <c r="D1092" t="s">
        <v>16</v>
      </c>
      <c r="E1092" t="s">
        <v>25</v>
      </c>
      <c r="F1092">
        <v>10</v>
      </c>
      <c r="G1092">
        <v>111.71</v>
      </c>
      <c r="H1092">
        <v>1117.0999999999999</v>
      </c>
      <c r="I1092" t="s">
        <v>32</v>
      </c>
      <c r="J1092" t="str">
        <f t="shared" si="17"/>
        <v>Repeat Customer</v>
      </c>
    </row>
    <row r="1093" spans="1:10" x14ac:dyDescent="0.25">
      <c r="A1093">
        <v>10092</v>
      </c>
      <c r="B1093" t="s">
        <v>96</v>
      </c>
      <c r="C1093" s="1">
        <v>45662</v>
      </c>
      <c r="D1093" t="s">
        <v>21</v>
      </c>
      <c r="E1093" t="s">
        <v>25</v>
      </c>
      <c r="F1093">
        <v>8</v>
      </c>
      <c r="G1093">
        <v>355.12</v>
      </c>
      <c r="H1093">
        <v>2840.96</v>
      </c>
      <c r="I1093" t="s">
        <v>22</v>
      </c>
      <c r="J1093" t="str">
        <f t="shared" si="17"/>
        <v>New Customer</v>
      </c>
    </row>
    <row r="1094" spans="1:10" x14ac:dyDescent="0.25">
      <c r="A1094">
        <v>10059</v>
      </c>
      <c r="B1094" t="s">
        <v>69</v>
      </c>
      <c r="C1094" s="1">
        <v>45645</v>
      </c>
      <c r="D1094" t="s">
        <v>18</v>
      </c>
      <c r="E1094" t="s">
        <v>11</v>
      </c>
      <c r="F1094">
        <v>6</v>
      </c>
      <c r="G1094">
        <v>221.01</v>
      </c>
      <c r="H1094">
        <v>1326.06</v>
      </c>
      <c r="I1094" t="s">
        <v>32</v>
      </c>
      <c r="J1094" t="str">
        <f t="shared" si="17"/>
        <v>Repeat Customer</v>
      </c>
    </row>
    <row r="1095" spans="1:10" x14ac:dyDescent="0.25">
      <c r="A1095">
        <v>10749</v>
      </c>
      <c r="B1095" t="s">
        <v>69</v>
      </c>
      <c r="C1095" s="1">
        <v>45718</v>
      </c>
      <c r="D1095" t="s">
        <v>10</v>
      </c>
      <c r="E1095" t="s">
        <v>11</v>
      </c>
      <c r="F1095">
        <v>2</v>
      </c>
      <c r="G1095">
        <v>435.54</v>
      </c>
      <c r="H1095">
        <v>871.08</v>
      </c>
      <c r="I1095" t="s">
        <v>32</v>
      </c>
      <c r="J1095" t="str">
        <f t="shared" si="17"/>
        <v>Repeat Customer</v>
      </c>
    </row>
    <row r="1096" spans="1:10" x14ac:dyDescent="0.25">
      <c r="A1096">
        <v>10914</v>
      </c>
      <c r="B1096" t="s">
        <v>69</v>
      </c>
      <c r="C1096" s="1">
        <v>45549</v>
      </c>
      <c r="D1096" t="s">
        <v>21</v>
      </c>
      <c r="E1096" t="s">
        <v>11</v>
      </c>
      <c r="F1096">
        <v>6</v>
      </c>
      <c r="G1096">
        <v>310.33</v>
      </c>
      <c r="H1096">
        <v>1861.98</v>
      </c>
      <c r="I1096" t="s">
        <v>12</v>
      </c>
      <c r="J1096" t="str">
        <f t="shared" si="17"/>
        <v>Repeat Customer</v>
      </c>
    </row>
    <row r="1097" spans="1:10" x14ac:dyDescent="0.25">
      <c r="A1097">
        <v>10926</v>
      </c>
      <c r="B1097" t="s">
        <v>69</v>
      </c>
      <c r="C1097" s="1">
        <v>45885</v>
      </c>
      <c r="D1097" t="s">
        <v>18</v>
      </c>
      <c r="E1097" t="s">
        <v>25</v>
      </c>
      <c r="F1097">
        <v>4</v>
      </c>
      <c r="G1097">
        <v>446.45</v>
      </c>
      <c r="H1097">
        <v>1785.8</v>
      </c>
      <c r="I1097" t="s">
        <v>12</v>
      </c>
      <c r="J1097" t="str">
        <f t="shared" si="17"/>
        <v>Repeat Customer</v>
      </c>
    </row>
    <row r="1098" spans="1:10" x14ac:dyDescent="0.25">
      <c r="A1098">
        <v>11093</v>
      </c>
      <c r="B1098" t="s">
        <v>69</v>
      </c>
      <c r="C1098" s="1">
        <v>45839</v>
      </c>
      <c r="D1098" t="s">
        <v>24</v>
      </c>
      <c r="E1098" t="s">
        <v>11</v>
      </c>
      <c r="F1098">
        <v>1</v>
      </c>
      <c r="G1098">
        <v>7.89</v>
      </c>
      <c r="H1098">
        <v>7.89</v>
      </c>
      <c r="I1098" t="s">
        <v>14</v>
      </c>
      <c r="J1098" t="str">
        <f t="shared" si="17"/>
        <v>Repeat Customer</v>
      </c>
    </row>
    <row r="1099" spans="1:10" x14ac:dyDescent="0.25">
      <c r="A1099">
        <v>11359</v>
      </c>
      <c r="B1099" t="s">
        <v>69</v>
      </c>
      <c r="C1099" s="1">
        <v>45680</v>
      </c>
      <c r="D1099" t="s">
        <v>10</v>
      </c>
      <c r="E1099" t="s">
        <v>11</v>
      </c>
      <c r="F1099">
        <v>1</v>
      </c>
      <c r="G1099">
        <v>482.19</v>
      </c>
      <c r="H1099">
        <v>482.19</v>
      </c>
      <c r="I1099" t="s">
        <v>22</v>
      </c>
      <c r="J1099" t="str">
        <f t="shared" si="17"/>
        <v>Repeat Customer</v>
      </c>
    </row>
    <row r="1100" spans="1:10" x14ac:dyDescent="0.25">
      <c r="A1100">
        <v>10919</v>
      </c>
      <c r="B1100" t="s">
        <v>309</v>
      </c>
      <c r="C1100" s="1">
        <v>45440</v>
      </c>
      <c r="D1100" t="s">
        <v>21</v>
      </c>
      <c r="E1100" t="s">
        <v>25</v>
      </c>
      <c r="F1100">
        <v>4</v>
      </c>
      <c r="G1100">
        <v>464.3</v>
      </c>
      <c r="H1100">
        <v>1857.2</v>
      </c>
      <c r="I1100" t="s">
        <v>32</v>
      </c>
      <c r="J1100" t="str">
        <f t="shared" si="17"/>
        <v>Repeat Customer</v>
      </c>
    </row>
    <row r="1101" spans="1:10" x14ac:dyDescent="0.25">
      <c r="A1101">
        <v>11067</v>
      </c>
      <c r="B1101" t="s">
        <v>309</v>
      </c>
      <c r="C1101" s="1">
        <v>45460</v>
      </c>
      <c r="D1101" t="s">
        <v>21</v>
      </c>
      <c r="E1101" t="s">
        <v>25</v>
      </c>
      <c r="F1101">
        <v>6</v>
      </c>
      <c r="G1101">
        <v>369.75</v>
      </c>
      <c r="H1101">
        <v>2218.5</v>
      </c>
      <c r="I1101" t="s">
        <v>32</v>
      </c>
      <c r="J1101" t="str">
        <f t="shared" si="17"/>
        <v>Repeat Customer</v>
      </c>
    </row>
    <row r="1102" spans="1:10" x14ac:dyDescent="0.25">
      <c r="A1102">
        <v>11490</v>
      </c>
      <c r="B1102" t="s">
        <v>309</v>
      </c>
      <c r="C1102" s="1">
        <v>45655</v>
      </c>
      <c r="D1102" t="s">
        <v>24</v>
      </c>
      <c r="E1102" t="s">
        <v>25</v>
      </c>
      <c r="F1102">
        <v>10</v>
      </c>
      <c r="G1102">
        <v>197.62</v>
      </c>
      <c r="H1102">
        <v>1976.2</v>
      </c>
      <c r="I1102" t="s">
        <v>12</v>
      </c>
      <c r="J1102" t="str">
        <f t="shared" si="17"/>
        <v>Repeat Customer</v>
      </c>
    </row>
    <row r="1103" spans="1:10" x14ac:dyDescent="0.25">
      <c r="A1103">
        <v>10243</v>
      </c>
      <c r="B1103" t="s">
        <v>178</v>
      </c>
      <c r="C1103" s="1">
        <v>45327</v>
      </c>
      <c r="D1103" t="s">
        <v>16</v>
      </c>
      <c r="E1103" t="s">
        <v>19</v>
      </c>
      <c r="F1103">
        <v>3</v>
      </c>
      <c r="G1103">
        <v>38.28</v>
      </c>
      <c r="H1103">
        <v>114.84</v>
      </c>
      <c r="I1103" t="s">
        <v>32</v>
      </c>
      <c r="J1103" t="str">
        <f t="shared" si="17"/>
        <v>Repeat Customer</v>
      </c>
    </row>
    <row r="1104" spans="1:10" x14ac:dyDescent="0.25">
      <c r="A1104">
        <v>10608</v>
      </c>
      <c r="B1104" t="s">
        <v>178</v>
      </c>
      <c r="C1104" s="1">
        <v>45682</v>
      </c>
      <c r="D1104" t="s">
        <v>24</v>
      </c>
      <c r="E1104" t="s">
        <v>31</v>
      </c>
      <c r="F1104">
        <v>7</v>
      </c>
      <c r="G1104">
        <v>411.95</v>
      </c>
      <c r="H1104">
        <v>2883.65</v>
      </c>
      <c r="I1104" t="s">
        <v>14</v>
      </c>
      <c r="J1104" t="str">
        <f t="shared" si="17"/>
        <v>Repeat Customer</v>
      </c>
    </row>
    <row r="1105" spans="1:10" x14ac:dyDescent="0.25">
      <c r="A1105">
        <v>10894</v>
      </c>
      <c r="B1105" t="s">
        <v>178</v>
      </c>
      <c r="C1105" s="1">
        <v>45486</v>
      </c>
      <c r="D1105" t="s">
        <v>24</v>
      </c>
      <c r="E1105" t="s">
        <v>25</v>
      </c>
      <c r="F1105">
        <v>3</v>
      </c>
      <c r="G1105">
        <v>22.67</v>
      </c>
      <c r="H1105">
        <v>68.010000000000005</v>
      </c>
      <c r="I1105" t="s">
        <v>32</v>
      </c>
      <c r="J1105" t="str">
        <f t="shared" si="17"/>
        <v>Repeat Customer</v>
      </c>
    </row>
    <row r="1106" spans="1:10" x14ac:dyDescent="0.25">
      <c r="A1106">
        <v>10997</v>
      </c>
      <c r="B1106" t="s">
        <v>178</v>
      </c>
      <c r="C1106" s="1">
        <v>45827</v>
      </c>
      <c r="D1106" t="s">
        <v>21</v>
      </c>
      <c r="E1106" t="s">
        <v>31</v>
      </c>
      <c r="F1106">
        <v>2</v>
      </c>
      <c r="G1106">
        <v>64.010000000000005</v>
      </c>
      <c r="H1106">
        <v>128.02000000000001</v>
      </c>
      <c r="I1106" t="s">
        <v>12</v>
      </c>
      <c r="J1106" t="str">
        <f t="shared" si="17"/>
        <v>Repeat Customer</v>
      </c>
    </row>
    <row r="1107" spans="1:10" x14ac:dyDescent="0.25">
      <c r="A1107">
        <v>11235</v>
      </c>
      <c r="B1107" t="s">
        <v>178</v>
      </c>
      <c r="C1107" s="1">
        <v>45752</v>
      </c>
      <c r="D1107" t="s">
        <v>10</v>
      </c>
      <c r="E1107" t="s">
        <v>25</v>
      </c>
      <c r="F1107">
        <v>9</v>
      </c>
      <c r="G1107">
        <v>19.899999999999999</v>
      </c>
      <c r="H1107">
        <v>179.1</v>
      </c>
      <c r="I1107" t="s">
        <v>22</v>
      </c>
      <c r="J1107" t="str">
        <f t="shared" si="17"/>
        <v>Repeat Customer</v>
      </c>
    </row>
    <row r="1108" spans="1:10" x14ac:dyDescent="0.25">
      <c r="A1108">
        <v>11386</v>
      </c>
      <c r="B1108" t="s">
        <v>178</v>
      </c>
      <c r="C1108" s="1">
        <v>45964</v>
      </c>
      <c r="D1108" t="s">
        <v>16</v>
      </c>
      <c r="E1108" t="s">
        <v>31</v>
      </c>
      <c r="F1108">
        <v>8</v>
      </c>
      <c r="G1108">
        <v>85.11</v>
      </c>
      <c r="H1108">
        <v>680.88</v>
      </c>
      <c r="I1108" t="s">
        <v>12</v>
      </c>
      <c r="J1108" t="str">
        <f t="shared" si="17"/>
        <v>Repeat Customer</v>
      </c>
    </row>
    <row r="1109" spans="1:10" x14ac:dyDescent="0.25">
      <c r="A1109">
        <v>10237</v>
      </c>
      <c r="B1109" t="s">
        <v>176</v>
      </c>
      <c r="C1109" s="1">
        <v>45687</v>
      </c>
      <c r="D1109" t="s">
        <v>21</v>
      </c>
      <c r="E1109" t="s">
        <v>31</v>
      </c>
      <c r="F1109">
        <v>6</v>
      </c>
      <c r="G1109">
        <v>486.99</v>
      </c>
      <c r="H1109">
        <v>2921.94</v>
      </c>
      <c r="I1109" t="s">
        <v>22</v>
      </c>
      <c r="J1109" t="str">
        <f t="shared" si="17"/>
        <v>Repeat Customer</v>
      </c>
    </row>
    <row r="1110" spans="1:10" x14ac:dyDescent="0.25">
      <c r="A1110">
        <v>10263</v>
      </c>
      <c r="B1110" t="s">
        <v>176</v>
      </c>
      <c r="C1110" s="1">
        <v>45717</v>
      </c>
      <c r="D1110" t="s">
        <v>16</v>
      </c>
      <c r="E1110" t="s">
        <v>25</v>
      </c>
      <c r="F1110">
        <v>8</v>
      </c>
      <c r="G1110">
        <v>234.9</v>
      </c>
      <c r="H1110">
        <v>1879.2</v>
      </c>
      <c r="I1110" t="s">
        <v>22</v>
      </c>
      <c r="J1110" t="str">
        <f t="shared" si="17"/>
        <v>Repeat Customer</v>
      </c>
    </row>
    <row r="1111" spans="1:10" x14ac:dyDescent="0.25">
      <c r="A1111">
        <v>10282</v>
      </c>
      <c r="B1111" t="s">
        <v>176</v>
      </c>
      <c r="C1111" s="1">
        <v>45613</v>
      </c>
      <c r="D1111" t="s">
        <v>10</v>
      </c>
      <c r="E1111" t="s">
        <v>31</v>
      </c>
      <c r="F1111">
        <v>7</v>
      </c>
      <c r="G1111">
        <v>79.959999999999994</v>
      </c>
      <c r="H1111">
        <v>559.72</v>
      </c>
      <c r="I1111" t="s">
        <v>32</v>
      </c>
      <c r="J1111" t="str">
        <f t="shared" si="17"/>
        <v>Repeat Customer</v>
      </c>
    </row>
    <row r="1112" spans="1:10" x14ac:dyDescent="0.25">
      <c r="A1112">
        <v>10494</v>
      </c>
      <c r="B1112" t="s">
        <v>176</v>
      </c>
      <c r="C1112" s="1">
        <v>45768</v>
      </c>
      <c r="D1112" t="s">
        <v>16</v>
      </c>
      <c r="E1112" t="s">
        <v>11</v>
      </c>
      <c r="F1112">
        <v>5</v>
      </c>
      <c r="G1112">
        <v>116.99</v>
      </c>
      <c r="H1112">
        <v>584.95000000000005</v>
      </c>
      <c r="I1112" t="s">
        <v>14</v>
      </c>
      <c r="J1112" t="str">
        <f t="shared" si="17"/>
        <v>Repeat Customer</v>
      </c>
    </row>
    <row r="1113" spans="1:10" x14ac:dyDescent="0.25">
      <c r="A1113">
        <v>10787</v>
      </c>
      <c r="B1113" t="s">
        <v>176</v>
      </c>
      <c r="C1113" s="1">
        <v>45699</v>
      </c>
      <c r="D1113" t="s">
        <v>16</v>
      </c>
      <c r="E1113" t="s">
        <v>31</v>
      </c>
      <c r="F1113">
        <v>5</v>
      </c>
      <c r="G1113">
        <v>387.97</v>
      </c>
      <c r="H1113">
        <v>1939.85</v>
      </c>
      <c r="I1113" t="s">
        <v>14</v>
      </c>
      <c r="J1113" t="str">
        <f t="shared" si="17"/>
        <v>Repeat Customer</v>
      </c>
    </row>
    <row r="1114" spans="1:10" x14ac:dyDescent="0.25">
      <c r="A1114">
        <v>10869</v>
      </c>
      <c r="B1114" t="s">
        <v>176</v>
      </c>
      <c r="C1114" s="1">
        <v>45944</v>
      </c>
      <c r="D1114" t="s">
        <v>16</v>
      </c>
      <c r="E1114" t="s">
        <v>11</v>
      </c>
      <c r="F1114">
        <v>3</v>
      </c>
      <c r="G1114">
        <v>109.37</v>
      </c>
      <c r="H1114">
        <v>328.11</v>
      </c>
      <c r="I1114" t="s">
        <v>22</v>
      </c>
      <c r="J1114" t="str">
        <f t="shared" si="17"/>
        <v>Repeat Customer</v>
      </c>
    </row>
    <row r="1115" spans="1:10" x14ac:dyDescent="0.25">
      <c r="A1115">
        <v>10884</v>
      </c>
      <c r="B1115" t="s">
        <v>176</v>
      </c>
      <c r="C1115" s="1">
        <v>45363</v>
      </c>
      <c r="D1115" t="s">
        <v>10</v>
      </c>
      <c r="E1115" t="s">
        <v>31</v>
      </c>
      <c r="F1115">
        <v>8</v>
      </c>
      <c r="G1115">
        <v>489.81</v>
      </c>
      <c r="H1115">
        <v>3918.48</v>
      </c>
      <c r="I1115" t="s">
        <v>14</v>
      </c>
      <c r="J1115" t="str">
        <f t="shared" si="17"/>
        <v>Repeat Customer</v>
      </c>
    </row>
    <row r="1116" spans="1:10" x14ac:dyDescent="0.25">
      <c r="A1116">
        <v>11037</v>
      </c>
      <c r="B1116" t="s">
        <v>176</v>
      </c>
      <c r="C1116" s="1">
        <v>45710</v>
      </c>
      <c r="D1116" t="s">
        <v>24</v>
      </c>
      <c r="E1116" t="s">
        <v>31</v>
      </c>
      <c r="F1116">
        <v>5</v>
      </c>
      <c r="G1116">
        <v>432.14</v>
      </c>
      <c r="H1116">
        <v>2160.6999999999998</v>
      </c>
      <c r="I1116" t="s">
        <v>22</v>
      </c>
      <c r="J1116" t="str">
        <f t="shared" si="17"/>
        <v>Repeat Customer</v>
      </c>
    </row>
    <row r="1117" spans="1:10" x14ac:dyDescent="0.25">
      <c r="A1117">
        <v>11139</v>
      </c>
      <c r="B1117" t="s">
        <v>176</v>
      </c>
      <c r="C1117" s="1">
        <v>45997</v>
      </c>
      <c r="D1117" t="s">
        <v>21</v>
      </c>
      <c r="E1117" t="s">
        <v>25</v>
      </c>
      <c r="F1117">
        <v>8</v>
      </c>
      <c r="G1117">
        <v>367.2</v>
      </c>
      <c r="H1117">
        <v>2937.6</v>
      </c>
      <c r="I1117" t="s">
        <v>14</v>
      </c>
      <c r="J1117" t="str">
        <f t="shared" si="17"/>
        <v>Repeat Customer</v>
      </c>
    </row>
    <row r="1118" spans="1:10" x14ac:dyDescent="0.25">
      <c r="A1118">
        <v>11210</v>
      </c>
      <c r="B1118" t="s">
        <v>176</v>
      </c>
      <c r="C1118" s="1">
        <v>45491</v>
      </c>
      <c r="D1118" t="s">
        <v>16</v>
      </c>
      <c r="E1118" t="s">
        <v>11</v>
      </c>
      <c r="F1118">
        <v>10</v>
      </c>
      <c r="G1118">
        <v>456.79</v>
      </c>
      <c r="H1118">
        <v>4567.8999999999996</v>
      </c>
      <c r="I1118" t="s">
        <v>12</v>
      </c>
      <c r="J1118" t="str">
        <f t="shared" si="17"/>
        <v>Repeat Customer</v>
      </c>
    </row>
    <row r="1119" spans="1:10" x14ac:dyDescent="0.25">
      <c r="A1119">
        <v>10049</v>
      </c>
      <c r="B1119" t="s">
        <v>62</v>
      </c>
      <c r="C1119" s="1">
        <v>45856</v>
      </c>
      <c r="D1119" t="s">
        <v>24</v>
      </c>
      <c r="E1119" t="s">
        <v>11</v>
      </c>
      <c r="F1119">
        <v>7</v>
      </c>
      <c r="G1119">
        <v>282.64999999999998</v>
      </c>
      <c r="H1119">
        <v>1978.55</v>
      </c>
      <c r="I1119" t="s">
        <v>14</v>
      </c>
      <c r="J1119" t="str">
        <f t="shared" si="17"/>
        <v>Repeat Customer</v>
      </c>
    </row>
    <row r="1120" spans="1:10" x14ac:dyDescent="0.25">
      <c r="A1120">
        <v>10125</v>
      </c>
      <c r="B1120" t="s">
        <v>62</v>
      </c>
      <c r="C1120" s="1">
        <v>45344</v>
      </c>
      <c r="D1120" t="s">
        <v>10</v>
      </c>
      <c r="E1120" t="s">
        <v>19</v>
      </c>
      <c r="F1120">
        <v>4</v>
      </c>
      <c r="G1120">
        <v>137.19</v>
      </c>
      <c r="H1120">
        <v>548.76</v>
      </c>
      <c r="I1120" t="s">
        <v>32</v>
      </c>
      <c r="J1120" t="str">
        <f t="shared" si="17"/>
        <v>Repeat Customer</v>
      </c>
    </row>
    <row r="1121" spans="1:10" x14ac:dyDescent="0.25">
      <c r="A1121">
        <v>10715</v>
      </c>
      <c r="B1121" t="s">
        <v>62</v>
      </c>
      <c r="C1121" s="1">
        <v>45545</v>
      </c>
      <c r="D1121" t="s">
        <v>24</v>
      </c>
      <c r="E1121" t="s">
        <v>25</v>
      </c>
      <c r="F1121">
        <v>1</v>
      </c>
      <c r="G1121">
        <v>103.59</v>
      </c>
      <c r="H1121">
        <v>103.59</v>
      </c>
      <c r="I1121" t="s">
        <v>32</v>
      </c>
      <c r="J1121" t="str">
        <f t="shared" si="17"/>
        <v>Repeat Customer</v>
      </c>
    </row>
    <row r="1122" spans="1:10" x14ac:dyDescent="0.25">
      <c r="A1122">
        <v>10777</v>
      </c>
      <c r="B1122" t="s">
        <v>62</v>
      </c>
      <c r="C1122" s="1">
        <v>45944</v>
      </c>
      <c r="D1122" t="s">
        <v>10</v>
      </c>
      <c r="E1122" t="s">
        <v>11</v>
      </c>
      <c r="F1122">
        <v>5</v>
      </c>
      <c r="G1122">
        <v>80.22</v>
      </c>
      <c r="H1122">
        <v>401.1</v>
      </c>
      <c r="I1122" t="s">
        <v>14</v>
      </c>
      <c r="J1122" t="str">
        <f t="shared" si="17"/>
        <v>Repeat Customer</v>
      </c>
    </row>
    <row r="1123" spans="1:10" x14ac:dyDescent="0.25">
      <c r="A1123">
        <v>10798</v>
      </c>
      <c r="B1123" t="s">
        <v>62</v>
      </c>
      <c r="C1123" s="1">
        <v>45373</v>
      </c>
      <c r="D1123" t="s">
        <v>10</v>
      </c>
      <c r="E1123" t="s">
        <v>19</v>
      </c>
      <c r="F1123">
        <v>10</v>
      </c>
      <c r="G1123">
        <v>302.05</v>
      </c>
      <c r="H1123">
        <v>3020.5</v>
      </c>
      <c r="I1123" t="s">
        <v>14</v>
      </c>
      <c r="J1123" t="str">
        <f t="shared" si="17"/>
        <v>Repeat Customer</v>
      </c>
    </row>
    <row r="1124" spans="1:10" x14ac:dyDescent="0.25">
      <c r="A1124">
        <v>10886</v>
      </c>
      <c r="B1124" t="s">
        <v>62</v>
      </c>
      <c r="C1124" s="1">
        <v>45557</v>
      </c>
      <c r="D1124" t="s">
        <v>24</v>
      </c>
      <c r="E1124" t="s">
        <v>19</v>
      </c>
      <c r="F1124">
        <v>2</v>
      </c>
      <c r="G1124">
        <v>22.26</v>
      </c>
      <c r="H1124">
        <v>44.52</v>
      </c>
      <c r="I1124" t="s">
        <v>32</v>
      </c>
      <c r="J1124" t="str">
        <f t="shared" si="17"/>
        <v>Repeat Customer</v>
      </c>
    </row>
    <row r="1125" spans="1:10" x14ac:dyDescent="0.25">
      <c r="A1125">
        <v>11041</v>
      </c>
      <c r="B1125" t="s">
        <v>62</v>
      </c>
      <c r="C1125" s="1">
        <v>45689</v>
      </c>
      <c r="D1125" t="s">
        <v>21</v>
      </c>
      <c r="E1125" t="s">
        <v>19</v>
      </c>
      <c r="F1125">
        <v>1</v>
      </c>
      <c r="G1125">
        <v>455.35</v>
      </c>
      <c r="H1125">
        <v>455.35</v>
      </c>
      <c r="I1125" t="s">
        <v>22</v>
      </c>
      <c r="J1125" t="str">
        <f t="shared" si="17"/>
        <v>Repeat Customer</v>
      </c>
    </row>
    <row r="1126" spans="1:10" x14ac:dyDescent="0.25">
      <c r="A1126">
        <v>11117</v>
      </c>
      <c r="B1126" t="s">
        <v>62</v>
      </c>
      <c r="C1126" s="1">
        <v>45810</v>
      </c>
      <c r="D1126" t="s">
        <v>24</v>
      </c>
      <c r="E1126" t="s">
        <v>25</v>
      </c>
      <c r="F1126">
        <v>8</v>
      </c>
      <c r="G1126">
        <v>367.61</v>
      </c>
      <c r="H1126">
        <v>2940.88</v>
      </c>
      <c r="I1126" t="s">
        <v>22</v>
      </c>
      <c r="J1126" t="str">
        <f t="shared" si="17"/>
        <v>Repeat Customer</v>
      </c>
    </row>
    <row r="1127" spans="1:10" x14ac:dyDescent="0.25">
      <c r="A1127">
        <v>11227</v>
      </c>
      <c r="B1127" t="s">
        <v>62</v>
      </c>
      <c r="C1127" s="1">
        <v>45531</v>
      </c>
      <c r="D1127" t="s">
        <v>16</v>
      </c>
      <c r="E1127" t="s">
        <v>11</v>
      </c>
      <c r="F1127">
        <v>5</v>
      </c>
      <c r="G1127">
        <v>324.45</v>
      </c>
      <c r="H1127">
        <v>1622.25</v>
      </c>
      <c r="I1127" t="s">
        <v>22</v>
      </c>
      <c r="J1127" t="str">
        <f t="shared" si="17"/>
        <v>Repeat Customer</v>
      </c>
    </row>
    <row r="1128" spans="1:10" x14ac:dyDescent="0.25">
      <c r="A1128">
        <v>11262</v>
      </c>
      <c r="B1128" t="s">
        <v>62</v>
      </c>
      <c r="C1128" s="1">
        <v>46005</v>
      </c>
      <c r="D1128" t="s">
        <v>18</v>
      </c>
      <c r="E1128" t="s">
        <v>11</v>
      </c>
      <c r="F1128">
        <v>1</v>
      </c>
      <c r="G1128">
        <v>419.07</v>
      </c>
      <c r="H1128">
        <v>419.07</v>
      </c>
      <c r="I1128" t="s">
        <v>32</v>
      </c>
      <c r="J1128" t="str">
        <f t="shared" si="17"/>
        <v>Repeat Customer</v>
      </c>
    </row>
    <row r="1129" spans="1:10" x14ac:dyDescent="0.25">
      <c r="A1129">
        <v>10245</v>
      </c>
      <c r="B1129" t="s">
        <v>180</v>
      </c>
      <c r="C1129" s="1">
        <v>45370</v>
      </c>
      <c r="D1129" t="s">
        <v>16</v>
      </c>
      <c r="E1129" t="s">
        <v>31</v>
      </c>
      <c r="F1129">
        <v>10</v>
      </c>
      <c r="G1129">
        <v>73.16</v>
      </c>
      <c r="H1129">
        <v>731.6</v>
      </c>
      <c r="I1129" t="s">
        <v>22</v>
      </c>
      <c r="J1129" t="str">
        <f t="shared" si="17"/>
        <v>Repeat Customer</v>
      </c>
    </row>
    <row r="1130" spans="1:10" x14ac:dyDescent="0.25">
      <c r="A1130">
        <v>10249</v>
      </c>
      <c r="B1130" t="s">
        <v>180</v>
      </c>
      <c r="C1130" s="1">
        <v>45381</v>
      </c>
      <c r="D1130" t="s">
        <v>24</v>
      </c>
      <c r="E1130" t="s">
        <v>19</v>
      </c>
      <c r="F1130">
        <v>6</v>
      </c>
      <c r="G1130">
        <v>335.58</v>
      </c>
      <c r="H1130">
        <v>2013.48</v>
      </c>
      <c r="I1130" t="s">
        <v>22</v>
      </c>
      <c r="J1130" t="str">
        <f t="shared" si="17"/>
        <v>Repeat Customer</v>
      </c>
    </row>
    <row r="1131" spans="1:10" x14ac:dyDescent="0.25">
      <c r="A1131">
        <v>10995</v>
      </c>
      <c r="B1131" t="s">
        <v>180</v>
      </c>
      <c r="C1131" s="1">
        <v>45523</v>
      </c>
      <c r="D1131" t="s">
        <v>21</v>
      </c>
      <c r="E1131" t="s">
        <v>25</v>
      </c>
      <c r="F1131">
        <v>9</v>
      </c>
      <c r="G1131">
        <v>206.6</v>
      </c>
      <c r="H1131">
        <v>1859.4</v>
      </c>
      <c r="I1131" t="s">
        <v>12</v>
      </c>
      <c r="J1131" t="str">
        <f t="shared" si="17"/>
        <v>Repeat Customer</v>
      </c>
    </row>
    <row r="1132" spans="1:10" x14ac:dyDescent="0.25">
      <c r="A1132">
        <v>10132</v>
      </c>
      <c r="B1132" t="s">
        <v>123</v>
      </c>
      <c r="C1132" s="1">
        <v>45843</v>
      </c>
      <c r="D1132" t="s">
        <v>18</v>
      </c>
      <c r="E1132" t="s">
        <v>31</v>
      </c>
      <c r="F1132">
        <v>8</v>
      </c>
      <c r="G1132">
        <v>175.84</v>
      </c>
      <c r="H1132">
        <v>1406.72</v>
      </c>
      <c r="I1132" t="s">
        <v>32</v>
      </c>
      <c r="J1132" t="str">
        <f t="shared" si="17"/>
        <v>Repeat Customer</v>
      </c>
    </row>
    <row r="1133" spans="1:10" x14ac:dyDescent="0.25">
      <c r="A1133">
        <v>10240</v>
      </c>
      <c r="B1133" t="s">
        <v>123</v>
      </c>
      <c r="C1133" s="1">
        <v>45909</v>
      </c>
      <c r="D1133" t="s">
        <v>21</v>
      </c>
      <c r="E1133" t="s">
        <v>19</v>
      </c>
      <c r="F1133">
        <v>7</v>
      </c>
      <c r="G1133">
        <v>87.49</v>
      </c>
      <c r="H1133">
        <v>612.42999999999995</v>
      </c>
      <c r="I1133" t="s">
        <v>32</v>
      </c>
      <c r="J1133" t="str">
        <f t="shared" si="17"/>
        <v>Repeat Customer</v>
      </c>
    </row>
    <row r="1134" spans="1:10" x14ac:dyDescent="0.25">
      <c r="A1134">
        <v>10377</v>
      </c>
      <c r="B1134" t="s">
        <v>123</v>
      </c>
      <c r="C1134" s="1">
        <v>45675</v>
      </c>
      <c r="D1134" t="s">
        <v>18</v>
      </c>
      <c r="E1134" t="s">
        <v>25</v>
      </c>
      <c r="F1134">
        <v>7</v>
      </c>
      <c r="G1134">
        <v>234.22</v>
      </c>
      <c r="H1134">
        <v>1639.54</v>
      </c>
      <c r="I1134" t="s">
        <v>22</v>
      </c>
      <c r="J1134" t="str">
        <f t="shared" si="17"/>
        <v>Repeat Customer</v>
      </c>
    </row>
    <row r="1135" spans="1:10" x14ac:dyDescent="0.25">
      <c r="A1135">
        <v>10620</v>
      </c>
      <c r="B1135" t="s">
        <v>123</v>
      </c>
      <c r="C1135" s="1">
        <v>45659</v>
      </c>
      <c r="D1135" t="s">
        <v>24</v>
      </c>
      <c r="E1135" t="s">
        <v>25</v>
      </c>
      <c r="F1135">
        <v>5</v>
      </c>
      <c r="G1135">
        <v>246.05</v>
      </c>
      <c r="H1135">
        <v>1230.25</v>
      </c>
      <c r="I1135" t="s">
        <v>12</v>
      </c>
      <c r="J1135" t="str">
        <f t="shared" si="17"/>
        <v>Repeat Customer</v>
      </c>
    </row>
    <row r="1136" spans="1:10" x14ac:dyDescent="0.25">
      <c r="A1136">
        <v>11082</v>
      </c>
      <c r="B1136" t="s">
        <v>123</v>
      </c>
      <c r="C1136" s="1">
        <v>45689</v>
      </c>
      <c r="D1136" t="s">
        <v>18</v>
      </c>
      <c r="E1136" t="s">
        <v>31</v>
      </c>
      <c r="F1136">
        <v>8</v>
      </c>
      <c r="G1136">
        <v>137.9</v>
      </c>
      <c r="H1136">
        <v>1103.2</v>
      </c>
      <c r="I1136" t="s">
        <v>12</v>
      </c>
      <c r="J1136" t="str">
        <f t="shared" si="17"/>
        <v>Repeat Customer</v>
      </c>
    </row>
    <row r="1137" spans="1:10" x14ac:dyDescent="0.25">
      <c r="A1137">
        <v>11192</v>
      </c>
      <c r="B1137" t="s">
        <v>123</v>
      </c>
      <c r="C1137" s="1">
        <v>45884</v>
      </c>
      <c r="D1137" t="s">
        <v>24</v>
      </c>
      <c r="E1137" t="s">
        <v>11</v>
      </c>
      <c r="F1137">
        <v>2</v>
      </c>
      <c r="G1137">
        <v>47.34</v>
      </c>
      <c r="H1137">
        <v>94.68</v>
      </c>
      <c r="I1137" t="s">
        <v>32</v>
      </c>
      <c r="J1137" t="str">
        <f t="shared" si="17"/>
        <v>Repeat Customer</v>
      </c>
    </row>
    <row r="1138" spans="1:10" x14ac:dyDescent="0.25">
      <c r="A1138">
        <v>11318</v>
      </c>
      <c r="B1138" t="s">
        <v>123</v>
      </c>
      <c r="C1138" s="1">
        <v>45410</v>
      </c>
      <c r="D1138" t="s">
        <v>10</v>
      </c>
      <c r="E1138" t="s">
        <v>25</v>
      </c>
      <c r="F1138">
        <v>8</v>
      </c>
      <c r="G1138">
        <v>333.01</v>
      </c>
      <c r="H1138">
        <v>2664.08</v>
      </c>
      <c r="I1138" t="s">
        <v>14</v>
      </c>
      <c r="J1138" t="str">
        <f t="shared" si="17"/>
        <v>Repeat Customer</v>
      </c>
    </row>
    <row r="1139" spans="1:10" x14ac:dyDescent="0.25">
      <c r="A1139">
        <v>10216</v>
      </c>
      <c r="B1139" t="s">
        <v>168</v>
      </c>
      <c r="C1139" s="1">
        <v>45531</v>
      </c>
      <c r="D1139" t="s">
        <v>21</v>
      </c>
      <c r="E1139" t="s">
        <v>25</v>
      </c>
      <c r="F1139">
        <v>9</v>
      </c>
      <c r="G1139">
        <v>123.39</v>
      </c>
      <c r="H1139">
        <v>1110.51</v>
      </c>
      <c r="I1139" t="s">
        <v>22</v>
      </c>
      <c r="J1139" t="str">
        <f t="shared" si="17"/>
        <v>Repeat Customer</v>
      </c>
    </row>
    <row r="1140" spans="1:10" x14ac:dyDescent="0.25">
      <c r="A1140">
        <v>10224</v>
      </c>
      <c r="B1140" t="s">
        <v>168</v>
      </c>
      <c r="C1140" s="1">
        <v>45922</v>
      </c>
      <c r="D1140" t="s">
        <v>24</v>
      </c>
      <c r="E1140" t="s">
        <v>19</v>
      </c>
      <c r="F1140">
        <v>1</v>
      </c>
      <c r="G1140">
        <v>453.4</v>
      </c>
      <c r="H1140">
        <v>453.4</v>
      </c>
      <c r="I1140" t="s">
        <v>14</v>
      </c>
      <c r="J1140" t="str">
        <f t="shared" si="17"/>
        <v>Repeat Customer</v>
      </c>
    </row>
    <row r="1141" spans="1:10" x14ac:dyDescent="0.25">
      <c r="A1141">
        <v>10315</v>
      </c>
      <c r="B1141" t="s">
        <v>168</v>
      </c>
      <c r="C1141" s="1">
        <v>45678</v>
      </c>
      <c r="D1141" t="s">
        <v>18</v>
      </c>
      <c r="E1141" t="s">
        <v>25</v>
      </c>
      <c r="F1141">
        <v>7</v>
      </c>
      <c r="G1141">
        <v>44.72</v>
      </c>
      <c r="H1141">
        <v>313.04000000000002</v>
      </c>
      <c r="I1141" t="s">
        <v>22</v>
      </c>
      <c r="J1141" t="str">
        <f t="shared" si="17"/>
        <v>Repeat Customer</v>
      </c>
    </row>
    <row r="1142" spans="1:10" x14ac:dyDescent="0.25">
      <c r="A1142">
        <v>10498</v>
      </c>
      <c r="B1142" t="s">
        <v>168</v>
      </c>
      <c r="C1142" s="1">
        <v>45469</v>
      </c>
      <c r="D1142" t="s">
        <v>10</v>
      </c>
      <c r="E1142" t="s">
        <v>25</v>
      </c>
      <c r="F1142">
        <v>3</v>
      </c>
      <c r="G1142">
        <v>486.22</v>
      </c>
      <c r="H1142">
        <v>1458.66</v>
      </c>
      <c r="I1142" t="s">
        <v>12</v>
      </c>
      <c r="J1142" t="str">
        <f t="shared" si="17"/>
        <v>Repeat Customer</v>
      </c>
    </row>
    <row r="1143" spans="1:10" x14ac:dyDescent="0.25">
      <c r="A1143">
        <v>11409</v>
      </c>
      <c r="B1143" t="s">
        <v>168</v>
      </c>
      <c r="C1143" s="1">
        <v>45936</v>
      </c>
      <c r="D1143" t="s">
        <v>24</v>
      </c>
      <c r="E1143" t="s">
        <v>31</v>
      </c>
      <c r="F1143">
        <v>2</v>
      </c>
      <c r="G1143">
        <v>455.87</v>
      </c>
      <c r="H1143">
        <v>911.74</v>
      </c>
      <c r="I1143" t="s">
        <v>32</v>
      </c>
      <c r="J1143" t="str">
        <f t="shared" si="17"/>
        <v>Repeat Customer</v>
      </c>
    </row>
    <row r="1144" spans="1:10" x14ac:dyDescent="0.25">
      <c r="A1144">
        <v>10221</v>
      </c>
      <c r="B1144" t="s">
        <v>171</v>
      </c>
      <c r="C1144" s="1">
        <v>45649</v>
      </c>
      <c r="D1144" t="s">
        <v>21</v>
      </c>
      <c r="E1144" t="s">
        <v>19</v>
      </c>
      <c r="F1144">
        <v>1</v>
      </c>
      <c r="G1144">
        <v>210.37</v>
      </c>
      <c r="H1144">
        <v>210.37</v>
      </c>
      <c r="I1144" t="s">
        <v>14</v>
      </c>
      <c r="J1144" t="str">
        <f t="shared" si="17"/>
        <v>Repeat Customer</v>
      </c>
    </row>
    <row r="1145" spans="1:10" x14ac:dyDescent="0.25">
      <c r="A1145">
        <v>10686</v>
      </c>
      <c r="B1145" t="s">
        <v>171</v>
      </c>
      <c r="C1145" s="1">
        <v>45634</v>
      </c>
      <c r="D1145" t="s">
        <v>18</v>
      </c>
      <c r="E1145" t="s">
        <v>19</v>
      </c>
      <c r="F1145">
        <v>5</v>
      </c>
      <c r="G1145">
        <v>183.68</v>
      </c>
      <c r="H1145">
        <v>918.4</v>
      </c>
      <c r="I1145" t="s">
        <v>22</v>
      </c>
      <c r="J1145" t="str">
        <f t="shared" si="17"/>
        <v>Repeat Customer</v>
      </c>
    </row>
    <row r="1146" spans="1:10" x14ac:dyDescent="0.25">
      <c r="A1146">
        <v>10570</v>
      </c>
      <c r="B1146" t="s">
        <v>267</v>
      </c>
      <c r="C1146" s="1">
        <v>45408</v>
      </c>
      <c r="D1146" t="s">
        <v>10</v>
      </c>
      <c r="E1146" t="s">
        <v>11</v>
      </c>
      <c r="F1146">
        <v>2</v>
      </c>
      <c r="G1146">
        <v>380.86</v>
      </c>
      <c r="H1146">
        <v>761.72</v>
      </c>
      <c r="I1146" t="s">
        <v>22</v>
      </c>
      <c r="J1146" t="str">
        <f t="shared" si="17"/>
        <v>Repeat Customer</v>
      </c>
    </row>
    <row r="1147" spans="1:10" x14ac:dyDescent="0.25">
      <c r="A1147">
        <v>10742</v>
      </c>
      <c r="B1147" t="s">
        <v>267</v>
      </c>
      <c r="C1147" s="1">
        <v>45750</v>
      </c>
      <c r="D1147" t="s">
        <v>24</v>
      </c>
      <c r="E1147" t="s">
        <v>19</v>
      </c>
      <c r="F1147">
        <v>7</v>
      </c>
      <c r="G1147">
        <v>5.0999999999999996</v>
      </c>
      <c r="H1147">
        <v>35.700000000000003</v>
      </c>
      <c r="I1147" t="s">
        <v>12</v>
      </c>
      <c r="J1147" t="str">
        <f t="shared" si="17"/>
        <v>Repeat Customer</v>
      </c>
    </row>
    <row r="1148" spans="1:10" x14ac:dyDescent="0.25">
      <c r="A1148">
        <v>10785</v>
      </c>
      <c r="B1148" t="s">
        <v>267</v>
      </c>
      <c r="C1148" s="1">
        <v>45759</v>
      </c>
      <c r="D1148" t="s">
        <v>10</v>
      </c>
      <c r="E1148" t="s">
        <v>31</v>
      </c>
      <c r="F1148">
        <v>1</v>
      </c>
      <c r="G1148">
        <v>439.5</v>
      </c>
      <c r="H1148">
        <v>439.5</v>
      </c>
      <c r="I1148" t="s">
        <v>12</v>
      </c>
      <c r="J1148" t="str">
        <f t="shared" si="17"/>
        <v>Repeat Customer</v>
      </c>
    </row>
    <row r="1149" spans="1:10" x14ac:dyDescent="0.25">
      <c r="A1149">
        <v>10789</v>
      </c>
      <c r="B1149" t="s">
        <v>267</v>
      </c>
      <c r="C1149" s="1">
        <v>45384</v>
      </c>
      <c r="D1149" t="s">
        <v>18</v>
      </c>
      <c r="E1149" t="s">
        <v>25</v>
      </c>
      <c r="F1149">
        <v>9</v>
      </c>
      <c r="G1149">
        <v>61.02</v>
      </c>
      <c r="H1149">
        <v>549.17999999999995</v>
      </c>
      <c r="I1149" t="s">
        <v>32</v>
      </c>
      <c r="J1149" t="str">
        <f t="shared" si="17"/>
        <v>Repeat Customer</v>
      </c>
    </row>
    <row r="1150" spans="1:10" x14ac:dyDescent="0.25">
      <c r="A1150">
        <v>11172</v>
      </c>
      <c r="B1150" t="s">
        <v>267</v>
      </c>
      <c r="C1150" s="1">
        <v>45571</v>
      </c>
      <c r="D1150" t="s">
        <v>16</v>
      </c>
      <c r="E1150" t="s">
        <v>19</v>
      </c>
      <c r="F1150">
        <v>4</v>
      </c>
      <c r="G1150">
        <v>332.83</v>
      </c>
      <c r="H1150">
        <v>1331.32</v>
      </c>
      <c r="I1150" t="s">
        <v>14</v>
      </c>
      <c r="J1150" t="str">
        <f t="shared" si="17"/>
        <v>Repeat Customer</v>
      </c>
    </row>
    <row r="1151" spans="1:10" x14ac:dyDescent="0.25">
      <c r="A1151">
        <v>10101</v>
      </c>
      <c r="B1151" t="s">
        <v>101</v>
      </c>
      <c r="C1151" s="1">
        <v>45569</v>
      </c>
      <c r="D1151" t="s">
        <v>24</v>
      </c>
      <c r="E1151" t="s">
        <v>25</v>
      </c>
      <c r="F1151">
        <v>5</v>
      </c>
      <c r="G1151">
        <v>129.44</v>
      </c>
      <c r="H1151">
        <v>647.20000000000005</v>
      </c>
      <c r="I1151" t="s">
        <v>22</v>
      </c>
      <c r="J1151" t="str">
        <f t="shared" si="17"/>
        <v>Repeat Customer</v>
      </c>
    </row>
    <row r="1152" spans="1:10" x14ac:dyDescent="0.25">
      <c r="A1152">
        <v>10123</v>
      </c>
      <c r="B1152" t="s">
        <v>101</v>
      </c>
      <c r="C1152" s="1">
        <v>45382</v>
      </c>
      <c r="D1152" t="s">
        <v>24</v>
      </c>
      <c r="E1152" t="s">
        <v>31</v>
      </c>
      <c r="F1152">
        <v>6</v>
      </c>
      <c r="G1152">
        <v>129.94</v>
      </c>
      <c r="H1152">
        <v>779.64</v>
      </c>
      <c r="I1152" t="s">
        <v>12</v>
      </c>
      <c r="J1152" t="str">
        <f t="shared" si="17"/>
        <v>Repeat Customer</v>
      </c>
    </row>
    <row r="1153" spans="1:10" x14ac:dyDescent="0.25">
      <c r="A1153">
        <v>10164</v>
      </c>
      <c r="B1153" t="s">
        <v>101</v>
      </c>
      <c r="C1153" s="1">
        <v>45385</v>
      </c>
      <c r="D1153" t="s">
        <v>18</v>
      </c>
      <c r="E1153" t="s">
        <v>11</v>
      </c>
      <c r="F1153">
        <v>4</v>
      </c>
      <c r="G1153">
        <v>322.64</v>
      </c>
      <c r="H1153">
        <v>1290.56</v>
      </c>
      <c r="I1153" t="s">
        <v>12</v>
      </c>
      <c r="J1153" t="str">
        <f t="shared" si="17"/>
        <v>Repeat Customer</v>
      </c>
    </row>
    <row r="1154" spans="1:10" x14ac:dyDescent="0.25">
      <c r="A1154">
        <v>10176</v>
      </c>
      <c r="B1154" t="s">
        <v>101</v>
      </c>
      <c r="C1154" s="1">
        <v>45700</v>
      </c>
      <c r="D1154" t="s">
        <v>16</v>
      </c>
      <c r="E1154" t="s">
        <v>31</v>
      </c>
      <c r="F1154">
        <v>7</v>
      </c>
      <c r="G1154">
        <v>366.16</v>
      </c>
      <c r="H1154">
        <v>2563.12</v>
      </c>
      <c r="I1154" t="s">
        <v>22</v>
      </c>
      <c r="J1154" t="str">
        <f t="shared" ref="J1154:J1217" si="18">IF(COUNTIF($B:$B,B1154)&gt;1,"Repeat Customer","New Customer")</f>
        <v>Repeat Customer</v>
      </c>
    </row>
    <row r="1155" spans="1:10" x14ac:dyDescent="0.25">
      <c r="A1155">
        <v>10306</v>
      </c>
      <c r="B1155" t="s">
        <v>101</v>
      </c>
      <c r="C1155" s="1">
        <v>45912</v>
      </c>
      <c r="D1155" t="s">
        <v>18</v>
      </c>
      <c r="E1155" t="s">
        <v>31</v>
      </c>
      <c r="F1155">
        <v>6</v>
      </c>
      <c r="G1155">
        <v>210.84</v>
      </c>
      <c r="H1155">
        <v>1265.04</v>
      </c>
      <c r="I1155" t="s">
        <v>14</v>
      </c>
      <c r="J1155" t="str">
        <f t="shared" si="18"/>
        <v>Repeat Customer</v>
      </c>
    </row>
    <row r="1156" spans="1:10" x14ac:dyDescent="0.25">
      <c r="A1156">
        <v>11001</v>
      </c>
      <c r="B1156" t="s">
        <v>101</v>
      </c>
      <c r="C1156" s="1">
        <v>45402</v>
      </c>
      <c r="D1156" t="s">
        <v>21</v>
      </c>
      <c r="E1156" t="s">
        <v>25</v>
      </c>
      <c r="F1156">
        <v>2</v>
      </c>
      <c r="G1156">
        <v>129.09</v>
      </c>
      <c r="H1156">
        <v>258.18</v>
      </c>
      <c r="I1156" t="s">
        <v>14</v>
      </c>
      <c r="J1156" t="str">
        <f t="shared" si="18"/>
        <v>Repeat Customer</v>
      </c>
    </row>
    <row r="1157" spans="1:10" x14ac:dyDescent="0.25">
      <c r="A1157">
        <v>11091</v>
      </c>
      <c r="B1157" t="s">
        <v>101</v>
      </c>
      <c r="C1157" s="1">
        <v>45978</v>
      </c>
      <c r="D1157" t="s">
        <v>16</v>
      </c>
      <c r="E1157" t="s">
        <v>19</v>
      </c>
      <c r="F1157">
        <v>8</v>
      </c>
      <c r="G1157">
        <v>313.79000000000002</v>
      </c>
      <c r="H1157">
        <v>2510.3200000000002</v>
      </c>
      <c r="I1157" t="s">
        <v>14</v>
      </c>
      <c r="J1157" t="str">
        <f t="shared" si="18"/>
        <v>Repeat Customer</v>
      </c>
    </row>
    <row r="1158" spans="1:10" x14ac:dyDescent="0.25">
      <c r="A1158">
        <v>11196</v>
      </c>
      <c r="B1158" t="s">
        <v>101</v>
      </c>
      <c r="C1158" s="1">
        <v>45685</v>
      </c>
      <c r="D1158" t="s">
        <v>18</v>
      </c>
      <c r="E1158" t="s">
        <v>11</v>
      </c>
      <c r="F1158">
        <v>8</v>
      </c>
      <c r="G1158">
        <v>398.61</v>
      </c>
      <c r="H1158">
        <v>3188.88</v>
      </c>
      <c r="I1158" t="s">
        <v>22</v>
      </c>
      <c r="J1158" t="str">
        <f t="shared" si="18"/>
        <v>Repeat Customer</v>
      </c>
    </row>
    <row r="1159" spans="1:10" x14ac:dyDescent="0.25">
      <c r="A1159">
        <v>11472</v>
      </c>
      <c r="B1159" t="s">
        <v>101</v>
      </c>
      <c r="C1159" s="1">
        <v>45613</v>
      </c>
      <c r="D1159" t="s">
        <v>10</v>
      </c>
      <c r="E1159" t="s">
        <v>11</v>
      </c>
      <c r="F1159">
        <v>3</v>
      </c>
      <c r="G1159">
        <v>467.36</v>
      </c>
      <c r="H1159">
        <v>1402.08</v>
      </c>
      <c r="I1159" t="s">
        <v>22</v>
      </c>
      <c r="J1159" t="str">
        <f t="shared" si="18"/>
        <v>Repeat Customer</v>
      </c>
    </row>
    <row r="1160" spans="1:10" x14ac:dyDescent="0.25">
      <c r="A1160">
        <v>10435</v>
      </c>
      <c r="B1160" t="s">
        <v>237</v>
      </c>
      <c r="C1160" s="1">
        <v>45815</v>
      </c>
      <c r="D1160" t="s">
        <v>18</v>
      </c>
      <c r="E1160" t="s">
        <v>25</v>
      </c>
      <c r="F1160">
        <v>6</v>
      </c>
      <c r="G1160">
        <v>32.44</v>
      </c>
      <c r="H1160">
        <v>194.64</v>
      </c>
      <c r="I1160" t="s">
        <v>22</v>
      </c>
      <c r="J1160" t="str">
        <f t="shared" si="18"/>
        <v>Repeat Customer</v>
      </c>
    </row>
    <row r="1161" spans="1:10" x14ac:dyDescent="0.25">
      <c r="A1161">
        <v>10552</v>
      </c>
      <c r="B1161" t="s">
        <v>237</v>
      </c>
      <c r="C1161" s="1">
        <v>45595</v>
      </c>
      <c r="D1161" t="s">
        <v>24</v>
      </c>
      <c r="E1161" t="s">
        <v>25</v>
      </c>
      <c r="F1161">
        <v>5</v>
      </c>
      <c r="G1161">
        <v>234.82</v>
      </c>
      <c r="H1161">
        <v>1174.0999999999999</v>
      </c>
      <c r="I1161" t="s">
        <v>12</v>
      </c>
      <c r="J1161" t="str">
        <f t="shared" si="18"/>
        <v>Repeat Customer</v>
      </c>
    </row>
    <row r="1162" spans="1:10" x14ac:dyDescent="0.25">
      <c r="A1162">
        <v>10802</v>
      </c>
      <c r="B1162" t="s">
        <v>237</v>
      </c>
      <c r="C1162" s="1">
        <v>45884</v>
      </c>
      <c r="D1162" t="s">
        <v>24</v>
      </c>
      <c r="E1162" t="s">
        <v>19</v>
      </c>
      <c r="F1162">
        <v>6</v>
      </c>
      <c r="G1162">
        <v>466.08</v>
      </c>
      <c r="H1162">
        <v>2796.48</v>
      </c>
      <c r="I1162" t="s">
        <v>22</v>
      </c>
      <c r="J1162" t="str">
        <f t="shared" si="18"/>
        <v>Repeat Customer</v>
      </c>
    </row>
    <row r="1163" spans="1:10" x14ac:dyDescent="0.25">
      <c r="A1163">
        <v>10900</v>
      </c>
      <c r="B1163" t="s">
        <v>237</v>
      </c>
      <c r="C1163" s="1">
        <v>45917</v>
      </c>
      <c r="D1163" t="s">
        <v>24</v>
      </c>
      <c r="E1163" t="s">
        <v>11</v>
      </c>
      <c r="F1163">
        <v>3</v>
      </c>
      <c r="G1163">
        <v>418.5</v>
      </c>
      <c r="H1163">
        <v>1255.5</v>
      </c>
      <c r="I1163" t="s">
        <v>12</v>
      </c>
      <c r="J1163" t="str">
        <f t="shared" si="18"/>
        <v>Repeat Customer</v>
      </c>
    </row>
    <row r="1164" spans="1:10" x14ac:dyDescent="0.25">
      <c r="A1164">
        <v>11141</v>
      </c>
      <c r="B1164" t="s">
        <v>237</v>
      </c>
      <c r="C1164" s="1">
        <v>45776</v>
      </c>
      <c r="D1164" t="s">
        <v>18</v>
      </c>
      <c r="E1164" t="s">
        <v>19</v>
      </c>
      <c r="F1164">
        <v>1</v>
      </c>
      <c r="G1164">
        <v>374.52</v>
      </c>
      <c r="H1164">
        <v>374.52</v>
      </c>
      <c r="I1164" t="s">
        <v>12</v>
      </c>
      <c r="J1164" t="str">
        <f t="shared" si="18"/>
        <v>Repeat Customer</v>
      </c>
    </row>
    <row r="1165" spans="1:10" x14ac:dyDescent="0.25">
      <c r="A1165">
        <v>11296</v>
      </c>
      <c r="B1165" t="s">
        <v>237</v>
      </c>
      <c r="C1165" s="1">
        <v>45989</v>
      </c>
      <c r="D1165" t="s">
        <v>18</v>
      </c>
      <c r="E1165" t="s">
        <v>25</v>
      </c>
      <c r="F1165">
        <v>3</v>
      </c>
      <c r="G1165">
        <v>130.87</v>
      </c>
      <c r="H1165">
        <v>392.61</v>
      </c>
      <c r="I1165" t="s">
        <v>12</v>
      </c>
      <c r="J1165" t="str">
        <f t="shared" si="18"/>
        <v>Repeat Customer</v>
      </c>
    </row>
    <row r="1166" spans="1:10" x14ac:dyDescent="0.25">
      <c r="A1166">
        <v>11497</v>
      </c>
      <c r="B1166" t="s">
        <v>237</v>
      </c>
      <c r="C1166" s="1">
        <v>45715</v>
      </c>
      <c r="D1166" t="s">
        <v>18</v>
      </c>
      <c r="E1166" t="s">
        <v>31</v>
      </c>
      <c r="F1166">
        <v>7</v>
      </c>
      <c r="G1166">
        <v>179.11</v>
      </c>
      <c r="H1166">
        <v>1253.77</v>
      </c>
      <c r="I1166" t="s">
        <v>22</v>
      </c>
      <c r="J1166" t="str">
        <f t="shared" si="18"/>
        <v>Repeat Customer</v>
      </c>
    </row>
    <row r="1167" spans="1:10" x14ac:dyDescent="0.25">
      <c r="A1167">
        <v>10448</v>
      </c>
      <c r="B1167" t="s">
        <v>241</v>
      </c>
      <c r="C1167" s="1">
        <v>45378</v>
      </c>
      <c r="D1167" t="s">
        <v>10</v>
      </c>
      <c r="E1167" t="s">
        <v>31</v>
      </c>
      <c r="F1167">
        <v>10</v>
      </c>
      <c r="G1167">
        <v>52.31</v>
      </c>
      <c r="H1167">
        <v>523.1</v>
      </c>
      <c r="I1167" t="s">
        <v>12</v>
      </c>
      <c r="J1167" t="str">
        <f t="shared" si="18"/>
        <v>Repeat Customer</v>
      </c>
    </row>
    <row r="1168" spans="1:10" x14ac:dyDescent="0.25">
      <c r="A1168">
        <v>10575</v>
      </c>
      <c r="B1168" t="s">
        <v>241</v>
      </c>
      <c r="C1168" s="1">
        <v>45966</v>
      </c>
      <c r="D1168" t="s">
        <v>10</v>
      </c>
      <c r="E1168" t="s">
        <v>31</v>
      </c>
      <c r="F1168">
        <v>10</v>
      </c>
      <c r="G1168">
        <v>478.31</v>
      </c>
      <c r="H1168">
        <v>4783.1000000000004</v>
      </c>
      <c r="I1168" t="s">
        <v>12</v>
      </c>
      <c r="J1168" t="str">
        <f t="shared" si="18"/>
        <v>Repeat Customer</v>
      </c>
    </row>
    <row r="1169" spans="1:10" x14ac:dyDescent="0.25">
      <c r="A1169">
        <v>11369</v>
      </c>
      <c r="B1169" t="s">
        <v>241</v>
      </c>
      <c r="C1169" s="1">
        <v>45479</v>
      </c>
      <c r="D1169" t="s">
        <v>21</v>
      </c>
      <c r="E1169" t="s">
        <v>19</v>
      </c>
      <c r="F1169">
        <v>8</v>
      </c>
      <c r="G1169">
        <v>493.19</v>
      </c>
      <c r="H1169">
        <v>3945.52</v>
      </c>
      <c r="I1169" t="s">
        <v>22</v>
      </c>
      <c r="J1169" t="str">
        <f t="shared" si="18"/>
        <v>Repeat Customer</v>
      </c>
    </row>
    <row r="1170" spans="1:10" x14ac:dyDescent="0.25">
      <c r="A1170">
        <v>11492</v>
      </c>
      <c r="B1170" t="s">
        <v>241</v>
      </c>
      <c r="C1170" s="1">
        <v>45443</v>
      </c>
      <c r="D1170" t="s">
        <v>24</v>
      </c>
      <c r="E1170" t="s">
        <v>31</v>
      </c>
      <c r="F1170">
        <v>8</v>
      </c>
      <c r="G1170">
        <v>432.83</v>
      </c>
      <c r="H1170">
        <v>3462.64</v>
      </c>
      <c r="I1170" t="s">
        <v>22</v>
      </c>
      <c r="J1170" t="str">
        <f t="shared" si="18"/>
        <v>Repeat Customer</v>
      </c>
    </row>
    <row r="1171" spans="1:10" x14ac:dyDescent="0.25">
      <c r="A1171">
        <v>10006</v>
      </c>
      <c r="B1171" t="s">
        <v>20</v>
      </c>
      <c r="C1171" s="1">
        <v>45841</v>
      </c>
      <c r="D1171" t="s">
        <v>21</v>
      </c>
      <c r="E1171" t="s">
        <v>11</v>
      </c>
      <c r="F1171">
        <v>2</v>
      </c>
      <c r="G1171">
        <v>486.69</v>
      </c>
      <c r="H1171">
        <v>973.38</v>
      </c>
      <c r="I1171" t="s">
        <v>22</v>
      </c>
      <c r="J1171" t="str">
        <f t="shared" si="18"/>
        <v>Repeat Customer</v>
      </c>
    </row>
    <row r="1172" spans="1:10" x14ac:dyDescent="0.25">
      <c r="A1172">
        <v>10980</v>
      </c>
      <c r="B1172" t="s">
        <v>20</v>
      </c>
      <c r="C1172" s="1">
        <v>45370</v>
      </c>
      <c r="D1172" t="s">
        <v>24</v>
      </c>
      <c r="E1172" t="s">
        <v>31</v>
      </c>
      <c r="F1172">
        <v>2</v>
      </c>
      <c r="G1172">
        <v>410.33</v>
      </c>
      <c r="H1172">
        <v>820.66</v>
      </c>
      <c r="I1172" t="s">
        <v>22</v>
      </c>
      <c r="J1172" t="str">
        <f t="shared" si="18"/>
        <v>Repeat Customer</v>
      </c>
    </row>
    <row r="1173" spans="1:10" x14ac:dyDescent="0.25">
      <c r="A1173">
        <v>11173</v>
      </c>
      <c r="B1173" t="s">
        <v>20</v>
      </c>
      <c r="C1173" s="1">
        <v>45905</v>
      </c>
      <c r="D1173" t="s">
        <v>10</v>
      </c>
      <c r="E1173" t="s">
        <v>11</v>
      </c>
      <c r="F1173">
        <v>6</v>
      </c>
      <c r="G1173">
        <v>12.86</v>
      </c>
      <c r="H1173">
        <v>77.16</v>
      </c>
      <c r="I1173" t="s">
        <v>32</v>
      </c>
      <c r="J1173" t="str">
        <f t="shared" si="18"/>
        <v>Repeat Customer</v>
      </c>
    </row>
    <row r="1174" spans="1:10" x14ac:dyDescent="0.25">
      <c r="A1174">
        <v>11249</v>
      </c>
      <c r="B1174" t="s">
        <v>20</v>
      </c>
      <c r="C1174" s="1">
        <v>45765</v>
      </c>
      <c r="D1174" t="s">
        <v>24</v>
      </c>
      <c r="E1174" t="s">
        <v>19</v>
      </c>
      <c r="F1174">
        <v>10</v>
      </c>
      <c r="G1174">
        <v>24.35</v>
      </c>
      <c r="H1174">
        <v>243.5</v>
      </c>
      <c r="I1174" t="s">
        <v>32</v>
      </c>
      <c r="J1174" t="str">
        <f t="shared" si="18"/>
        <v>Repeat Customer</v>
      </c>
    </row>
    <row r="1175" spans="1:10" x14ac:dyDescent="0.25">
      <c r="A1175">
        <v>11448</v>
      </c>
      <c r="B1175" t="s">
        <v>20</v>
      </c>
      <c r="C1175" s="1">
        <v>45439</v>
      </c>
      <c r="D1175" t="s">
        <v>21</v>
      </c>
      <c r="E1175" t="s">
        <v>25</v>
      </c>
      <c r="F1175">
        <v>9</v>
      </c>
      <c r="G1175">
        <v>486.05</v>
      </c>
      <c r="H1175">
        <v>4374.45</v>
      </c>
      <c r="I1175" t="s">
        <v>14</v>
      </c>
      <c r="J1175" t="str">
        <f t="shared" si="18"/>
        <v>Repeat Customer</v>
      </c>
    </row>
    <row r="1176" spans="1:10" x14ac:dyDescent="0.25">
      <c r="A1176">
        <v>10128</v>
      </c>
      <c r="B1176" t="s">
        <v>120</v>
      </c>
      <c r="C1176" s="1">
        <v>45412</v>
      </c>
      <c r="D1176" t="s">
        <v>16</v>
      </c>
      <c r="E1176" t="s">
        <v>19</v>
      </c>
      <c r="F1176">
        <v>3</v>
      </c>
      <c r="G1176">
        <v>251.7</v>
      </c>
      <c r="H1176">
        <v>755.1</v>
      </c>
      <c r="I1176" t="s">
        <v>32</v>
      </c>
      <c r="J1176" t="str">
        <f t="shared" si="18"/>
        <v>Repeat Customer</v>
      </c>
    </row>
    <row r="1177" spans="1:10" x14ac:dyDescent="0.25">
      <c r="A1177">
        <v>10457</v>
      </c>
      <c r="B1177" t="s">
        <v>120</v>
      </c>
      <c r="C1177" s="1">
        <v>45396</v>
      </c>
      <c r="D1177" t="s">
        <v>24</v>
      </c>
      <c r="E1177" t="s">
        <v>25</v>
      </c>
      <c r="F1177">
        <v>3</v>
      </c>
      <c r="G1177">
        <v>65.12</v>
      </c>
      <c r="H1177">
        <v>195.36</v>
      </c>
      <c r="I1177" t="s">
        <v>14</v>
      </c>
      <c r="J1177" t="str">
        <f t="shared" si="18"/>
        <v>Repeat Customer</v>
      </c>
    </row>
    <row r="1178" spans="1:10" x14ac:dyDescent="0.25">
      <c r="A1178">
        <v>10875</v>
      </c>
      <c r="B1178" t="s">
        <v>120</v>
      </c>
      <c r="C1178" s="1">
        <v>45983</v>
      </c>
      <c r="D1178" t="s">
        <v>18</v>
      </c>
      <c r="E1178" t="s">
        <v>25</v>
      </c>
      <c r="F1178">
        <v>4</v>
      </c>
      <c r="G1178">
        <v>368.49</v>
      </c>
      <c r="H1178">
        <v>1473.96</v>
      </c>
      <c r="I1178" t="s">
        <v>22</v>
      </c>
      <c r="J1178" t="str">
        <f t="shared" si="18"/>
        <v>Repeat Customer</v>
      </c>
    </row>
    <row r="1179" spans="1:10" x14ac:dyDescent="0.25">
      <c r="A1179">
        <v>11256</v>
      </c>
      <c r="B1179" t="s">
        <v>120</v>
      </c>
      <c r="C1179" s="1">
        <v>45682</v>
      </c>
      <c r="D1179" t="s">
        <v>10</v>
      </c>
      <c r="E1179" t="s">
        <v>31</v>
      </c>
      <c r="F1179">
        <v>6</v>
      </c>
      <c r="G1179">
        <v>374.25</v>
      </c>
      <c r="H1179">
        <v>2245.5</v>
      </c>
      <c r="I1179" t="s">
        <v>12</v>
      </c>
      <c r="J1179" t="str">
        <f t="shared" si="18"/>
        <v>Repeat Customer</v>
      </c>
    </row>
    <row r="1180" spans="1:10" x14ac:dyDescent="0.25">
      <c r="A1180">
        <v>10443</v>
      </c>
      <c r="B1180" t="s">
        <v>239</v>
      </c>
      <c r="C1180" s="1">
        <v>45669</v>
      </c>
      <c r="D1180" t="s">
        <v>10</v>
      </c>
      <c r="E1180" t="s">
        <v>25</v>
      </c>
      <c r="F1180">
        <v>10</v>
      </c>
      <c r="G1180">
        <v>486.07</v>
      </c>
      <c r="H1180">
        <v>4860.7</v>
      </c>
      <c r="I1180" t="s">
        <v>14</v>
      </c>
      <c r="J1180" t="str">
        <f t="shared" si="18"/>
        <v>Repeat Customer</v>
      </c>
    </row>
    <row r="1181" spans="1:10" x14ac:dyDescent="0.25">
      <c r="A1181">
        <v>10513</v>
      </c>
      <c r="B1181" t="s">
        <v>239</v>
      </c>
      <c r="C1181" s="1">
        <v>45809</v>
      </c>
      <c r="D1181" t="s">
        <v>24</v>
      </c>
      <c r="E1181" t="s">
        <v>11</v>
      </c>
      <c r="F1181">
        <v>7</v>
      </c>
      <c r="G1181">
        <v>319.52999999999997</v>
      </c>
      <c r="H1181">
        <v>2236.71</v>
      </c>
      <c r="I1181" t="s">
        <v>14</v>
      </c>
      <c r="J1181" t="str">
        <f t="shared" si="18"/>
        <v>Repeat Customer</v>
      </c>
    </row>
    <row r="1182" spans="1:10" x14ac:dyDescent="0.25">
      <c r="A1182">
        <v>10625</v>
      </c>
      <c r="B1182" t="s">
        <v>239</v>
      </c>
      <c r="C1182" s="1">
        <v>45805</v>
      </c>
      <c r="D1182" t="s">
        <v>16</v>
      </c>
      <c r="E1182" t="s">
        <v>11</v>
      </c>
      <c r="F1182">
        <v>9</v>
      </c>
      <c r="G1182">
        <v>49.82</v>
      </c>
      <c r="H1182">
        <v>448.38</v>
      </c>
      <c r="I1182" t="s">
        <v>14</v>
      </c>
      <c r="J1182" t="str">
        <f t="shared" si="18"/>
        <v>Repeat Customer</v>
      </c>
    </row>
    <row r="1183" spans="1:10" x14ac:dyDescent="0.25">
      <c r="A1183">
        <v>10932</v>
      </c>
      <c r="B1183" t="s">
        <v>239</v>
      </c>
      <c r="C1183" s="1">
        <v>45433</v>
      </c>
      <c r="D1183" t="s">
        <v>16</v>
      </c>
      <c r="E1183" t="s">
        <v>31</v>
      </c>
      <c r="F1183">
        <v>7</v>
      </c>
      <c r="G1183">
        <v>96.55</v>
      </c>
      <c r="H1183">
        <v>675.85</v>
      </c>
      <c r="I1183" t="s">
        <v>12</v>
      </c>
      <c r="J1183" t="str">
        <f t="shared" si="18"/>
        <v>Repeat Customer</v>
      </c>
    </row>
    <row r="1184" spans="1:10" x14ac:dyDescent="0.25">
      <c r="A1184">
        <v>11163</v>
      </c>
      <c r="B1184" t="s">
        <v>239</v>
      </c>
      <c r="C1184" s="1">
        <v>45858</v>
      </c>
      <c r="D1184" t="s">
        <v>24</v>
      </c>
      <c r="E1184" t="s">
        <v>31</v>
      </c>
      <c r="F1184">
        <v>7</v>
      </c>
      <c r="G1184">
        <v>37.4</v>
      </c>
      <c r="H1184">
        <v>261.8</v>
      </c>
      <c r="I1184" t="s">
        <v>14</v>
      </c>
      <c r="J1184" t="str">
        <f t="shared" si="18"/>
        <v>Repeat Customer</v>
      </c>
    </row>
    <row r="1185" spans="1:10" x14ac:dyDescent="0.25">
      <c r="A1185">
        <v>10065</v>
      </c>
      <c r="B1185" t="s">
        <v>74</v>
      </c>
      <c r="C1185" s="1">
        <v>45744</v>
      </c>
      <c r="D1185" t="s">
        <v>18</v>
      </c>
      <c r="E1185" t="s">
        <v>31</v>
      </c>
      <c r="F1185">
        <v>8</v>
      </c>
      <c r="G1185">
        <v>339.44</v>
      </c>
      <c r="H1185">
        <v>2715.52</v>
      </c>
      <c r="I1185" t="s">
        <v>14</v>
      </c>
      <c r="J1185" t="str">
        <f t="shared" si="18"/>
        <v>Repeat Customer</v>
      </c>
    </row>
    <row r="1186" spans="1:10" x14ac:dyDescent="0.25">
      <c r="A1186">
        <v>10765</v>
      </c>
      <c r="B1186" t="s">
        <v>74</v>
      </c>
      <c r="C1186" s="1">
        <v>45962</v>
      </c>
      <c r="D1186" t="s">
        <v>16</v>
      </c>
      <c r="E1186" t="s">
        <v>19</v>
      </c>
      <c r="F1186">
        <v>1</v>
      </c>
      <c r="G1186">
        <v>37.97</v>
      </c>
      <c r="H1186">
        <v>37.97</v>
      </c>
      <c r="I1186" t="s">
        <v>12</v>
      </c>
      <c r="J1186" t="str">
        <f t="shared" si="18"/>
        <v>Repeat Customer</v>
      </c>
    </row>
    <row r="1187" spans="1:10" x14ac:dyDescent="0.25">
      <c r="A1187">
        <v>10809</v>
      </c>
      <c r="B1187" t="s">
        <v>74</v>
      </c>
      <c r="C1187" s="1">
        <v>45932</v>
      </c>
      <c r="D1187" t="s">
        <v>10</v>
      </c>
      <c r="E1187" t="s">
        <v>31</v>
      </c>
      <c r="F1187">
        <v>2</v>
      </c>
      <c r="G1187">
        <v>370.05</v>
      </c>
      <c r="H1187">
        <v>740.1</v>
      </c>
      <c r="I1187" t="s">
        <v>32</v>
      </c>
      <c r="J1187" t="str">
        <f t="shared" si="18"/>
        <v>Repeat Customer</v>
      </c>
    </row>
    <row r="1188" spans="1:10" x14ac:dyDescent="0.25">
      <c r="A1188">
        <v>10859</v>
      </c>
      <c r="B1188" t="s">
        <v>74</v>
      </c>
      <c r="C1188" s="1">
        <v>45821</v>
      </c>
      <c r="D1188" t="s">
        <v>18</v>
      </c>
      <c r="E1188" t="s">
        <v>11</v>
      </c>
      <c r="F1188">
        <v>2</v>
      </c>
      <c r="G1188">
        <v>264.06</v>
      </c>
      <c r="H1188">
        <v>528.12</v>
      </c>
      <c r="I1188" t="s">
        <v>14</v>
      </c>
      <c r="J1188" t="str">
        <f t="shared" si="18"/>
        <v>Repeat Customer</v>
      </c>
    </row>
    <row r="1189" spans="1:10" x14ac:dyDescent="0.25">
      <c r="A1189">
        <v>10936</v>
      </c>
      <c r="B1189" t="s">
        <v>74</v>
      </c>
      <c r="C1189" s="1">
        <v>45925</v>
      </c>
      <c r="D1189" t="s">
        <v>10</v>
      </c>
      <c r="E1189" t="s">
        <v>11</v>
      </c>
      <c r="F1189">
        <v>1</v>
      </c>
      <c r="G1189">
        <v>185.96</v>
      </c>
      <c r="H1189">
        <v>185.96</v>
      </c>
      <c r="I1189" t="s">
        <v>14</v>
      </c>
      <c r="J1189" t="str">
        <f t="shared" si="18"/>
        <v>Repeat Customer</v>
      </c>
    </row>
    <row r="1190" spans="1:10" x14ac:dyDescent="0.25">
      <c r="A1190">
        <v>11225</v>
      </c>
      <c r="B1190" t="s">
        <v>74</v>
      </c>
      <c r="C1190" s="1">
        <v>45816</v>
      </c>
      <c r="D1190" t="s">
        <v>21</v>
      </c>
      <c r="E1190" t="s">
        <v>31</v>
      </c>
      <c r="F1190">
        <v>10</v>
      </c>
      <c r="G1190">
        <v>171.51</v>
      </c>
      <c r="H1190">
        <v>1715.1</v>
      </c>
      <c r="I1190" t="s">
        <v>32</v>
      </c>
      <c r="J1190" t="str">
        <f t="shared" si="18"/>
        <v>Repeat Customer</v>
      </c>
    </row>
    <row r="1191" spans="1:10" x14ac:dyDescent="0.25">
      <c r="A1191">
        <v>11480</v>
      </c>
      <c r="B1191" t="s">
        <v>74</v>
      </c>
      <c r="C1191" s="1">
        <v>45771</v>
      </c>
      <c r="D1191" t="s">
        <v>21</v>
      </c>
      <c r="E1191" t="s">
        <v>11</v>
      </c>
      <c r="F1191">
        <v>9</v>
      </c>
      <c r="G1191">
        <v>450.56</v>
      </c>
      <c r="H1191">
        <v>4055.04</v>
      </c>
      <c r="I1191" t="s">
        <v>12</v>
      </c>
      <c r="J1191" t="str">
        <f t="shared" si="18"/>
        <v>Repeat Customer</v>
      </c>
    </row>
    <row r="1192" spans="1:10" x14ac:dyDescent="0.25">
      <c r="A1192">
        <v>10252</v>
      </c>
      <c r="B1192" t="s">
        <v>181</v>
      </c>
      <c r="C1192" s="1">
        <v>45856</v>
      </c>
      <c r="D1192" t="s">
        <v>24</v>
      </c>
      <c r="E1192" t="s">
        <v>11</v>
      </c>
      <c r="F1192">
        <v>3</v>
      </c>
      <c r="G1192">
        <v>307.91000000000003</v>
      </c>
      <c r="H1192">
        <v>923.73</v>
      </c>
      <c r="I1192" t="s">
        <v>22</v>
      </c>
      <c r="J1192" t="str">
        <f t="shared" si="18"/>
        <v>Repeat Customer</v>
      </c>
    </row>
    <row r="1193" spans="1:10" x14ac:dyDescent="0.25">
      <c r="A1193">
        <v>10825</v>
      </c>
      <c r="B1193" t="s">
        <v>181</v>
      </c>
      <c r="C1193" s="1">
        <v>45339</v>
      </c>
      <c r="D1193" t="s">
        <v>16</v>
      </c>
      <c r="E1193" t="s">
        <v>11</v>
      </c>
      <c r="F1193">
        <v>2</v>
      </c>
      <c r="G1193">
        <v>262.69</v>
      </c>
      <c r="H1193">
        <v>525.38</v>
      </c>
      <c r="I1193" t="s">
        <v>22</v>
      </c>
      <c r="J1193" t="str">
        <f t="shared" si="18"/>
        <v>Repeat Customer</v>
      </c>
    </row>
    <row r="1194" spans="1:10" x14ac:dyDescent="0.25">
      <c r="A1194">
        <v>11025</v>
      </c>
      <c r="B1194" t="s">
        <v>181</v>
      </c>
      <c r="C1194" s="1">
        <v>45566</v>
      </c>
      <c r="D1194" t="s">
        <v>21</v>
      </c>
      <c r="E1194" t="s">
        <v>11</v>
      </c>
      <c r="F1194">
        <v>9</v>
      </c>
      <c r="G1194">
        <v>405.42</v>
      </c>
      <c r="H1194">
        <v>3648.78</v>
      </c>
      <c r="I1194" t="s">
        <v>14</v>
      </c>
      <c r="J1194" t="str">
        <f t="shared" si="18"/>
        <v>Repeat Customer</v>
      </c>
    </row>
    <row r="1195" spans="1:10" x14ac:dyDescent="0.25">
      <c r="A1195">
        <v>11064</v>
      </c>
      <c r="B1195" t="s">
        <v>181</v>
      </c>
      <c r="C1195" s="1">
        <v>45427</v>
      </c>
      <c r="D1195" t="s">
        <v>18</v>
      </c>
      <c r="E1195" t="s">
        <v>31</v>
      </c>
      <c r="F1195">
        <v>2</v>
      </c>
      <c r="G1195">
        <v>162.07</v>
      </c>
      <c r="H1195">
        <v>324.14</v>
      </c>
      <c r="I1195" t="s">
        <v>14</v>
      </c>
      <c r="J1195" t="str">
        <f t="shared" si="18"/>
        <v>Repeat Customer</v>
      </c>
    </row>
    <row r="1196" spans="1:10" x14ac:dyDescent="0.25">
      <c r="A1196">
        <v>11205</v>
      </c>
      <c r="B1196" t="s">
        <v>181</v>
      </c>
      <c r="C1196" s="1">
        <v>45906</v>
      </c>
      <c r="D1196" t="s">
        <v>18</v>
      </c>
      <c r="E1196" t="s">
        <v>19</v>
      </c>
      <c r="F1196">
        <v>6</v>
      </c>
      <c r="G1196">
        <v>426.74</v>
      </c>
      <c r="H1196">
        <v>2560.44</v>
      </c>
      <c r="I1196" t="s">
        <v>22</v>
      </c>
      <c r="J1196" t="str">
        <f t="shared" si="18"/>
        <v>Repeat Customer</v>
      </c>
    </row>
    <row r="1197" spans="1:10" x14ac:dyDescent="0.25">
      <c r="A1197">
        <v>11458</v>
      </c>
      <c r="B1197" t="s">
        <v>181</v>
      </c>
      <c r="C1197" s="1">
        <v>45780</v>
      </c>
      <c r="D1197" t="s">
        <v>21</v>
      </c>
      <c r="E1197" t="s">
        <v>31</v>
      </c>
      <c r="F1197">
        <v>6</v>
      </c>
      <c r="G1197">
        <v>328.09</v>
      </c>
      <c r="H1197">
        <v>1968.54</v>
      </c>
      <c r="I1197" t="s">
        <v>14</v>
      </c>
      <c r="J1197" t="str">
        <f t="shared" si="18"/>
        <v>Repeat Customer</v>
      </c>
    </row>
    <row r="1198" spans="1:10" x14ac:dyDescent="0.25">
      <c r="A1198">
        <v>10055</v>
      </c>
      <c r="B1198" t="s">
        <v>66</v>
      </c>
      <c r="C1198" s="1">
        <v>45519</v>
      </c>
      <c r="D1198" t="s">
        <v>21</v>
      </c>
      <c r="E1198" t="s">
        <v>19</v>
      </c>
      <c r="F1198">
        <v>4</v>
      </c>
      <c r="G1198">
        <v>409.21</v>
      </c>
      <c r="H1198">
        <v>1636.84</v>
      </c>
      <c r="I1198" t="s">
        <v>22</v>
      </c>
      <c r="J1198" t="str">
        <f t="shared" si="18"/>
        <v>Repeat Customer</v>
      </c>
    </row>
    <row r="1199" spans="1:10" x14ac:dyDescent="0.25">
      <c r="A1199">
        <v>10084</v>
      </c>
      <c r="B1199" t="s">
        <v>66</v>
      </c>
      <c r="C1199" s="1">
        <v>45311</v>
      </c>
      <c r="D1199" t="s">
        <v>16</v>
      </c>
      <c r="E1199" t="s">
        <v>25</v>
      </c>
      <c r="F1199">
        <v>9</v>
      </c>
      <c r="G1199">
        <v>30.78</v>
      </c>
      <c r="H1199">
        <v>277.02</v>
      </c>
      <c r="I1199" t="s">
        <v>12</v>
      </c>
      <c r="J1199" t="str">
        <f t="shared" si="18"/>
        <v>Repeat Customer</v>
      </c>
    </row>
    <row r="1200" spans="1:10" x14ac:dyDescent="0.25">
      <c r="A1200">
        <v>10137</v>
      </c>
      <c r="B1200" t="s">
        <v>66</v>
      </c>
      <c r="C1200" s="1">
        <v>45563</v>
      </c>
      <c r="D1200" t="s">
        <v>21</v>
      </c>
      <c r="E1200" t="s">
        <v>11</v>
      </c>
      <c r="F1200">
        <v>6</v>
      </c>
      <c r="G1200">
        <v>313.51</v>
      </c>
      <c r="H1200">
        <v>1881.06</v>
      </c>
      <c r="I1200" t="s">
        <v>22</v>
      </c>
      <c r="J1200" t="str">
        <f t="shared" si="18"/>
        <v>Repeat Customer</v>
      </c>
    </row>
    <row r="1201" spans="1:10" x14ac:dyDescent="0.25">
      <c r="A1201">
        <v>10230</v>
      </c>
      <c r="B1201" t="s">
        <v>66</v>
      </c>
      <c r="C1201" s="1">
        <v>45336</v>
      </c>
      <c r="D1201" t="s">
        <v>16</v>
      </c>
      <c r="E1201" t="s">
        <v>11</v>
      </c>
      <c r="F1201">
        <v>7</v>
      </c>
      <c r="G1201">
        <v>490.61</v>
      </c>
      <c r="H1201">
        <v>3434.27</v>
      </c>
      <c r="I1201" t="s">
        <v>22</v>
      </c>
      <c r="J1201" t="str">
        <f t="shared" si="18"/>
        <v>Repeat Customer</v>
      </c>
    </row>
    <row r="1202" spans="1:10" x14ac:dyDescent="0.25">
      <c r="A1202">
        <v>10629</v>
      </c>
      <c r="B1202" t="s">
        <v>66</v>
      </c>
      <c r="C1202" s="1">
        <v>45757</v>
      </c>
      <c r="D1202" t="s">
        <v>16</v>
      </c>
      <c r="E1202" t="s">
        <v>11</v>
      </c>
      <c r="F1202">
        <v>1</v>
      </c>
      <c r="G1202">
        <v>24.75</v>
      </c>
      <c r="H1202">
        <v>24.75</v>
      </c>
      <c r="I1202" t="s">
        <v>22</v>
      </c>
      <c r="J1202" t="str">
        <f t="shared" si="18"/>
        <v>Repeat Customer</v>
      </c>
    </row>
    <row r="1203" spans="1:10" x14ac:dyDescent="0.25">
      <c r="A1203">
        <v>10703</v>
      </c>
      <c r="B1203" t="s">
        <v>66</v>
      </c>
      <c r="C1203" s="1">
        <v>45839</v>
      </c>
      <c r="D1203" t="s">
        <v>21</v>
      </c>
      <c r="E1203" t="s">
        <v>31</v>
      </c>
      <c r="F1203">
        <v>1</v>
      </c>
      <c r="G1203">
        <v>345.45</v>
      </c>
      <c r="H1203">
        <v>345.45</v>
      </c>
      <c r="I1203" t="s">
        <v>22</v>
      </c>
      <c r="J1203" t="str">
        <f t="shared" si="18"/>
        <v>Repeat Customer</v>
      </c>
    </row>
    <row r="1204" spans="1:10" x14ac:dyDescent="0.25">
      <c r="A1204">
        <v>10985</v>
      </c>
      <c r="B1204" t="s">
        <v>66</v>
      </c>
      <c r="C1204" s="1">
        <v>45413</v>
      </c>
      <c r="D1204" t="s">
        <v>16</v>
      </c>
      <c r="E1204" t="s">
        <v>11</v>
      </c>
      <c r="F1204">
        <v>5</v>
      </c>
      <c r="G1204">
        <v>26.42</v>
      </c>
      <c r="H1204">
        <v>132.1</v>
      </c>
      <c r="I1204" t="s">
        <v>12</v>
      </c>
      <c r="J1204" t="str">
        <f t="shared" si="18"/>
        <v>Repeat Customer</v>
      </c>
    </row>
    <row r="1205" spans="1:10" x14ac:dyDescent="0.25">
      <c r="A1205">
        <v>11059</v>
      </c>
      <c r="B1205" t="s">
        <v>66</v>
      </c>
      <c r="C1205" s="1">
        <v>45428</v>
      </c>
      <c r="D1205" t="s">
        <v>21</v>
      </c>
      <c r="E1205" t="s">
        <v>25</v>
      </c>
      <c r="F1205">
        <v>6</v>
      </c>
      <c r="G1205">
        <v>487.33</v>
      </c>
      <c r="H1205">
        <v>2923.98</v>
      </c>
      <c r="I1205" t="s">
        <v>32</v>
      </c>
      <c r="J1205" t="str">
        <f t="shared" si="18"/>
        <v>Repeat Customer</v>
      </c>
    </row>
    <row r="1206" spans="1:10" x14ac:dyDescent="0.25">
      <c r="A1206">
        <v>11219</v>
      </c>
      <c r="B1206" t="s">
        <v>66</v>
      </c>
      <c r="C1206" s="1">
        <v>45971</v>
      </c>
      <c r="D1206" t="s">
        <v>18</v>
      </c>
      <c r="E1206" t="s">
        <v>31</v>
      </c>
      <c r="F1206">
        <v>10</v>
      </c>
      <c r="G1206">
        <v>37.11</v>
      </c>
      <c r="H1206">
        <v>371.1</v>
      </c>
      <c r="I1206" t="s">
        <v>22</v>
      </c>
      <c r="J1206" t="str">
        <f t="shared" si="18"/>
        <v>Repeat Customer</v>
      </c>
    </row>
    <row r="1207" spans="1:10" x14ac:dyDescent="0.25">
      <c r="A1207">
        <v>10530</v>
      </c>
      <c r="B1207" t="s">
        <v>260</v>
      </c>
      <c r="C1207" s="1">
        <v>45491</v>
      </c>
      <c r="D1207" t="s">
        <v>21</v>
      </c>
      <c r="E1207" t="s">
        <v>19</v>
      </c>
      <c r="F1207">
        <v>9</v>
      </c>
      <c r="G1207">
        <v>64.31</v>
      </c>
      <c r="H1207">
        <v>578.79</v>
      </c>
      <c r="I1207" t="s">
        <v>32</v>
      </c>
      <c r="J1207" t="str">
        <f t="shared" si="18"/>
        <v>Repeat Customer</v>
      </c>
    </row>
    <row r="1208" spans="1:10" x14ac:dyDescent="0.25">
      <c r="A1208">
        <v>10656</v>
      </c>
      <c r="B1208" t="s">
        <v>260</v>
      </c>
      <c r="C1208" s="1">
        <v>45906</v>
      </c>
      <c r="D1208" t="s">
        <v>16</v>
      </c>
      <c r="E1208" t="s">
        <v>25</v>
      </c>
      <c r="F1208">
        <v>7</v>
      </c>
      <c r="G1208">
        <v>48.63</v>
      </c>
      <c r="H1208">
        <v>340.41</v>
      </c>
      <c r="I1208" t="s">
        <v>22</v>
      </c>
      <c r="J1208" t="str">
        <f t="shared" si="18"/>
        <v>Repeat Customer</v>
      </c>
    </row>
    <row r="1209" spans="1:10" x14ac:dyDescent="0.25">
      <c r="A1209">
        <v>10804</v>
      </c>
      <c r="B1209" t="s">
        <v>260</v>
      </c>
      <c r="C1209" s="1">
        <v>45429</v>
      </c>
      <c r="D1209" t="s">
        <v>16</v>
      </c>
      <c r="E1209" t="s">
        <v>19</v>
      </c>
      <c r="F1209">
        <v>2</v>
      </c>
      <c r="G1209">
        <v>348.84</v>
      </c>
      <c r="H1209">
        <v>697.68</v>
      </c>
      <c r="I1209" t="s">
        <v>32</v>
      </c>
      <c r="J1209" t="str">
        <f t="shared" si="18"/>
        <v>Repeat Customer</v>
      </c>
    </row>
    <row r="1210" spans="1:10" x14ac:dyDescent="0.25">
      <c r="A1210">
        <v>10860</v>
      </c>
      <c r="B1210" t="s">
        <v>260</v>
      </c>
      <c r="C1210" s="1">
        <v>45937</v>
      </c>
      <c r="D1210" t="s">
        <v>18</v>
      </c>
      <c r="E1210" t="s">
        <v>19</v>
      </c>
      <c r="F1210">
        <v>2</v>
      </c>
      <c r="G1210">
        <v>343.62</v>
      </c>
      <c r="H1210">
        <v>687.24</v>
      </c>
      <c r="I1210" t="s">
        <v>12</v>
      </c>
      <c r="J1210" t="str">
        <f t="shared" si="18"/>
        <v>Repeat Customer</v>
      </c>
    </row>
    <row r="1211" spans="1:10" x14ac:dyDescent="0.25">
      <c r="A1211">
        <v>11259</v>
      </c>
      <c r="B1211" t="s">
        <v>260</v>
      </c>
      <c r="C1211" s="1">
        <v>45577</v>
      </c>
      <c r="D1211" t="s">
        <v>24</v>
      </c>
      <c r="E1211" t="s">
        <v>11</v>
      </c>
      <c r="F1211">
        <v>3</v>
      </c>
      <c r="G1211">
        <v>89.44</v>
      </c>
      <c r="H1211">
        <v>268.32</v>
      </c>
      <c r="I1211" t="s">
        <v>14</v>
      </c>
      <c r="J1211" t="str">
        <f t="shared" si="18"/>
        <v>Repeat Customer</v>
      </c>
    </row>
    <row r="1212" spans="1:10" x14ac:dyDescent="0.25">
      <c r="A1212">
        <v>11402</v>
      </c>
      <c r="B1212" t="s">
        <v>260</v>
      </c>
      <c r="C1212" s="1">
        <v>45578</v>
      </c>
      <c r="D1212" t="s">
        <v>10</v>
      </c>
      <c r="E1212" t="s">
        <v>19</v>
      </c>
      <c r="F1212">
        <v>10</v>
      </c>
      <c r="G1212">
        <v>54.88</v>
      </c>
      <c r="H1212">
        <v>548.79999999999995</v>
      </c>
      <c r="I1212" t="s">
        <v>32</v>
      </c>
      <c r="J1212" t="str">
        <f t="shared" si="18"/>
        <v>Repeat Customer</v>
      </c>
    </row>
    <row r="1213" spans="1:10" x14ac:dyDescent="0.25">
      <c r="A1213">
        <v>10028</v>
      </c>
      <c r="B1213" t="s">
        <v>47</v>
      </c>
      <c r="C1213" s="1">
        <v>45708</v>
      </c>
      <c r="D1213" t="s">
        <v>21</v>
      </c>
      <c r="E1213" t="s">
        <v>19</v>
      </c>
      <c r="F1213">
        <v>4</v>
      </c>
      <c r="G1213">
        <v>51.69</v>
      </c>
      <c r="H1213">
        <v>206.76</v>
      </c>
      <c r="I1213" t="s">
        <v>32</v>
      </c>
      <c r="J1213" t="str">
        <f t="shared" si="18"/>
        <v>Repeat Customer</v>
      </c>
    </row>
    <row r="1214" spans="1:10" x14ac:dyDescent="0.25">
      <c r="A1214">
        <v>10545</v>
      </c>
      <c r="B1214" t="s">
        <v>47</v>
      </c>
      <c r="C1214" s="1">
        <v>46010</v>
      </c>
      <c r="D1214" t="s">
        <v>24</v>
      </c>
      <c r="E1214" t="s">
        <v>19</v>
      </c>
      <c r="F1214">
        <v>3</v>
      </c>
      <c r="G1214">
        <v>106.72</v>
      </c>
      <c r="H1214">
        <v>320.16000000000003</v>
      </c>
      <c r="I1214" t="s">
        <v>32</v>
      </c>
      <c r="J1214" t="str">
        <f t="shared" si="18"/>
        <v>Repeat Customer</v>
      </c>
    </row>
    <row r="1215" spans="1:10" x14ac:dyDescent="0.25">
      <c r="A1215">
        <v>11221</v>
      </c>
      <c r="B1215" t="s">
        <v>47</v>
      </c>
      <c r="C1215" s="1">
        <v>45566</v>
      </c>
      <c r="D1215" t="s">
        <v>18</v>
      </c>
      <c r="E1215" t="s">
        <v>11</v>
      </c>
      <c r="F1215">
        <v>10</v>
      </c>
      <c r="G1215">
        <v>203.47</v>
      </c>
      <c r="H1215">
        <v>2034.7</v>
      </c>
      <c r="I1215" t="s">
        <v>14</v>
      </c>
      <c r="J1215" t="str">
        <f t="shared" si="18"/>
        <v>Repeat Customer</v>
      </c>
    </row>
    <row r="1216" spans="1:10" x14ac:dyDescent="0.25">
      <c r="A1216">
        <v>11395</v>
      </c>
      <c r="B1216" t="s">
        <v>47</v>
      </c>
      <c r="C1216" s="1">
        <v>46015</v>
      </c>
      <c r="D1216" t="s">
        <v>18</v>
      </c>
      <c r="E1216" t="s">
        <v>25</v>
      </c>
      <c r="F1216">
        <v>2</v>
      </c>
      <c r="G1216">
        <v>352.07</v>
      </c>
      <c r="H1216">
        <v>704.14</v>
      </c>
      <c r="I1216" t="s">
        <v>14</v>
      </c>
      <c r="J1216" t="str">
        <f t="shared" si="18"/>
        <v>Repeat Customer</v>
      </c>
    </row>
    <row r="1217" spans="1:10" x14ac:dyDescent="0.25">
      <c r="A1217">
        <v>11474</v>
      </c>
      <c r="B1217" t="s">
        <v>47</v>
      </c>
      <c r="C1217" s="1">
        <v>45554</v>
      </c>
      <c r="D1217" t="s">
        <v>10</v>
      </c>
      <c r="E1217" t="s">
        <v>11</v>
      </c>
      <c r="F1217">
        <v>8</v>
      </c>
      <c r="G1217">
        <v>326.89</v>
      </c>
      <c r="H1217">
        <v>2615.12</v>
      </c>
      <c r="I1217" t="s">
        <v>32</v>
      </c>
      <c r="J1217" t="str">
        <f t="shared" si="18"/>
        <v>Repeat Customer</v>
      </c>
    </row>
    <row r="1218" spans="1:10" x14ac:dyDescent="0.25">
      <c r="A1218">
        <v>10098</v>
      </c>
      <c r="B1218" t="s">
        <v>99</v>
      </c>
      <c r="C1218" s="1">
        <v>45953</v>
      </c>
      <c r="D1218" t="s">
        <v>24</v>
      </c>
      <c r="E1218" t="s">
        <v>11</v>
      </c>
      <c r="F1218">
        <v>8</v>
      </c>
      <c r="G1218">
        <v>226.85</v>
      </c>
      <c r="H1218">
        <v>1814.8</v>
      </c>
      <c r="I1218" t="s">
        <v>22</v>
      </c>
      <c r="J1218" t="str">
        <f t="shared" ref="J1218:J1281" si="19">IF(COUNTIF($B:$B,B1218)&gt;1,"Repeat Customer","New Customer")</f>
        <v>Repeat Customer</v>
      </c>
    </row>
    <row r="1219" spans="1:10" x14ac:dyDescent="0.25">
      <c r="A1219">
        <v>10170</v>
      </c>
      <c r="B1219" t="s">
        <v>99</v>
      </c>
      <c r="C1219" s="1">
        <v>45751</v>
      </c>
      <c r="D1219" t="s">
        <v>24</v>
      </c>
      <c r="E1219" t="s">
        <v>31</v>
      </c>
      <c r="F1219">
        <v>6</v>
      </c>
      <c r="G1219">
        <v>259.05</v>
      </c>
      <c r="H1219">
        <v>1554.3</v>
      </c>
      <c r="I1219" t="s">
        <v>14</v>
      </c>
      <c r="J1219" t="str">
        <f t="shared" si="19"/>
        <v>Repeat Customer</v>
      </c>
    </row>
    <row r="1220" spans="1:10" x14ac:dyDescent="0.25">
      <c r="A1220">
        <v>10205</v>
      </c>
      <c r="B1220" t="s">
        <v>99</v>
      </c>
      <c r="C1220" s="1">
        <v>45805</v>
      </c>
      <c r="D1220" t="s">
        <v>21</v>
      </c>
      <c r="E1220" t="s">
        <v>11</v>
      </c>
      <c r="F1220">
        <v>3</v>
      </c>
      <c r="G1220">
        <v>479.07</v>
      </c>
      <c r="H1220">
        <v>1437.21</v>
      </c>
      <c r="I1220" t="s">
        <v>22</v>
      </c>
      <c r="J1220" t="str">
        <f t="shared" si="19"/>
        <v>Repeat Customer</v>
      </c>
    </row>
    <row r="1221" spans="1:10" x14ac:dyDescent="0.25">
      <c r="A1221">
        <v>10278</v>
      </c>
      <c r="B1221" t="s">
        <v>99</v>
      </c>
      <c r="C1221" s="1">
        <v>45309</v>
      </c>
      <c r="D1221" t="s">
        <v>24</v>
      </c>
      <c r="E1221" t="s">
        <v>31</v>
      </c>
      <c r="F1221">
        <v>6</v>
      </c>
      <c r="G1221">
        <v>168.96</v>
      </c>
      <c r="H1221">
        <v>1013.76</v>
      </c>
      <c r="I1221" t="s">
        <v>22</v>
      </c>
      <c r="J1221" t="str">
        <f t="shared" si="19"/>
        <v>Repeat Customer</v>
      </c>
    </row>
    <row r="1222" spans="1:10" x14ac:dyDescent="0.25">
      <c r="A1222">
        <v>10293</v>
      </c>
      <c r="B1222" t="s">
        <v>99</v>
      </c>
      <c r="C1222" s="1">
        <v>45780</v>
      </c>
      <c r="D1222" t="s">
        <v>16</v>
      </c>
      <c r="E1222" t="s">
        <v>19</v>
      </c>
      <c r="F1222">
        <v>4</v>
      </c>
      <c r="G1222">
        <v>379.18</v>
      </c>
      <c r="H1222">
        <v>1516.72</v>
      </c>
      <c r="I1222" t="s">
        <v>22</v>
      </c>
      <c r="J1222" t="str">
        <f t="shared" si="19"/>
        <v>Repeat Customer</v>
      </c>
    </row>
    <row r="1223" spans="1:10" x14ac:dyDescent="0.25">
      <c r="A1223">
        <v>10380</v>
      </c>
      <c r="B1223" t="s">
        <v>99</v>
      </c>
      <c r="C1223" s="1">
        <v>45391</v>
      </c>
      <c r="D1223" t="s">
        <v>21</v>
      </c>
      <c r="E1223" t="s">
        <v>19</v>
      </c>
      <c r="F1223">
        <v>8</v>
      </c>
      <c r="G1223">
        <v>362.39</v>
      </c>
      <c r="H1223">
        <v>2899.12</v>
      </c>
      <c r="I1223" t="s">
        <v>12</v>
      </c>
      <c r="J1223" t="str">
        <f t="shared" si="19"/>
        <v>Repeat Customer</v>
      </c>
    </row>
    <row r="1224" spans="1:10" x14ac:dyDescent="0.25">
      <c r="A1224">
        <v>10670</v>
      </c>
      <c r="B1224" t="s">
        <v>99</v>
      </c>
      <c r="C1224" s="1">
        <v>45613</v>
      </c>
      <c r="D1224" t="s">
        <v>18</v>
      </c>
      <c r="E1224" t="s">
        <v>19</v>
      </c>
      <c r="F1224">
        <v>6</v>
      </c>
      <c r="G1224">
        <v>113.19</v>
      </c>
      <c r="H1224">
        <v>679.14</v>
      </c>
      <c r="I1224" t="s">
        <v>14</v>
      </c>
      <c r="J1224" t="str">
        <f t="shared" si="19"/>
        <v>Repeat Customer</v>
      </c>
    </row>
    <row r="1225" spans="1:10" x14ac:dyDescent="0.25">
      <c r="A1225">
        <v>10996</v>
      </c>
      <c r="B1225" t="s">
        <v>99</v>
      </c>
      <c r="C1225" s="1">
        <v>45987</v>
      </c>
      <c r="D1225" t="s">
        <v>21</v>
      </c>
      <c r="E1225" t="s">
        <v>11</v>
      </c>
      <c r="F1225">
        <v>6</v>
      </c>
      <c r="G1225">
        <v>93.75</v>
      </c>
      <c r="H1225">
        <v>562.5</v>
      </c>
      <c r="I1225" t="s">
        <v>32</v>
      </c>
      <c r="J1225" t="str">
        <f t="shared" si="19"/>
        <v>Repeat Customer</v>
      </c>
    </row>
    <row r="1226" spans="1:10" x14ac:dyDescent="0.25">
      <c r="A1226">
        <v>11313</v>
      </c>
      <c r="B1226" t="s">
        <v>99</v>
      </c>
      <c r="C1226" s="1">
        <v>45819</v>
      </c>
      <c r="D1226" t="s">
        <v>24</v>
      </c>
      <c r="E1226" t="s">
        <v>19</v>
      </c>
      <c r="F1226">
        <v>7</v>
      </c>
      <c r="G1226">
        <v>331.81</v>
      </c>
      <c r="H1226">
        <v>2322.67</v>
      </c>
      <c r="I1226" t="s">
        <v>12</v>
      </c>
      <c r="J1226" t="str">
        <f t="shared" si="19"/>
        <v>Repeat Customer</v>
      </c>
    </row>
    <row r="1227" spans="1:10" x14ac:dyDescent="0.25">
      <c r="A1227">
        <v>10078</v>
      </c>
      <c r="B1227" t="s">
        <v>85</v>
      </c>
      <c r="C1227" s="1">
        <v>45298</v>
      </c>
      <c r="D1227" t="s">
        <v>21</v>
      </c>
      <c r="E1227" t="s">
        <v>31</v>
      </c>
      <c r="F1227">
        <v>6</v>
      </c>
      <c r="G1227">
        <v>152.81</v>
      </c>
      <c r="H1227">
        <v>916.86</v>
      </c>
      <c r="I1227" t="s">
        <v>14</v>
      </c>
      <c r="J1227" t="str">
        <f t="shared" si="19"/>
        <v>Repeat Customer</v>
      </c>
    </row>
    <row r="1228" spans="1:10" x14ac:dyDescent="0.25">
      <c r="A1228">
        <v>10301</v>
      </c>
      <c r="B1228" t="s">
        <v>85</v>
      </c>
      <c r="C1228" s="1">
        <v>45623</v>
      </c>
      <c r="D1228" t="s">
        <v>21</v>
      </c>
      <c r="E1228" t="s">
        <v>25</v>
      </c>
      <c r="F1228">
        <v>4</v>
      </c>
      <c r="G1228">
        <v>8.3800000000000008</v>
      </c>
      <c r="H1228">
        <v>33.520000000000003</v>
      </c>
      <c r="I1228" t="s">
        <v>32</v>
      </c>
      <c r="J1228" t="str">
        <f t="shared" si="19"/>
        <v>Repeat Customer</v>
      </c>
    </row>
    <row r="1229" spans="1:10" x14ac:dyDescent="0.25">
      <c r="A1229">
        <v>10889</v>
      </c>
      <c r="B1229" t="s">
        <v>85</v>
      </c>
      <c r="C1229" s="1">
        <v>45738</v>
      </c>
      <c r="D1229" t="s">
        <v>24</v>
      </c>
      <c r="E1229" t="s">
        <v>25</v>
      </c>
      <c r="F1229">
        <v>7</v>
      </c>
      <c r="G1229">
        <v>422.8</v>
      </c>
      <c r="H1229">
        <v>2959.6</v>
      </c>
      <c r="I1229" t="s">
        <v>12</v>
      </c>
      <c r="J1229" t="str">
        <f t="shared" si="19"/>
        <v>Repeat Customer</v>
      </c>
    </row>
    <row r="1230" spans="1:10" x14ac:dyDescent="0.25">
      <c r="A1230">
        <v>11049</v>
      </c>
      <c r="B1230" t="s">
        <v>85</v>
      </c>
      <c r="C1230" s="1">
        <v>45428</v>
      </c>
      <c r="D1230" t="s">
        <v>18</v>
      </c>
      <c r="E1230" t="s">
        <v>19</v>
      </c>
      <c r="F1230">
        <v>5</v>
      </c>
      <c r="G1230">
        <v>90.87</v>
      </c>
      <c r="H1230">
        <v>454.35</v>
      </c>
      <c r="I1230" t="s">
        <v>22</v>
      </c>
      <c r="J1230" t="str">
        <f t="shared" si="19"/>
        <v>Repeat Customer</v>
      </c>
    </row>
    <row r="1231" spans="1:10" x14ac:dyDescent="0.25">
      <c r="A1231">
        <v>11094</v>
      </c>
      <c r="B1231" t="s">
        <v>85</v>
      </c>
      <c r="C1231" s="1">
        <v>45763</v>
      </c>
      <c r="D1231" t="s">
        <v>18</v>
      </c>
      <c r="E1231" t="s">
        <v>31</v>
      </c>
      <c r="F1231">
        <v>7</v>
      </c>
      <c r="G1231">
        <v>435.05</v>
      </c>
      <c r="H1231">
        <v>3045.35</v>
      </c>
      <c r="I1231" t="s">
        <v>22</v>
      </c>
      <c r="J1231" t="str">
        <f t="shared" si="19"/>
        <v>Repeat Customer</v>
      </c>
    </row>
    <row r="1232" spans="1:10" x14ac:dyDescent="0.25">
      <c r="A1232">
        <v>11245</v>
      </c>
      <c r="B1232" t="s">
        <v>85</v>
      </c>
      <c r="C1232" s="1">
        <v>45362</v>
      </c>
      <c r="D1232" t="s">
        <v>10</v>
      </c>
      <c r="E1232" t="s">
        <v>25</v>
      </c>
      <c r="F1232">
        <v>7</v>
      </c>
      <c r="G1232">
        <v>477.77</v>
      </c>
      <c r="H1232">
        <v>3344.39</v>
      </c>
      <c r="I1232" t="s">
        <v>14</v>
      </c>
      <c r="J1232" t="str">
        <f t="shared" si="19"/>
        <v>Repeat Customer</v>
      </c>
    </row>
    <row r="1233" spans="1:10" x14ac:dyDescent="0.25">
      <c r="A1233">
        <v>11295</v>
      </c>
      <c r="B1233" t="s">
        <v>85</v>
      </c>
      <c r="C1233" s="1">
        <v>45327</v>
      </c>
      <c r="D1233" t="s">
        <v>24</v>
      </c>
      <c r="E1233" t="s">
        <v>25</v>
      </c>
      <c r="F1233">
        <v>6</v>
      </c>
      <c r="G1233">
        <v>317.32</v>
      </c>
      <c r="H1233">
        <v>1903.92</v>
      </c>
      <c r="I1233" t="s">
        <v>22</v>
      </c>
      <c r="J1233" t="str">
        <f t="shared" si="19"/>
        <v>Repeat Customer</v>
      </c>
    </row>
    <row r="1234" spans="1:10" x14ac:dyDescent="0.25">
      <c r="A1234">
        <v>10331</v>
      </c>
      <c r="B1234" t="s">
        <v>210</v>
      </c>
      <c r="C1234" s="1">
        <v>45505</v>
      </c>
      <c r="D1234" t="s">
        <v>24</v>
      </c>
      <c r="E1234" t="s">
        <v>25</v>
      </c>
      <c r="F1234">
        <v>6</v>
      </c>
      <c r="G1234">
        <v>155.08000000000001</v>
      </c>
      <c r="H1234">
        <v>930.48</v>
      </c>
      <c r="I1234" t="s">
        <v>14</v>
      </c>
      <c r="J1234" t="str">
        <f t="shared" si="19"/>
        <v>Repeat Customer</v>
      </c>
    </row>
    <row r="1235" spans="1:10" x14ac:dyDescent="0.25">
      <c r="A1235">
        <v>10956</v>
      </c>
      <c r="B1235" t="s">
        <v>210</v>
      </c>
      <c r="C1235" s="1">
        <v>45333</v>
      </c>
      <c r="D1235" t="s">
        <v>24</v>
      </c>
      <c r="E1235" t="s">
        <v>19</v>
      </c>
      <c r="F1235">
        <v>3</v>
      </c>
      <c r="G1235">
        <v>340.61</v>
      </c>
      <c r="H1235">
        <v>1021.83</v>
      </c>
      <c r="I1235" t="s">
        <v>12</v>
      </c>
      <c r="J1235" t="str">
        <f t="shared" si="19"/>
        <v>Repeat Customer</v>
      </c>
    </row>
    <row r="1236" spans="1:10" x14ac:dyDescent="0.25">
      <c r="A1236">
        <v>11431</v>
      </c>
      <c r="B1236" t="s">
        <v>210</v>
      </c>
      <c r="C1236" s="1">
        <v>45868</v>
      </c>
      <c r="D1236" t="s">
        <v>16</v>
      </c>
      <c r="E1236" t="s">
        <v>19</v>
      </c>
      <c r="F1236">
        <v>8</v>
      </c>
      <c r="G1236">
        <v>408.66</v>
      </c>
      <c r="H1236">
        <v>3269.28</v>
      </c>
      <c r="I1236" t="s">
        <v>32</v>
      </c>
      <c r="J1236" t="str">
        <f t="shared" si="19"/>
        <v>Repeat Customer</v>
      </c>
    </row>
    <row r="1237" spans="1:10" x14ac:dyDescent="0.25">
      <c r="A1237">
        <v>10153</v>
      </c>
      <c r="B1237" t="s">
        <v>136</v>
      </c>
      <c r="C1237" s="1">
        <v>45594</v>
      </c>
      <c r="D1237" t="s">
        <v>21</v>
      </c>
      <c r="E1237" t="s">
        <v>11</v>
      </c>
      <c r="F1237">
        <v>6</v>
      </c>
      <c r="G1237">
        <v>403.1</v>
      </c>
      <c r="H1237">
        <v>2418.6</v>
      </c>
      <c r="I1237" t="s">
        <v>14</v>
      </c>
      <c r="J1237" t="str">
        <f t="shared" si="19"/>
        <v>Repeat Customer</v>
      </c>
    </row>
    <row r="1238" spans="1:10" x14ac:dyDescent="0.25">
      <c r="A1238">
        <v>10181</v>
      </c>
      <c r="B1238" t="s">
        <v>136</v>
      </c>
      <c r="C1238" s="1">
        <v>45521</v>
      </c>
      <c r="D1238" t="s">
        <v>18</v>
      </c>
      <c r="E1238" t="s">
        <v>19</v>
      </c>
      <c r="F1238">
        <v>2</v>
      </c>
      <c r="G1238">
        <v>178.31</v>
      </c>
      <c r="H1238">
        <v>356.62</v>
      </c>
      <c r="I1238" t="s">
        <v>12</v>
      </c>
      <c r="J1238" t="str">
        <f t="shared" si="19"/>
        <v>Repeat Customer</v>
      </c>
    </row>
    <row r="1239" spans="1:10" x14ac:dyDescent="0.25">
      <c r="A1239">
        <v>10646</v>
      </c>
      <c r="B1239" t="s">
        <v>136</v>
      </c>
      <c r="C1239" s="1">
        <v>45682</v>
      </c>
      <c r="D1239" t="s">
        <v>18</v>
      </c>
      <c r="E1239" t="s">
        <v>11</v>
      </c>
      <c r="F1239">
        <v>6</v>
      </c>
      <c r="G1239">
        <v>296.58</v>
      </c>
      <c r="H1239">
        <v>1779.48</v>
      </c>
      <c r="I1239" t="s">
        <v>32</v>
      </c>
      <c r="J1239" t="str">
        <f t="shared" si="19"/>
        <v>Repeat Customer</v>
      </c>
    </row>
    <row r="1240" spans="1:10" x14ac:dyDescent="0.25">
      <c r="A1240">
        <v>11097</v>
      </c>
      <c r="B1240" t="s">
        <v>136</v>
      </c>
      <c r="C1240" s="1">
        <v>45956</v>
      </c>
      <c r="D1240" t="s">
        <v>21</v>
      </c>
      <c r="E1240" t="s">
        <v>25</v>
      </c>
      <c r="F1240">
        <v>3</v>
      </c>
      <c r="G1240">
        <v>326.62</v>
      </c>
      <c r="H1240">
        <v>979.86</v>
      </c>
      <c r="I1240" t="s">
        <v>12</v>
      </c>
      <c r="J1240" t="str">
        <f t="shared" si="19"/>
        <v>Repeat Customer</v>
      </c>
    </row>
    <row r="1241" spans="1:10" x14ac:dyDescent="0.25">
      <c r="A1241">
        <v>11208</v>
      </c>
      <c r="B1241" t="s">
        <v>136</v>
      </c>
      <c r="C1241" s="1">
        <v>45631</v>
      </c>
      <c r="D1241" t="s">
        <v>10</v>
      </c>
      <c r="E1241" t="s">
        <v>11</v>
      </c>
      <c r="F1241">
        <v>7</v>
      </c>
      <c r="G1241">
        <v>106.63</v>
      </c>
      <c r="H1241">
        <v>746.41</v>
      </c>
      <c r="I1241" t="s">
        <v>22</v>
      </c>
      <c r="J1241" t="str">
        <f t="shared" si="19"/>
        <v>Repeat Customer</v>
      </c>
    </row>
    <row r="1242" spans="1:10" x14ac:dyDescent="0.25">
      <c r="A1242">
        <v>11287</v>
      </c>
      <c r="B1242" t="s">
        <v>136</v>
      </c>
      <c r="C1242" s="1">
        <v>45312</v>
      </c>
      <c r="D1242" t="s">
        <v>24</v>
      </c>
      <c r="E1242" t="s">
        <v>19</v>
      </c>
      <c r="F1242">
        <v>7</v>
      </c>
      <c r="G1242">
        <v>216.56</v>
      </c>
      <c r="H1242">
        <v>1515.92</v>
      </c>
      <c r="I1242" t="s">
        <v>14</v>
      </c>
      <c r="J1242" t="str">
        <f t="shared" si="19"/>
        <v>Repeat Customer</v>
      </c>
    </row>
    <row r="1243" spans="1:10" x14ac:dyDescent="0.25">
      <c r="A1243">
        <v>10129</v>
      </c>
      <c r="B1243" t="s">
        <v>121</v>
      </c>
      <c r="C1243" s="1">
        <v>45775</v>
      </c>
      <c r="D1243" t="s">
        <v>10</v>
      </c>
      <c r="E1243" t="s">
        <v>31</v>
      </c>
      <c r="F1243">
        <v>4</v>
      </c>
      <c r="G1243">
        <v>231.11</v>
      </c>
      <c r="H1243">
        <v>924.44</v>
      </c>
      <c r="I1243" t="s">
        <v>14</v>
      </c>
      <c r="J1243" t="str">
        <f t="shared" si="19"/>
        <v>Repeat Customer</v>
      </c>
    </row>
    <row r="1244" spans="1:10" x14ac:dyDescent="0.25">
      <c r="A1244">
        <v>10262</v>
      </c>
      <c r="B1244" t="s">
        <v>121</v>
      </c>
      <c r="C1244" s="1">
        <v>45542</v>
      </c>
      <c r="D1244" t="s">
        <v>24</v>
      </c>
      <c r="E1244" t="s">
        <v>11</v>
      </c>
      <c r="F1244">
        <v>7</v>
      </c>
      <c r="G1244">
        <v>152.22999999999999</v>
      </c>
      <c r="H1244">
        <v>1065.6099999999999</v>
      </c>
      <c r="I1244" t="s">
        <v>14</v>
      </c>
      <c r="J1244" t="str">
        <f t="shared" si="19"/>
        <v>Repeat Customer</v>
      </c>
    </row>
    <row r="1245" spans="1:10" x14ac:dyDescent="0.25">
      <c r="A1245">
        <v>10559</v>
      </c>
      <c r="B1245" t="s">
        <v>121</v>
      </c>
      <c r="C1245" s="1">
        <v>45791</v>
      </c>
      <c r="D1245" t="s">
        <v>21</v>
      </c>
      <c r="E1245" t="s">
        <v>11</v>
      </c>
      <c r="F1245">
        <v>2</v>
      </c>
      <c r="G1245">
        <v>444.36</v>
      </c>
      <c r="H1245">
        <v>888.72</v>
      </c>
      <c r="I1245" t="s">
        <v>12</v>
      </c>
      <c r="J1245" t="str">
        <f t="shared" si="19"/>
        <v>Repeat Customer</v>
      </c>
    </row>
    <row r="1246" spans="1:10" x14ac:dyDescent="0.25">
      <c r="A1246">
        <v>10126</v>
      </c>
      <c r="B1246" t="s">
        <v>118</v>
      </c>
      <c r="C1246" s="1">
        <v>45416</v>
      </c>
      <c r="D1246" t="s">
        <v>18</v>
      </c>
      <c r="E1246" t="s">
        <v>25</v>
      </c>
      <c r="F1246">
        <v>1</v>
      </c>
      <c r="G1246">
        <v>486.71</v>
      </c>
      <c r="H1246">
        <v>486.71</v>
      </c>
      <c r="I1246" t="s">
        <v>14</v>
      </c>
      <c r="J1246" t="str">
        <f t="shared" si="19"/>
        <v>Repeat Customer</v>
      </c>
    </row>
    <row r="1247" spans="1:10" x14ac:dyDescent="0.25">
      <c r="A1247">
        <v>10724</v>
      </c>
      <c r="B1247" t="s">
        <v>118</v>
      </c>
      <c r="C1247" s="1">
        <v>46015</v>
      </c>
      <c r="D1247" t="s">
        <v>18</v>
      </c>
      <c r="E1247" t="s">
        <v>31</v>
      </c>
      <c r="F1247">
        <v>8</v>
      </c>
      <c r="G1247">
        <v>281.72000000000003</v>
      </c>
      <c r="H1247">
        <v>2253.7600000000002</v>
      </c>
      <c r="I1247" t="s">
        <v>14</v>
      </c>
      <c r="J1247" t="str">
        <f t="shared" si="19"/>
        <v>Repeat Customer</v>
      </c>
    </row>
    <row r="1248" spans="1:10" x14ac:dyDescent="0.25">
      <c r="A1248">
        <v>10767</v>
      </c>
      <c r="B1248" t="s">
        <v>118</v>
      </c>
      <c r="C1248" s="1">
        <v>45903</v>
      </c>
      <c r="D1248" t="s">
        <v>10</v>
      </c>
      <c r="E1248" t="s">
        <v>31</v>
      </c>
      <c r="F1248">
        <v>9</v>
      </c>
      <c r="G1248">
        <v>48.57</v>
      </c>
      <c r="H1248">
        <v>437.13</v>
      </c>
      <c r="I1248" t="s">
        <v>12</v>
      </c>
      <c r="J1248" t="str">
        <f t="shared" si="19"/>
        <v>Repeat Customer</v>
      </c>
    </row>
    <row r="1249" spans="1:10" x14ac:dyDescent="0.25">
      <c r="A1249">
        <v>11032</v>
      </c>
      <c r="B1249" t="s">
        <v>118</v>
      </c>
      <c r="C1249" s="1">
        <v>45312</v>
      </c>
      <c r="D1249" t="s">
        <v>24</v>
      </c>
      <c r="E1249" t="s">
        <v>19</v>
      </c>
      <c r="F1249">
        <v>1</v>
      </c>
      <c r="G1249">
        <v>430.49</v>
      </c>
      <c r="H1249">
        <v>430.49</v>
      </c>
      <c r="I1249" t="s">
        <v>22</v>
      </c>
      <c r="J1249" t="str">
        <f t="shared" si="19"/>
        <v>Repeat Customer</v>
      </c>
    </row>
    <row r="1250" spans="1:10" x14ac:dyDescent="0.25">
      <c r="A1250">
        <v>11258</v>
      </c>
      <c r="B1250" t="s">
        <v>118</v>
      </c>
      <c r="C1250" s="1">
        <v>45764</v>
      </c>
      <c r="D1250" t="s">
        <v>10</v>
      </c>
      <c r="E1250" t="s">
        <v>31</v>
      </c>
      <c r="F1250">
        <v>2</v>
      </c>
      <c r="G1250">
        <v>45.86</v>
      </c>
      <c r="H1250">
        <v>91.72</v>
      </c>
      <c r="I1250" t="s">
        <v>14</v>
      </c>
      <c r="J1250" t="str">
        <f t="shared" si="19"/>
        <v>Repeat Customer</v>
      </c>
    </row>
    <row r="1251" spans="1:10" x14ac:dyDescent="0.25">
      <c r="A1251">
        <v>10079</v>
      </c>
      <c r="B1251" t="s">
        <v>86</v>
      </c>
      <c r="C1251" s="1">
        <v>45516</v>
      </c>
      <c r="D1251" t="s">
        <v>24</v>
      </c>
      <c r="E1251" t="s">
        <v>31</v>
      </c>
      <c r="F1251">
        <v>5</v>
      </c>
      <c r="G1251">
        <v>220.74</v>
      </c>
      <c r="H1251">
        <v>1103.7</v>
      </c>
      <c r="I1251" t="s">
        <v>22</v>
      </c>
      <c r="J1251" t="str">
        <f t="shared" si="19"/>
        <v>Repeat Customer</v>
      </c>
    </row>
    <row r="1252" spans="1:10" x14ac:dyDescent="0.25">
      <c r="A1252">
        <v>10684</v>
      </c>
      <c r="B1252" t="s">
        <v>86</v>
      </c>
      <c r="C1252" s="1">
        <v>45599</v>
      </c>
      <c r="D1252" t="s">
        <v>18</v>
      </c>
      <c r="E1252" t="s">
        <v>11</v>
      </c>
      <c r="F1252">
        <v>5</v>
      </c>
      <c r="G1252">
        <v>283.26</v>
      </c>
      <c r="H1252">
        <v>1416.3</v>
      </c>
      <c r="I1252" t="s">
        <v>32</v>
      </c>
      <c r="J1252" t="str">
        <f t="shared" si="19"/>
        <v>Repeat Customer</v>
      </c>
    </row>
    <row r="1253" spans="1:10" x14ac:dyDescent="0.25">
      <c r="A1253">
        <v>10836</v>
      </c>
      <c r="B1253" t="s">
        <v>86</v>
      </c>
      <c r="C1253" s="1">
        <v>45322</v>
      </c>
      <c r="D1253" t="s">
        <v>16</v>
      </c>
      <c r="E1253" t="s">
        <v>31</v>
      </c>
      <c r="F1253">
        <v>2</v>
      </c>
      <c r="G1253">
        <v>240.29</v>
      </c>
      <c r="H1253">
        <v>480.58</v>
      </c>
      <c r="I1253" t="s">
        <v>32</v>
      </c>
      <c r="J1253" t="str">
        <f t="shared" si="19"/>
        <v>Repeat Customer</v>
      </c>
    </row>
    <row r="1254" spans="1:10" x14ac:dyDescent="0.25">
      <c r="A1254">
        <v>10853</v>
      </c>
      <c r="B1254" t="s">
        <v>86</v>
      </c>
      <c r="C1254" s="1">
        <v>45965</v>
      </c>
      <c r="D1254" t="s">
        <v>10</v>
      </c>
      <c r="E1254" t="s">
        <v>11</v>
      </c>
      <c r="F1254">
        <v>7</v>
      </c>
      <c r="G1254">
        <v>487.61</v>
      </c>
      <c r="H1254">
        <v>3413.27</v>
      </c>
      <c r="I1254" t="s">
        <v>14</v>
      </c>
      <c r="J1254" t="str">
        <f t="shared" si="19"/>
        <v>Repeat Customer</v>
      </c>
    </row>
    <row r="1255" spans="1:10" x14ac:dyDescent="0.25">
      <c r="A1255">
        <v>11102</v>
      </c>
      <c r="B1255" t="s">
        <v>86</v>
      </c>
      <c r="C1255" s="1">
        <v>45701</v>
      </c>
      <c r="D1255" t="s">
        <v>18</v>
      </c>
      <c r="E1255" t="s">
        <v>31</v>
      </c>
      <c r="F1255">
        <v>8</v>
      </c>
      <c r="G1255">
        <v>259.11</v>
      </c>
      <c r="H1255">
        <v>2072.88</v>
      </c>
      <c r="I1255" t="s">
        <v>14</v>
      </c>
      <c r="J1255" t="str">
        <f t="shared" si="19"/>
        <v>Repeat Customer</v>
      </c>
    </row>
    <row r="1256" spans="1:10" x14ac:dyDescent="0.25">
      <c r="A1256">
        <v>10020</v>
      </c>
      <c r="B1256" t="s">
        <v>40</v>
      </c>
      <c r="C1256" s="1">
        <v>45311</v>
      </c>
      <c r="D1256" t="s">
        <v>16</v>
      </c>
      <c r="E1256" t="s">
        <v>25</v>
      </c>
      <c r="F1256">
        <v>2</v>
      </c>
      <c r="G1256">
        <v>464.9</v>
      </c>
      <c r="H1256">
        <v>929.8</v>
      </c>
      <c r="I1256" t="s">
        <v>12</v>
      </c>
      <c r="J1256" t="str">
        <f t="shared" si="19"/>
        <v>Repeat Customer</v>
      </c>
    </row>
    <row r="1257" spans="1:10" x14ac:dyDescent="0.25">
      <c r="A1257">
        <v>10161</v>
      </c>
      <c r="B1257" t="s">
        <v>40</v>
      </c>
      <c r="C1257" s="1">
        <v>45922</v>
      </c>
      <c r="D1257" t="s">
        <v>16</v>
      </c>
      <c r="E1257" t="s">
        <v>11</v>
      </c>
      <c r="F1257">
        <v>7</v>
      </c>
      <c r="G1257">
        <v>469.83</v>
      </c>
      <c r="H1257">
        <v>3288.81</v>
      </c>
      <c r="I1257" t="s">
        <v>22</v>
      </c>
      <c r="J1257" t="str">
        <f t="shared" si="19"/>
        <v>Repeat Customer</v>
      </c>
    </row>
    <row r="1258" spans="1:10" x14ac:dyDescent="0.25">
      <c r="A1258">
        <v>10783</v>
      </c>
      <c r="B1258" t="s">
        <v>40</v>
      </c>
      <c r="C1258" s="1">
        <v>45996</v>
      </c>
      <c r="D1258" t="s">
        <v>10</v>
      </c>
      <c r="E1258" t="s">
        <v>31</v>
      </c>
      <c r="F1258">
        <v>6</v>
      </c>
      <c r="G1258">
        <v>434.05</v>
      </c>
      <c r="H1258">
        <v>2604.3000000000002</v>
      </c>
      <c r="I1258" t="s">
        <v>32</v>
      </c>
      <c r="J1258" t="str">
        <f t="shared" si="19"/>
        <v>Repeat Customer</v>
      </c>
    </row>
    <row r="1259" spans="1:10" x14ac:dyDescent="0.25">
      <c r="A1259">
        <v>11341</v>
      </c>
      <c r="B1259" t="s">
        <v>40</v>
      </c>
      <c r="C1259" s="1">
        <v>45601</v>
      </c>
      <c r="D1259" t="s">
        <v>21</v>
      </c>
      <c r="E1259" t="s">
        <v>11</v>
      </c>
      <c r="F1259">
        <v>10</v>
      </c>
      <c r="G1259">
        <v>477.5</v>
      </c>
      <c r="H1259">
        <v>4775</v>
      </c>
      <c r="I1259" t="s">
        <v>32</v>
      </c>
      <c r="J1259" t="str">
        <f t="shared" si="19"/>
        <v>Repeat Customer</v>
      </c>
    </row>
    <row r="1260" spans="1:10" x14ac:dyDescent="0.25">
      <c r="A1260">
        <v>10105</v>
      </c>
      <c r="B1260" t="s">
        <v>104</v>
      </c>
      <c r="C1260" s="1">
        <v>45397</v>
      </c>
      <c r="D1260" t="s">
        <v>21</v>
      </c>
      <c r="E1260" t="s">
        <v>31</v>
      </c>
      <c r="F1260">
        <v>1</v>
      </c>
      <c r="G1260">
        <v>289.16000000000003</v>
      </c>
      <c r="H1260">
        <v>289.16000000000003</v>
      </c>
      <c r="I1260" t="s">
        <v>32</v>
      </c>
      <c r="J1260" t="str">
        <f t="shared" si="19"/>
        <v>Repeat Customer</v>
      </c>
    </row>
    <row r="1261" spans="1:10" x14ac:dyDescent="0.25">
      <c r="A1261">
        <v>10121</v>
      </c>
      <c r="B1261" t="s">
        <v>104</v>
      </c>
      <c r="C1261" s="1">
        <v>45385</v>
      </c>
      <c r="D1261" t="s">
        <v>16</v>
      </c>
      <c r="E1261" t="s">
        <v>19</v>
      </c>
      <c r="F1261">
        <v>8</v>
      </c>
      <c r="G1261">
        <v>177.24</v>
      </c>
      <c r="H1261">
        <v>1417.92</v>
      </c>
      <c r="I1261" t="s">
        <v>12</v>
      </c>
      <c r="J1261" t="str">
        <f t="shared" si="19"/>
        <v>Repeat Customer</v>
      </c>
    </row>
    <row r="1262" spans="1:10" x14ac:dyDescent="0.25">
      <c r="A1262">
        <v>10248</v>
      </c>
      <c r="B1262" t="s">
        <v>104</v>
      </c>
      <c r="C1262" s="1">
        <v>45496</v>
      </c>
      <c r="D1262" t="s">
        <v>24</v>
      </c>
      <c r="E1262" t="s">
        <v>31</v>
      </c>
      <c r="F1262">
        <v>2</v>
      </c>
      <c r="G1262">
        <v>72.19</v>
      </c>
      <c r="H1262">
        <v>144.38</v>
      </c>
      <c r="I1262" t="s">
        <v>14</v>
      </c>
      <c r="J1262" t="str">
        <f t="shared" si="19"/>
        <v>Repeat Customer</v>
      </c>
    </row>
    <row r="1263" spans="1:10" x14ac:dyDescent="0.25">
      <c r="A1263">
        <v>10393</v>
      </c>
      <c r="B1263" t="s">
        <v>104</v>
      </c>
      <c r="C1263" s="1">
        <v>45717</v>
      </c>
      <c r="D1263" t="s">
        <v>24</v>
      </c>
      <c r="E1263" t="s">
        <v>11</v>
      </c>
      <c r="F1263">
        <v>8</v>
      </c>
      <c r="G1263">
        <v>246.91</v>
      </c>
      <c r="H1263">
        <v>1975.28</v>
      </c>
      <c r="I1263" t="s">
        <v>14</v>
      </c>
      <c r="J1263" t="str">
        <f t="shared" si="19"/>
        <v>Repeat Customer</v>
      </c>
    </row>
    <row r="1264" spans="1:10" x14ac:dyDescent="0.25">
      <c r="A1264">
        <v>10885</v>
      </c>
      <c r="B1264" t="s">
        <v>104</v>
      </c>
      <c r="C1264" s="1">
        <v>45403</v>
      </c>
      <c r="D1264" t="s">
        <v>21</v>
      </c>
      <c r="E1264" t="s">
        <v>25</v>
      </c>
      <c r="F1264">
        <v>3</v>
      </c>
      <c r="G1264">
        <v>272.61</v>
      </c>
      <c r="H1264">
        <v>817.83</v>
      </c>
      <c r="I1264" t="s">
        <v>12</v>
      </c>
      <c r="J1264" t="str">
        <f t="shared" si="19"/>
        <v>Repeat Customer</v>
      </c>
    </row>
    <row r="1265" spans="1:10" x14ac:dyDescent="0.25">
      <c r="A1265">
        <v>10960</v>
      </c>
      <c r="B1265" t="s">
        <v>104</v>
      </c>
      <c r="C1265" s="1">
        <v>45617</v>
      </c>
      <c r="D1265" t="s">
        <v>24</v>
      </c>
      <c r="E1265" t="s">
        <v>19</v>
      </c>
      <c r="F1265">
        <v>10</v>
      </c>
      <c r="G1265">
        <v>304.51</v>
      </c>
      <c r="H1265">
        <v>3045.1</v>
      </c>
      <c r="I1265" t="s">
        <v>32</v>
      </c>
      <c r="J1265" t="str">
        <f t="shared" si="19"/>
        <v>Repeat Customer</v>
      </c>
    </row>
    <row r="1266" spans="1:10" x14ac:dyDescent="0.25">
      <c r="A1266">
        <v>10970</v>
      </c>
      <c r="B1266" t="s">
        <v>104</v>
      </c>
      <c r="C1266" s="1">
        <v>45996</v>
      </c>
      <c r="D1266" t="s">
        <v>16</v>
      </c>
      <c r="E1266" t="s">
        <v>31</v>
      </c>
      <c r="F1266">
        <v>4</v>
      </c>
      <c r="G1266">
        <v>19.079999999999998</v>
      </c>
      <c r="H1266">
        <v>76.319999999999993</v>
      </c>
      <c r="I1266" t="s">
        <v>12</v>
      </c>
      <c r="J1266" t="str">
        <f t="shared" si="19"/>
        <v>Repeat Customer</v>
      </c>
    </row>
    <row r="1267" spans="1:10" x14ac:dyDescent="0.25">
      <c r="A1267">
        <v>10797</v>
      </c>
      <c r="B1267" t="s">
        <v>302</v>
      </c>
      <c r="C1267" s="1">
        <v>45535</v>
      </c>
      <c r="D1267" t="s">
        <v>21</v>
      </c>
      <c r="E1267" t="s">
        <v>31</v>
      </c>
      <c r="F1267">
        <v>4</v>
      </c>
      <c r="G1267">
        <v>296.49</v>
      </c>
      <c r="H1267">
        <v>1185.96</v>
      </c>
      <c r="I1267" t="s">
        <v>32</v>
      </c>
      <c r="J1267" t="str">
        <f t="shared" si="19"/>
        <v>New Customer</v>
      </c>
    </row>
    <row r="1268" spans="1:10" x14ac:dyDescent="0.25">
      <c r="A1268">
        <v>10844</v>
      </c>
      <c r="B1268" t="s">
        <v>305</v>
      </c>
      <c r="C1268" s="1">
        <v>45952</v>
      </c>
      <c r="D1268" t="s">
        <v>10</v>
      </c>
      <c r="E1268" t="s">
        <v>11</v>
      </c>
      <c r="F1268">
        <v>1</v>
      </c>
      <c r="G1268">
        <v>49.81</v>
      </c>
      <c r="H1268">
        <v>49.81</v>
      </c>
      <c r="I1268" t="s">
        <v>14</v>
      </c>
      <c r="J1268" t="str">
        <f t="shared" si="19"/>
        <v>New Customer</v>
      </c>
    </row>
    <row r="1269" spans="1:10" x14ac:dyDescent="0.25">
      <c r="A1269">
        <v>10143</v>
      </c>
      <c r="B1269" t="s">
        <v>128</v>
      </c>
      <c r="C1269" s="1">
        <v>45889</v>
      </c>
      <c r="D1269" t="s">
        <v>16</v>
      </c>
      <c r="E1269" t="s">
        <v>31</v>
      </c>
      <c r="F1269">
        <v>3</v>
      </c>
      <c r="G1269">
        <v>119.93</v>
      </c>
      <c r="H1269">
        <v>359.79</v>
      </c>
      <c r="I1269" t="s">
        <v>22</v>
      </c>
      <c r="J1269" t="str">
        <f t="shared" si="19"/>
        <v>Repeat Customer</v>
      </c>
    </row>
    <row r="1270" spans="1:10" x14ac:dyDescent="0.25">
      <c r="A1270">
        <v>10901</v>
      </c>
      <c r="B1270" t="s">
        <v>128</v>
      </c>
      <c r="C1270" s="1">
        <v>45901</v>
      </c>
      <c r="D1270" t="s">
        <v>10</v>
      </c>
      <c r="E1270" t="s">
        <v>31</v>
      </c>
      <c r="F1270">
        <v>10</v>
      </c>
      <c r="G1270">
        <v>114.18</v>
      </c>
      <c r="H1270">
        <v>1141.8</v>
      </c>
      <c r="I1270" t="s">
        <v>22</v>
      </c>
      <c r="J1270" t="str">
        <f t="shared" si="19"/>
        <v>Repeat Customer</v>
      </c>
    </row>
    <row r="1271" spans="1:10" x14ac:dyDescent="0.25">
      <c r="A1271">
        <v>11018</v>
      </c>
      <c r="B1271" t="s">
        <v>128</v>
      </c>
      <c r="C1271" s="1">
        <v>45806</v>
      </c>
      <c r="D1271" t="s">
        <v>16</v>
      </c>
      <c r="E1271" t="s">
        <v>19</v>
      </c>
      <c r="F1271">
        <v>6</v>
      </c>
      <c r="G1271">
        <v>87.48</v>
      </c>
      <c r="H1271">
        <v>524.88</v>
      </c>
      <c r="I1271" t="s">
        <v>32</v>
      </c>
      <c r="J1271" t="str">
        <f t="shared" si="19"/>
        <v>Repeat Customer</v>
      </c>
    </row>
    <row r="1272" spans="1:10" x14ac:dyDescent="0.25">
      <c r="A1272">
        <v>11317</v>
      </c>
      <c r="B1272" t="s">
        <v>128</v>
      </c>
      <c r="C1272" s="1">
        <v>45381</v>
      </c>
      <c r="D1272" t="s">
        <v>18</v>
      </c>
      <c r="E1272" t="s">
        <v>31</v>
      </c>
      <c r="F1272">
        <v>5</v>
      </c>
      <c r="G1272">
        <v>417.02</v>
      </c>
      <c r="H1272">
        <v>2085.1</v>
      </c>
      <c r="I1272" t="s">
        <v>14</v>
      </c>
      <c r="J1272" t="str">
        <f t="shared" si="19"/>
        <v>Repeat Customer</v>
      </c>
    </row>
    <row r="1273" spans="1:10" x14ac:dyDescent="0.25">
      <c r="A1273">
        <v>10268</v>
      </c>
      <c r="B1273" t="s">
        <v>186</v>
      </c>
      <c r="C1273" s="1">
        <v>45607</v>
      </c>
      <c r="D1273" t="s">
        <v>21</v>
      </c>
      <c r="E1273" t="s">
        <v>31</v>
      </c>
      <c r="F1273">
        <v>8</v>
      </c>
      <c r="G1273">
        <v>16.47</v>
      </c>
      <c r="H1273">
        <v>131.76</v>
      </c>
      <c r="I1273" t="s">
        <v>14</v>
      </c>
      <c r="J1273" t="str">
        <f t="shared" si="19"/>
        <v>Repeat Customer</v>
      </c>
    </row>
    <row r="1274" spans="1:10" x14ac:dyDescent="0.25">
      <c r="A1274">
        <v>10349</v>
      </c>
      <c r="B1274" t="s">
        <v>186</v>
      </c>
      <c r="C1274" s="1">
        <v>45736</v>
      </c>
      <c r="D1274" t="s">
        <v>24</v>
      </c>
      <c r="E1274" t="s">
        <v>11</v>
      </c>
      <c r="F1274">
        <v>6</v>
      </c>
      <c r="G1274">
        <v>285.10000000000002</v>
      </c>
      <c r="H1274">
        <v>1710.6</v>
      </c>
      <c r="I1274" t="s">
        <v>14</v>
      </c>
      <c r="J1274" t="str">
        <f t="shared" si="19"/>
        <v>Repeat Customer</v>
      </c>
    </row>
    <row r="1275" spans="1:10" x14ac:dyDescent="0.25">
      <c r="A1275">
        <v>10566</v>
      </c>
      <c r="B1275" t="s">
        <v>186</v>
      </c>
      <c r="C1275" s="1">
        <v>45749</v>
      </c>
      <c r="D1275" t="s">
        <v>21</v>
      </c>
      <c r="E1275" t="s">
        <v>11</v>
      </c>
      <c r="F1275">
        <v>6</v>
      </c>
      <c r="G1275">
        <v>63.76</v>
      </c>
      <c r="H1275">
        <v>382.56</v>
      </c>
      <c r="I1275" t="s">
        <v>12</v>
      </c>
      <c r="J1275" t="str">
        <f t="shared" si="19"/>
        <v>Repeat Customer</v>
      </c>
    </row>
    <row r="1276" spans="1:10" x14ac:dyDescent="0.25">
      <c r="A1276">
        <v>10712</v>
      </c>
      <c r="B1276" t="s">
        <v>186</v>
      </c>
      <c r="C1276" s="1">
        <v>45672</v>
      </c>
      <c r="D1276" t="s">
        <v>24</v>
      </c>
      <c r="E1276" t="s">
        <v>19</v>
      </c>
      <c r="F1276">
        <v>8</v>
      </c>
      <c r="G1276">
        <v>349.98</v>
      </c>
      <c r="H1276">
        <v>2799.84</v>
      </c>
      <c r="I1276" t="s">
        <v>12</v>
      </c>
      <c r="J1276" t="str">
        <f t="shared" si="19"/>
        <v>Repeat Customer</v>
      </c>
    </row>
    <row r="1277" spans="1:10" x14ac:dyDescent="0.25">
      <c r="A1277">
        <v>10909</v>
      </c>
      <c r="B1277" t="s">
        <v>186</v>
      </c>
      <c r="C1277" s="1">
        <v>45918</v>
      </c>
      <c r="D1277" t="s">
        <v>16</v>
      </c>
      <c r="E1277" t="s">
        <v>19</v>
      </c>
      <c r="F1277">
        <v>2</v>
      </c>
      <c r="G1277">
        <v>315.45999999999998</v>
      </c>
      <c r="H1277">
        <v>630.91999999999996</v>
      </c>
      <c r="I1277" t="s">
        <v>32</v>
      </c>
      <c r="J1277" t="str">
        <f t="shared" si="19"/>
        <v>Repeat Customer</v>
      </c>
    </row>
    <row r="1278" spans="1:10" x14ac:dyDescent="0.25">
      <c r="A1278">
        <v>11220</v>
      </c>
      <c r="B1278" t="s">
        <v>186</v>
      </c>
      <c r="C1278" s="1">
        <v>45823</v>
      </c>
      <c r="D1278" t="s">
        <v>16</v>
      </c>
      <c r="E1278" t="s">
        <v>31</v>
      </c>
      <c r="F1278">
        <v>8</v>
      </c>
      <c r="G1278">
        <v>93.6</v>
      </c>
      <c r="H1278">
        <v>748.8</v>
      </c>
      <c r="I1278" t="s">
        <v>32</v>
      </c>
      <c r="J1278" t="str">
        <f t="shared" si="19"/>
        <v>Repeat Customer</v>
      </c>
    </row>
    <row r="1279" spans="1:10" x14ac:dyDescent="0.25">
      <c r="A1279">
        <v>10427</v>
      </c>
      <c r="B1279" t="s">
        <v>235</v>
      </c>
      <c r="C1279" s="1">
        <v>45717</v>
      </c>
      <c r="D1279" t="s">
        <v>24</v>
      </c>
      <c r="E1279" t="s">
        <v>25</v>
      </c>
      <c r="F1279">
        <v>7</v>
      </c>
      <c r="G1279">
        <v>352.4</v>
      </c>
      <c r="H1279">
        <v>2466.8000000000002</v>
      </c>
      <c r="I1279" t="s">
        <v>22</v>
      </c>
      <c r="J1279" t="str">
        <f t="shared" si="19"/>
        <v>Repeat Customer</v>
      </c>
    </row>
    <row r="1280" spans="1:10" x14ac:dyDescent="0.25">
      <c r="A1280">
        <v>11228</v>
      </c>
      <c r="B1280" t="s">
        <v>235</v>
      </c>
      <c r="C1280" s="1">
        <v>45817</v>
      </c>
      <c r="D1280" t="s">
        <v>16</v>
      </c>
      <c r="E1280" t="s">
        <v>25</v>
      </c>
      <c r="F1280">
        <v>9</v>
      </c>
      <c r="G1280">
        <v>323.61</v>
      </c>
      <c r="H1280">
        <v>2912.49</v>
      </c>
      <c r="I1280" t="s">
        <v>12</v>
      </c>
      <c r="J1280" t="str">
        <f t="shared" si="19"/>
        <v>Repeat Customer</v>
      </c>
    </row>
    <row r="1281" spans="1:10" x14ac:dyDescent="0.25">
      <c r="A1281">
        <v>10037</v>
      </c>
      <c r="B1281" t="s">
        <v>54</v>
      </c>
      <c r="C1281" s="1">
        <v>45835</v>
      </c>
      <c r="D1281" t="s">
        <v>18</v>
      </c>
      <c r="E1281" t="s">
        <v>11</v>
      </c>
      <c r="F1281">
        <v>3</v>
      </c>
      <c r="G1281">
        <v>33.159999999999997</v>
      </c>
      <c r="H1281">
        <v>99.48</v>
      </c>
      <c r="I1281" t="s">
        <v>14</v>
      </c>
      <c r="J1281" t="str">
        <f t="shared" si="19"/>
        <v>Repeat Customer</v>
      </c>
    </row>
    <row r="1282" spans="1:10" x14ac:dyDescent="0.25">
      <c r="A1282">
        <v>10322</v>
      </c>
      <c r="B1282" t="s">
        <v>54</v>
      </c>
      <c r="C1282" s="1">
        <v>45588</v>
      </c>
      <c r="D1282" t="s">
        <v>18</v>
      </c>
      <c r="E1282" t="s">
        <v>19</v>
      </c>
      <c r="F1282">
        <v>4</v>
      </c>
      <c r="G1282">
        <v>408.81</v>
      </c>
      <c r="H1282">
        <v>1635.24</v>
      </c>
      <c r="I1282" t="s">
        <v>22</v>
      </c>
      <c r="J1282" t="str">
        <f t="shared" ref="J1282:J1345" si="20">IF(COUNTIF($B:$B,B1282)&gt;1,"Repeat Customer","New Customer")</f>
        <v>Repeat Customer</v>
      </c>
    </row>
    <row r="1283" spans="1:10" x14ac:dyDescent="0.25">
      <c r="A1283">
        <v>10440</v>
      </c>
      <c r="B1283" t="s">
        <v>54</v>
      </c>
      <c r="C1283" s="1">
        <v>45981</v>
      </c>
      <c r="D1283" t="s">
        <v>18</v>
      </c>
      <c r="E1283" t="s">
        <v>11</v>
      </c>
      <c r="F1283">
        <v>1</v>
      </c>
      <c r="G1283">
        <v>93.78</v>
      </c>
      <c r="H1283">
        <v>93.78</v>
      </c>
      <c r="I1283" t="s">
        <v>32</v>
      </c>
      <c r="J1283" t="str">
        <f t="shared" si="20"/>
        <v>Repeat Customer</v>
      </c>
    </row>
    <row r="1284" spans="1:10" x14ac:dyDescent="0.25">
      <c r="A1284">
        <v>10751</v>
      </c>
      <c r="B1284" t="s">
        <v>54</v>
      </c>
      <c r="C1284" s="1">
        <v>46006</v>
      </c>
      <c r="D1284" t="s">
        <v>21</v>
      </c>
      <c r="E1284" t="s">
        <v>31</v>
      </c>
      <c r="F1284">
        <v>4</v>
      </c>
      <c r="G1284">
        <v>80.83</v>
      </c>
      <c r="H1284">
        <v>323.32</v>
      </c>
      <c r="I1284" t="s">
        <v>12</v>
      </c>
      <c r="J1284" t="str">
        <f t="shared" si="20"/>
        <v>Repeat Customer</v>
      </c>
    </row>
    <row r="1285" spans="1:10" x14ac:dyDescent="0.25">
      <c r="A1285">
        <v>11153</v>
      </c>
      <c r="B1285" t="s">
        <v>54</v>
      </c>
      <c r="C1285" s="1">
        <v>45311</v>
      </c>
      <c r="D1285" t="s">
        <v>18</v>
      </c>
      <c r="E1285" t="s">
        <v>25</v>
      </c>
      <c r="F1285">
        <v>2</v>
      </c>
      <c r="G1285">
        <v>330.84</v>
      </c>
      <c r="H1285">
        <v>661.68</v>
      </c>
      <c r="I1285" t="s">
        <v>12</v>
      </c>
      <c r="J1285" t="str">
        <f t="shared" si="20"/>
        <v>Repeat Customer</v>
      </c>
    </row>
    <row r="1286" spans="1:10" x14ac:dyDescent="0.25">
      <c r="A1286">
        <v>11247</v>
      </c>
      <c r="B1286" t="s">
        <v>54</v>
      </c>
      <c r="C1286" s="1">
        <v>45993</v>
      </c>
      <c r="D1286" t="s">
        <v>24</v>
      </c>
      <c r="E1286" t="s">
        <v>25</v>
      </c>
      <c r="F1286">
        <v>8</v>
      </c>
      <c r="G1286">
        <v>141.34</v>
      </c>
      <c r="H1286">
        <v>1130.72</v>
      </c>
      <c r="I1286" t="s">
        <v>32</v>
      </c>
      <c r="J1286" t="str">
        <f t="shared" si="20"/>
        <v>Repeat Customer</v>
      </c>
    </row>
    <row r="1287" spans="1:10" x14ac:dyDescent="0.25">
      <c r="A1287">
        <v>11303</v>
      </c>
      <c r="B1287" t="s">
        <v>54</v>
      </c>
      <c r="C1287" s="1">
        <v>45404</v>
      </c>
      <c r="D1287" t="s">
        <v>10</v>
      </c>
      <c r="E1287" t="s">
        <v>25</v>
      </c>
      <c r="F1287">
        <v>8</v>
      </c>
      <c r="G1287">
        <v>285.70999999999998</v>
      </c>
      <c r="H1287">
        <v>2285.6799999999998</v>
      </c>
      <c r="I1287" t="s">
        <v>14</v>
      </c>
      <c r="J1287" t="str">
        <f t="shared" si="20"/>
        <v>Repeat Customer</v>
      </c>
    </row>
    <row r="1288" spans="1:10" x14ac:dyDescent="0.25">
      <c r="A1288">
        <v>10072</v>
      </c>
      <c r="B1288" t="s">
        <v>80</v>
      </c>
      <c r="C1288" s="1">
        <v>45728</v>
      </c>
      <c r="D1288" t="s">
        <v>10</v>
      </c>
      <c r="E1288" t="s">
        <v>31</v>
      </c>
      <c r="F1288">
        <v>9</v>
      </c>
      <c r="G1288">
        <v>225.73</v>
      </c>
      <c r="H1288">
        <v>2031.57</v>
      </c>
      <c r="I1288" t="s">
        <v>32</v>
      </c>
      <c r="J1288" t="str">
        <f t="shared" si="20"/>
        <v>Repeat Customer</v>
      </c>
    </row>
    <row r="1289" spans="1:10" x14ac:dyDescent="0.25">
      <c r="A1289">
        <v>10342</v>
      </c>
      <c r="B1289" t="s">
        <v>80</v>
      </c>
      <c r="C1289" s="1">
        <v>45758</v>
      </c>
      <c r="D1289" t="s">
        <v>18</v>
      </c>
      <c r="E1289" t="s">
        <v>31</v>
      </c>
      <c r="F1289">
        <v>6</v>
      </c>
      <c r="G1289">
        <v>34.92</v>
      </c>
      <c r="H1289">
        <v>209.52</v>
      </c>
      <c r="I1289" t="s">
        <v>32</v>
      </c>
      <c r="J1289" t="str">
        <f t="shared" si="20"/>
        <v>Repeat Customer</v>
      </c>
    </row>
    <row r="1290" spans="1:10" x14ac:dyDescent="0.25">
      <c r="A1290">
        <v>10542</v>
      </c>
      <c r="B1290" t="s">
        <v>80</v>
      </c>
      <c r="C1290" s="1">
        <v>45465</v>
      </c>
      <c r="D1290" t="s">
        <v>24</v>
      </c>
      <c r="E1290" t="s">
        <v>31</v>
      </c>
      <c r="F1290">
        <v>2</v>
      </c>
      <c r="G1290">
        <v>186.46</v>
      </c>
      <c r="H1290">
        <v>372.92</v>
      </c>
      <c r="I1290" t="s">
        <v>22</v>
      </c>
      <c r="J1290" t="str">
        <f t="shared" si="20"/>
        <v>Repeat Customer</v>
      </c>
    </row>
    <row r="1291" spans="1:10" x14ac:dyDescent="0.25">
      <c r="A1291">
        <v>11131</v>
      </c>
      <c r="B1291" t="s">
        <v>80</v>
      </c>
      <c r="C1291" s="1">
        <v>45405</v>
      </c>
      <c r="D1291" t="s">
        <v>16</v>
      </c>
      <c r="E1291" t="s">
        <v>19</v>
      </c>
      <c r="F1291">
        <v>1</v>
      </c>
      <c r="G1291">
        <v>421.58</v>
      </c>
      <c r="H1291">
        <v>421.58</v>
      </c>
      <c r="I1291" t="s">
        <v>12</v>
      </c>
      <c r="J1291" t="str">
        <f t="shared" si="20"/>
        <v>Repeat Customer</v>
      </c>
    </row>
    <row r="1292" spans="1:10" x14ac:dyDescent="0.25">
      <c r="A1292">
        <v>11140</v>
      </c>
      <c r="B1292" t="s">
        <v>80</v>
      </c>
      <c r="C1292" s="1">
        <v>45422</v>
      </c>
      <c r="D1292" t="s">
        <v>10</v>
      </c>
      <c r="E1292" t="s">
        <v>11</v>
      </c>
      <c r="F1292">
        <v>8</v>
      </c>
      <c r="G1292">
        <v>357.02</v>
      </c>
      <c r="H1292">
        <v>2856.16</v>
      </c>
      <c r="I1292" t="s">
        <v>14</v>
      </c>
      <c r="J1292" t="str">
        <f t="shared" si="20"/>
        <v>Repeat Customer</v>
      </c>
    </row>
    <row r="1293" spans="1:10" x14ac:dyDescent="0.25">
      <c r="A1293">
        <v>11148</v>
      </c>
      <c r="B1293" t="s">
        <v>80</v>
      </c>
      <c r="C1293" s="1">
        <v>45943</v>
      </c>
      <c r="D1293" t="s">
        <v>21</v>
      </c>
      <c r="E1293" t="s">
        <v>25</v>
      </c>
      <c r="F1293">
        <v>8</v>
      </c>
      <c r="G1293">
        <v>382.03</v>
      </c>
      <c r="H1293">
        <v>3056.24</v>
      </c>
      <c r="I1293" t="s">
        <v>22</v>
      </c>
      <c r="J1293" t="str">
        <f t="shared" si="20"/>
        <v>Repeat Customer</v>
      </c>
    </row>
    <row r="1294" spans="1:10" x14ac:dyDescent="0.25">
      <c r="A1294">
        <v>10019</v>
      </c>
      <c r="B1294" t="s">
        <v>39</v>
      </c>
      <c r="C1294" s="1">
        <v>45915</v>
      </c>
      <c r="D1294" t="s">
        <v>10</v>
      </c>
      <c r="E1294" t="s">
        <v>11</v>
      </c>
      <c r="F1294">
        <v>4</v>
      </c>
      <c r="G1294">
        <v>80.66</v>
      </c>
      <c r="H1294">
        <v>322.64</v>
      </c>
      <c r="I1294" t="s">
        <v>22</v>
      </c>
      <c r="J1294" t="str">
        <f t="shared" si="20"/>
        <v>Repeat Customer</v>
      </c>
    </row>
    <row r="1295" spans="1:10" x14ac:dyDescent="0.25">
      <c r="A1295">
        <v>10091</v>
      </c>
      <c r="B1295" t="s">
        <v>39</v>
      </c>
      <c r="C1295" s="1">
        <v>45955</v>
      </c>
      <c r="D1295" t="s">
        <v>21</v>
      </c>
      <c r="E1295" t="s">
        <v>31</v>
      </c>
      <c r="F1295">
        <v>6</v>
      </c>
      <c r="G1295">
        <v>11.26</v>
      </c>
      <c r="H1295">
        <v>67.56</v>
      </c>
      <c r="I1295" t="s">
        <v>12</v>
      </c>
      <c r="J1295" t="str">
        <f t="shared" si="20"/>
        <v>Repeat Customer</v>
      </c>
    </row>
    <row r="1296" spans="1:10" x14ac:dyDescent="0.25">
      <c r="A1296">
        <v>10622</v>
      </c>
      <c r="B1296" t="s">
        <v>39</v>
      </c>
      <c r="C1296" s="1">
        <v>45938</v>
      </c>
      <c r="D1296" t="s">
        <v>18</v>
      </c>
      <c r="E1296" t="s">
        <v>31</v>
      </c>
      <c r="F1296">
        <v>1</v>
      </c>
      <c r="G1296">
        <v>407.26</v>
      </c>
      <c r="H1296">
        <v>407.26</v>
      </c>
      <c r="I1296" t="s">
        <v>14</v>
      </c>
      <c r="J1296" t="str">
        <f t="shared" si="20"/>
        <v>Repeat Customer</v>
      </c>
    </row>
    <row r="1297" spans="1:10" x14ac:dyDescent="0.25">
      <c r="A1297">
        <v>11477</v>
      </c>
      <c r="B1297" t="s">
        <v>39</v>
      </c>
      <c r="C1297" s="1">
        <v>45752</v>
      </c>
      <c r="D1297" t="s">
        <v>24</v>
      </c>
      <c r="E1297" t="s">
        <v>11</v>
      </c>
      <c r="F1297">
        <v>5</v>
      </c>
      <c r="G1297">
        <v>439.32</v>
      </c>
      <c r="H1297">
        <v>2196.6</v>
      </c>
      <c r="I1297" t="s">
        <v>14</v>
      </c>
      <c r="J1297" t="str">
        <f t="shared" si="20"/>
        <v>Repeat Customer</v>
      </c>
    </row>
    <row r="1298" spans="1:10" x14ac:dyDescent="0.25">
      <c r="A1298">
        <v>10130</v>
      </c>
      <c r="B1298" t="s">
        <v>122</v>
      </c>
      <c r="C1298" s="1">
        <v>45431</v>
      </c>
      <c r="D1298" t="s">
        <v>21</v>
      </c>
      <c r="E1298" t="s">
        <v>19</v>
      </c>
      <c r="F1298">
        <v>2</v>
      </c>
      <c r="G1298">
        <v>141.74</v>
      </c>
      <c r="H1298">
        <v>283.48</v>
      </c>
      <c r="I1298" t="s">
        <v>22</v>
      </c>
      <c r="J1298" t="str">
        <f t="shared" si="20"/>
        <v>Repeat Customer</v>
      </c>
    </row>
    <row r="1299" spans="1:10" x14ac:dyDescent="0.25">
      <c r="A1299">
        <v>10568</v>
      </c>
      <c r="B1299" t="s">
        <v>122</v>
      </c>
      <c r="C1299" s="1">
        <v>45867</v>
      </c>
      <c r="D1299" t="s">
        <v>21</v>
      </c>
      <c r="E1299" t="s">
        <v>19</v>
      </c>
      <c r="F1299">
        <v>4</v>
      </c>
      <c r="G1299">
        <v>329.03</v>
      </c>
      <c r="H1299">
        <v>1316.12</v>
      </c>
      <c r="I1299" t="s">
        <v>22</v>
      </c>
      <c r="J1299" t="str">
        <f t="shared" si="20"/>
        <v>Repeat Customer</v>
      </c>
    </row>
    <row r="1300" spans="1:10" x14ac:dyDescent="0.25">
      <c r="A1300">
        <v>10855</v>
      </c>
      <c r="B1300" t="s">
        <v>122</v>
      </c>
      <c r="C1300" s="1">
        <v>45726</v>
      </c>
      <c r="D1300" t="s">
        <v>21</v>
      </c>
      <c r="E1300" t="s">
        <v>19</v>
      </c>
      <c r="F1300">
        <v>9</v>
      </c>
      <c r="G1300">
        <v>410.94</v>
      </c>
      <c r="H1300">
        <v>3698.46</v>
      </c>
      <c r="I1300" t="s">
        <v>14</v>
      </c>
      <c r="J1300" t="str">
        <f t="shared" si="20"/>
        <v>Repeat Customer</v>
      </c>
    </row>
    <row r="1301" spans="1:10" x14ac:dyDescent="0.25">
      <c r="A1301">
        <v>11072</v>
      </c>
      <c r="B1301" t="s">
        <v>122</v>
      </c>
      <c r="C1301" s="1">
        <v>45571</v>
      </c>
      <c r="D1301" t="s">
        <v>18</v>
      </c>
      <c r="E1301" t="s">
        <v>25</v>
      </c>
      <c r="F1301">
        <v>10</v>
      </c>
      <c r="G1301">
        <v>445.99</v>
      </c>
      <c r="H1301">
        <v>4459.8999999999996</v>
      </c>
      <c r="I1301" t="s">
        <v>12</v>
      </c>
      <c r="J1301" t="str">
        <f t="shared" si="20"/>
        <v>Repeat Customer</v>
      </c>
    </row>
    <row r="1302" spans="1:10" x14ac:dyDescent="0.25">
      <c r="A1302">
        <v>11162</v>
      </c>
      <c r="B1302" t="s">
        <v>122</v>
      </c>
      <c r="C1302" s="1">
        <v>45808</v>
      </c>
      <c r="D1302" t="s">
        <v>16</v>
      </c>
      <c r="E1302" t="s">
        <v>11</v>
      </c>
      <c r="F1302">
        <v>7</v>
      </c>
      <c r="G1302">
        <v>474.93</v>
      </c>
      <c r="H1302">
        <v>3324.51</v>
      </c>
      <c r="I1302" t="s">
        <v>22</v>
      </c>
      <c r="J1302" t="str">
        <f t="shared" si="20"/>
        <v>Repeat Customer</v>
      </c>
    </row>
    <row r="1303" spans="1:10" x14ac:dyDescent="0.25">
      <c r="A1303">
        <v>10310</v>
      </c>
      <c r="B1303" t="s">
        <v>204</v>
      </c>
      <c r="C1303" s="1">
        <v>45748</v>
      </c>
      <c r="D1303" t="s">
        <v>18</v>
      </c>
      <c r="E1303" t="s">
        <v>31</v>
      </c>
      <c r="F1303">
        <v>1</v>
      </c>
      <c r="G1303">
        <v>229.45</v>
      </c>
      <c r="H1303">
        <v>229.45</v>
      </c>
      <c r="I1303" t="s">
        <v>32</v>
      </c>
      <c r="J1303" t="str">
        <f t="shared" si="20"/>
        <v>New Customer</v>
      </c>
    </row>
    <row r="1304" spans="1:10" x14ac:dyDescent="0.25">
      <c r="A1304">
        <v>10517</v>
      </c>
      <c r="B1304" t="s">
        <v>257</v>
      </c>
      <c r="C1304" s="1">
        <v>45312</v>
      </c>
      <c r="D1304" t="s">
        <v>10</v>
      </c>
      <c r="E1304" t="s">
        <v>25</v>
      </c>
      <c r="F1304">
        <v>1</v>
      </c>
      <c r="G1304">
        <v>239.68</v>
      </c>
      <c r="H1304">
        <v>239.68</v>
      </c>
      <c r="I1304" t="s">
        <v>12</v>
      </c>
      <c r="J1304" t="str">
        <f t="shared" si="20"/>
        <v>Repeat Customer</v>
      </c>
    </row>
    <row r="1305" spans="1:10" x14ac:dyDescent="0.25">
      <c r="A1305">
        <v>10637</v>
      </c>
      <c r="B1305" t="s">
        <v>257</v>
      </c>
      <c r="C1305" s="1">
        <v>45332</v>
      </c>
      <c r="D1305" t="s">
        <v>10</v>
      </c>
      <c r="E1305" t="s">
        <v>19</v>
      </c>
      <c r="F1305">
        <v>10</v>
      </c>
      <c r="G1305">
        <v>77.7</v>
      </c>
      <c r="H1305">
        <v>777</v>
      </c>
      <c r="I1305" t="s">
        <v>14</v>
      </c>
      <c r="J1305" t="str">
        <f t="shared" si="20"/>
        <v>Repeat Customer</v>
      </c>
    </row>
    <row r="1306" spans="1:10" x14ac:dyDescent="0.25">
      <c r="A1306">
        <v>11084</v>
      </c>
      <c r="B1306" t="s">
        <v>257</v>
      </c>
      <c r="C1306" s="1">
        <v>45641</v>
      </c>
      <c r="D1306" t="s">
        <v>10</v>
      </c>
      <c r="E1306" t="s">
        <v>31</v>
      </c>
      <c r="F1306">
        <v>8</v>
      </c>
      <c r="G1306">
        <v>339.84</v>
      </c>
      <c r="H1306">
        <v>2718.72</v>
      </c>
      <c r="I1306" t="s">
        <v>12</v>
      </c>
      <c r="J1306" t="str">
        <f t="shared" si="20"/>
        <v>Repeat Customer</v>
      </c>
    </row>
    <row r="1307" spans="1:10" x14ac:dyDescent="0.25">
      <c r="A1307">
        <v>10276</v>
      </c>
      <c r="B1307" t="s">
        <v>190</v>
      </c>
      <c r="C1307" s="1">
        <v>45435</v>
      </c>
      <c r="D1307" t="s">
        <v>16</v>
      </c>
      <c r="E1307" t="s">
        <v>25</v>
      </c>
      <c r="F1307">
        <v>6</v>
      </c>
      <c r="G1307">
        <v>466.03</v>
      </c>
      <c r="H1307">
        <v>2796.18</v>
      </c>
      <c r="I1307" t="s">
        <v>32</v>
      </c>
      <c r="J1307" t="str">
        <f t="shared" si="20"/>
        <v>Repeat Customer</v>
      </c>
    </row>
    <row r="1308" spans="1:10" x14ac:dyDescent="0.25">
      <c r="A1308">
        <v>10590</v>
      </c>
      <c r="B1308" t="s">
        <v>190</v>
      </c>
      <c r="C1308" s="1">
        <v>45414</v>
      </c>
      <c r="D1308" t="s">
        <v>16</v>
      </c>
      <c r="E1308" t="s">
        <v>19</v>
      </c>
      <c r="F1308">
        <v>7</v>
      </c>
      <c r="G1308">
        <v>25.11</v>
      </c>
      <c r="H1308">
        <v>175.77</v>
      </c>
      <c r="I1308" t="s">
        <v>14</v>
      </c>
      <c r="J1308" t="str">
        <f t="shared" si="20"/>
        <v>Repeat Customer</v>
      </c>
    </row>
    <row r="1309" spans="1:10" x14ac:dyDescent="0.25">
      <c r="A1309">
        <v>10935</v>
      </c>
      <c r="B1309" t="s">
        <v>190</v>
      </c>
      <c r="C1309" s="1">
        <v>45982</v>
      </c>
      <c r="D1309" t="s">
        <v>24</v>
      </c>
      <c r="E1309" t="s">
        <v>31</v>
      </c>
      <c r="F1309">
        <v>6</v>
      </c>
      <c r="G1309">
        <v>444.55</v>
      </c>
      <c r="H1309">
        <v>2667.3</v>
      </c>
      <c r="I1309" t="s">
        <v>22</v>
      </c>
      <c r="J1309" t="str">
        <f t="shared" si="20"/>
        <v>Repeat Customer</v>
      </c>
    </row>
    <row r="1310" spans="1:10" x14ac:dyDescent="0.25">
      <c r="A1310">
        <v>11114</v>
      </c>
      <c r="B1310" t="s">
        <v>190</v>
      </c>
      <c r="C1310" s="1">
        <v>45910</v>
      </c>
      <c r="D1310" t="s">
        <v>21</v>
      </c>
      <c r="E1310" t="s">
        <v>31</v>
      </c>
      <c r="F1310">
        <v>2</v>
      </c>
      <c r="G1310">
        <v>354.67</v>
      </c>
      <c r="H1310">
        <v>709.34</v>
      </c>
      <c r="I1310" t="s">
        <v>12</v>
      </c>
      <c r="J1310" t="str">
        <f t="shared" si="20"/>
        <v>Repeat Customer</v>
      </c>
    </row>
    <row r="1311" spans="1:10" x14ac:dyDescent="0.25">
      <c r="A1311">
        <v>11374</v>
      </c>
      <c r="B1311" t="s">
        <v>190</v>
      </c>
      <c r="C1311" s="1">
        <v>45993</v>
      </c>
      <c r="D1311" t="s">
        <v>21</v>
      </c>
      <c r="E1311" t="s">
        <v>11</v>
      </c>
      <c r="F1311">
        <v>9</v>
      </c>
      <c r="G1311">
        <v>350.45</v>
      </c>
      <c r="H1311">
        <v>3154.05</v>
      </c>
      <c r="I1311" t="s">
        <v>14</v>
      </c>
      <c r="J1311" t="str">
        <f t="shared" si="20"/>
        <v>Repeat Customer</v>
      </c>
    </row>
    <row r="1312" spans="1:10" x14ac:dyDescent="0.25">
      <c r="A1312">
        <v>10024</v>
      </c>
      <c r="B1312" t="s">
        <v>43</v>
      </c>
      <c r="C1312" s="1">
        <v>45754</v>
      </c>
      <c r="D1312" t="s">
        <v>24</v>
      </c>
      <c r="E1312" t="s">
        <v>19</v>
      </c>
      <c r="F1312">
        <v>2</v>
      </c>
      <c r="G1312">
        <v>127.71</v>
      </c>
      <c r="H1312">
        <v>255.42</v>
      </c>
      <c r="I1312" t="s">
        <v>12</v>
      </c>
      <c r="J1312" t="str">
        <f t="shared" si="20"/>
        <v>Repeat Customer</v>
      </c>
    </row>
    <row r="1313" spans="1:10" x14ac:dyDescent="0.25">
      <c r="A1313">
        <v>10097</v>
      </c>
      <c r="B1313" t="s">
        <v>43</v>
      </c>
      <c r="C1313" s="1">
        <v>45487</v>
      </c>
      <c r="D1313" t="s">
        <v>21</v>
      </c>
      <c r="E1313" t="s">
        <v>31</v>
      </c>
      <c r="F1313">
        <v>2</v>
      </c>
      <c r="G1313">
        <v>124.47</v>
      </c>
      <c r="H1313">
        <v>248.94</v>
      </c>
      <c r="I1313" t="s">
        <v>14</v>
      </c>
      <c r="J1313" t="str">
        <f t="shared" si="20"/>
        <v>Repeat Customer</v>
      </c>
    </row>
    <row r="1314" spans="1:10" x14ac:dyDescent="0.25">
      <c r="A1314">
        <v>10599</v>
      </c>
      <c r="B1314" t="s">
        <v>43</v>
      </c>
      <c r="C1314" s="1">
        <v>45675</v>
      </c>
      <c r="D1314" t="s">
        <v>21</v>
      </c>
      <c r="E1314" t="s">
        <v>31</v>
      </c>
      <c r="F1314">
        <v>9</v>
      </c>
      <c r="G1314">
        <v>402.39</v>
      </c>
      <c r="H1314">
        <v>3621.51</v>
      </c>
      <c r="I1314" t="s">
        <v>12</v>
      </c>
      <c r="J1314" t="str">
        <f t="shared" si="20"/>
        <v>Repeat Customer</v>
      </c>
    </row>
    <row r="1315" spans="1:10" x14ac:dyDescent="0.25">
      <c r="A1315">
        <v>10638</v>
      </c>
      <c r="B1315" t="s">
        <v>43</v>
      </c>
      <c r="C1315" s="1">
        <v>45707</v>
      </c>
      <c r="D1315" t="s">
        <v>24</v>
      </c>
      <c r="E1315" t="s">
        <v>19</v>
      </c>
      <c r="F1315">
        <v>10</v>
      </c>
      <c r="G1315">
        <v>484.78</v>
      </c>
      <c r="H1315">
        <v>4847.8</v>
      </c>
      <c r="I1315" t="s">
        <v>12</v>
      </c>
      <c r="J1315" t="str">
        <f t="shared" si="20"/>
        <v>Repeat Customer</v>
      </c>
    </row>
    <row r="1316" spans="1:10" x14ac:dyDescent="0.25">
      <c r="A1316">
        <v>10823</v>
      </c>
      <c r="B1316" t="s">
        <v>43</v>
      </c>
      <c r="C1316" s="1">
        <v>45984</v>
      </c>
      <c r="D1316" t="s">
        <v>24</v>
      </c>
      <c r="E1316" t="s">
        <v>31</v>
      </c>
      <c r="F1316">
        <v>3</v>
      </c>
      <c r="G1316">
        <v>106.57</v>
      </c>
      <c r="H1316">
        <v>319.70999999999998</v>
      </c>
      <c r="I1316" t="s">
        <v>32</v>
      </c>
      <c r="J1316" t="str">
        <f t="shared" si="20"/>
        <v>Repeat Customer</v>
      </c>
    </row>
    <row r="1317" spans="1:10" x14ac:dyDescent="0.25">
      <c r="A1317">
        <v>10238</v>
      </c>
      <c r="B1317" t="s">
        <v>177</v>
      </c>
      <c r="C1317" s="1">
        <v>45565</v>
      </c>
      <c r="D1317" t="s">
        <v>24</v>
      </c>
      <c r="E1317" t="s">
        <v>31</v>
      </c>
      <c r="F1317">
        <v>2</v>
      </c>
      <c r="G1317">
        <v>364.91</v>
      </c>
      <c r="H1317">
        <v>729.82</v>
      </c>
      <c r="I1317" t="s">
        <v>14</v>
      </c>
      <c r="J1317" t="str">
        <f t="shared" si="20"/>
        <v>Repeat Customer</v>
      </c>
    </row>
    <row r="1318" spans="1:10" x14ac:dyDescent="0.25">
      <c r="A1318">
        <v>10561</v>
      </c>
      <c r="B1318" t="s">
        <v>177</v>
      </c>
      <c r="C1318" s="1">
        <v>45827</v>
      </c>
      <c r="D1318" t="s">
        <v>10</v>
      </c>
      <c r="E1318" t="s">
        <v>31</v>
      </c>
      <c r="F1318">
        <v>10</v>
      </c>
      <c r="G1318">
        <v>52.14</v>
      </c>
      <c r="H1318">
        <v>521.4</v>
      </c>
      <c r="I1318" t="s">
        <v>22</v>
      </c>
      <c r="J1318" t="str">
        <f t="shared" si="20"/>
        <v>Repeat Customer</v>
      </c>
    </row>
    <row r="1319" spans="1:10" x14ac:dyDescent="0.25">
      <c r="A1319">
        <v>10736</v>
      </c>
      <c r="B1319" t="s">
        <v>177</v>
      </c>
      <c r="C1319" s="1">
        <v>45391</v>
      </c>
      <c r="D1319" t="s">
        <v>18</v>
      </c>
      <c r="E1319" t="s">
        <v>31</v>
      </c>
      <c r="F1319">
        <v>2</v>
      </c>
      <c r="G1319">
        <v>363.96</v>
      </c>
      <c r="H1319">
        <v>727.92</v>
      </c>
      <c r="I1319" t="s">
        <v>14</v>
      </c>
      <c r="J1319" t="str">
        <f t="shared" si="20"/>
        <v>Repeat Customer</v>
      </c>
    </row>
    <row r="1320" spans="1:10" x14ac:dyDescent="0.25">
      <c r="A1320">
        <v>10743</v>
      </c>
      <c r="B1320" t="s">
        <v>177</v>
      </c>
      <c r="C1320" s="1">
        <v>45430</v>
      </c>
      <c r="D1320" t="s">
        <v>10</v>
      </c>
      <c r="E1320" t="s">
        <v>25</v>
      </c>
      <c r="F1320">
        <v>5</v>
      </c>
      <c r="G1320">
        <v>8.25</v>
      </c>
      <c r="H1320">
        <v>41.25</v>
      </c>
      <c r="I1320" t="s">
        <v>22</v>
      </c>
      <c r="J1320" t="str">
        <f t="shared" si="20"/>
        <v>Repeat Customer</v>
      </c>
    </row>
    <row r="1321" spans="1:10" x14ac:dyDescent="0.25">
      <c r="A1321">
        <v>10978</v>
      </c>
      <c r="B1321" t="s">
        <v>177</v>
      </c>
      <c r="C1321" s="1">
        <v>45580</v>
      </c>
      <c r="D1321" t="s">
        <v>21</v>
      </c>
      <c r="E1321" t="s">
        <v>19</v>
      </c>
      <c r="F1321">
        <v>6</v>
      </c>
      <c r="G1321">
        <v>390.51</v>
      </c>
      <c r="H1321">
        <v>2343.06</v>
      </c>
      <c r="I1321" t="s">
        <v>14</v>
      </c>
      <c r="J1321" t="str">
        <f t="shared" si="20"/>
        <v>Repeat Customer</v>
      </c>
    </row>
    <row r="1322" spans="1:10" x14ac:dyDescent="0.25">
      <c r="A1322">
        <v>11347</v>
      </c>
      <c r="B1322" t="s">
        <v>177</v>
      </c>
      <c r="C1322" s="1">
        <v>45890</v>
      </c>
      <c r="D1322" t="s">
        <v>24</v>
      </c>
      <c r="E1322" t="s">
        <v>25</v>
      </c>
      <c r="F1322">
        <v>9</v>
      </c>
      <c r="G1322">
        <v>358.31</v>
      </c>
      <c r="H1322">
        <v>3224.79</v>
      </c>
      <c r="I1322" t="s">
        <v>12</v>
      </c>
      <c r="J1322" t="str">
        <f t="shared" si="20"/>
        <v>Repeat Customer</v>
      </c>
    </row>
    <row r="1323" spans="1:10" x14ac:dyDescent="0.25">
      <c r="A1323">
        <v>10501</v>
      </c>
      <c r="B1323" t="s">
        <v>251</v>
      </c>
      <c r="C1323" s="1">
        <v>45761</v>
      </c>
      <c r="D1323" t="s">
        <v>18</v>
      </c>
      <c r="E1323" t="s">
        <v>31</v>
      </c>
      <c r="F1323">
        <v>1</v>
      </c>
      <c r="G1323">
        <v>394.34</v>
      </c>
      <c r="H1323">
        <v>394.34</v>
      </c>
      <c r="I1323" t="s">
        <v>12</v>
      </c>
      <c r="J1323" t="str">
        <f t="shared" si="20"/>
        <v>Repeat Customer</v>
      </c>
    </row>
    <row r="1324" spans="1:10" x14ac:dyDescent="0.25">
      <c r="A1324">
        <v>10594</v>
      </c>
      <c r="B1324" t="s">
        <v>251</v>
      </c>
      <c r="C1324" s="1">
        <v>45361</v>
      </c>
      <c r="D1324" t="s">
        <v>18</v>
      </c>
      <c r="E1324" t="s">
        <v>31</v>
      </c>
      <c r="F1324">
        <v>9</v>
      </c>
      <c r="G1324">
        <v>83.89</v>
      </c>
      <c r="H1324">
        <v>755.01</v>
      </c>
      <c r="I1324" t="s">
        <v>12</v>
      </c>
      <c r="J1324" t="str">
        <f t="shared" si="20"/>
        <v>Repeat Customer</v>
      </c>
    </row>
    <row r="1325" spans="1:10" x14ac:dyDescent="0.25">
      <c r="A1325">
        <v>11004</v>
      </c>
      <c r="B1325" t="s">
        <v>251</v>
      </c>
      <c r="C1325" s="1">
        <v>45796</v>
      </c>
      <c r="D1325" t="s">
        <v>21</v>
      </c>
      <c r="E1325" t="s">
        <v>31</v>
      </c>
      <c r="F1325">
        <v>8</v>
      </c>
      <c r="G1325">
        <v>104.96</v>
      </c>
      <c r="H1325">
        <v>839.68</v>
      </c>
      <c r="I1325" t="s">
        <v>22</v>
      </c>
      <c r="J1325" t="str">
        <f t="shared" si="20"/>
        <v>Repeat Customer</v>
      </c>
    </row>
    <row r="1326" spans="1:10" x14ac:dyDescent="0.25">
      <c r="A1326">
        <v>11191</v>
      </c>
      <c r="B1326" t="s">
        <v>251</v>
      </c>
      <c r="C1326" s="1">
        <v>45534</v>
      </c>
      <c r="D1326" t="s">
        <v>18</v>
      </c>
      <c r="E1326" t="s">
        <v>31</v>
      </c>
      <c r="F1326">
        <v>2</v>
      </c>
      <c r="G1326">
        <v>389</v>
      </c>
      <c r="H1326">
        <v>778</v>
      </c>
      <c r="I1326" t="s">
        <v>12</v>
      </c>
      <c r="J1326" t="str">
        <f t="shared" si="20"/>
        <v>Repeat Customer</v>
      </c>
    </row>
    <row r="1327" spans="1:10" x14ac:dyDescent="0.25">
      <c r="A1327">
        <v>11493</v>
      </c>
      <c r="B1327" t="s">
        <v>251</v>
      </c>
      <c r="C1327" s="1">
        <v>45295</v>
      </c>
      <c r="D1327" t="s">
        <v>10</v>
      </c>
      <c r="E1327" t="s">
        <v>31</v>
      </c>
      <c r="F1327">
        <v>8</v>
      </c>
      <c r="G1327">
        <v>471.95</v>
      </c>
      <c r="H1327">
        <v>3775.6</v>
      </c>
      <c r="I1327" t="s">
        <v>12</v>
      </c>
      <c r="J1327" t="str">
        <f t="shared" si="20"/>
        <v>Repeat Customer</v>
      </c>
    </row>
    <row r="1328" spans="1:10" x14ac:dyDescent="0.25">
      <c r="A1328">
        <v>10109</v>
      </c>
      <c r="B1328" t="s">
        <v>107</v>
      </c>
      <c r="C1328" s="1">
        <v>45681</v>
      </c>
      <c r="D1328" t="s">
        <v>16</v>
      </c>
      <c r="E1328" t="s">
        <v>31</v>
      </c>
      <c r="F1328">
        <v>8</v>
      </c>
      <c r="G1328">
        <v>454.71</v>
      </c>
      <c r="H1328">
        <v>3637.68</v>
      </c>
      <c r="I1328" t="s">
        <v>22</v>
      </c>
      <c r="J1328" t="str">
        <f t="shared" si="20"/>
        <v>Repeat Customer</v>
      </c>
    </row>
    <row r="1329" spans="1:10" x14ac:dyDescent="0.25">
      <c r="A1329">
        <v>10645</v>
      </c>
      <c r="B1329" t="s">
        <v>107</v>
      </c>
      <c r="C1329" s="1">
        <v>45722</v>
      </c>
      <c r="D1329" t="s">
        <v>18</v>
      </c>
      <c r="E1329" t="s">
        <v>31</v>
      </c>
      <c r="F1329">
        <v>6</v>
      </c>
      <c r="G1329">
        <v>438.04</v>
      </c>
      <c r="H1329">
        <v>2628.24</v>
      </c>
      <c r="I1329" t="s">
        <v>14</v>
      </c>
      <c r="J1329" t="str">
        <f t="shared" si="20"/>
        <v>Repeat Customer</v>
      </c>
    </row>
    <row r="1330" spans="1:10" x14ac:dyDescent="0.25">
      <c r="A1330">
        <v>10824</v>
      </c>
      <c r="B1330" t="s">
        <v>107</v>
      </c>
      <c r="C1330" s="1">
        <v>45410</v>
      </c>
      <c r="D1330" t="s">
        <v>24</v>
      </c>
      <c r="E1330" t="s">
        <v>11</v>
      </c>
      <c r="F1330">
        <v>1</v>
      </c>
      <c r="G1330">
        <v>158.94</v>
      </c>
      <c r="H1330">
        <v>158.94</v>
      </c>
      <c r="I1330" t="s">
        <v>22</v>
      </c>
      <c r="J1330" t="str">
        <f t="shared" si="20"/>
        <v>Repeat Customer</v>
      </c>
    </row>
    <row r="1331" spans="1:10" x14ac:dyDescent="0.25">
      <c r="A1331">
        <v>10908</v>
      </c>
      <c r="B1331" t="s">
        <v>107</v>
      </c>
      <c r="C1331" s="1">
        <v>45753</v>
      </c>
      <c r="D1331" t="s">
        <v>10</v>
      </c>
      <c r="E1331" t="s">
        <v>11</v>
      </c>
      <c r="F1331">
        <v>7</v>
      </c>
      <c r="G1331">
        <v>123.43</v>
      </c>
      <c r="H1331">
        <v>864.01</v>
      </c>
      <c r="I1331" t="s">
        <v>14</v>
      </c>
      <c r="J1331" t="str">
        <f t="shared" si="20"/>
        <v>Repeat Customer</v>
      </c>
    </row>
    <row r="1332" spans="1:10" x14ac:dyDescent="0.25">
      <c r="A1332">
        <v>11308</v>
      </c>
      <c r="B1332" t="s">
        <v>107</v>
      </c>
      <c r="C1332" s="1">
        <v>45299</v>
      </c>
      <c r="D1332" t="s">
        <v>16</v>
      </c>
      <c r="E1332" t="s">
        <v>31</v>
      </c>
      <c r="F1332">
        <v>7</v>
      </c>
      <c r="G1332">
        <v>303.48</v>
      </c>
      <c r="H1332">
        <v>2124.36</v>
      </c>
      <c r="I1332" t="s">
        <v>32</v>
      </c>
      <c r="J1332" t="str">
        <f t="shared" si="20"/>
        <v>Repeat Customer</v>
      </c>
    </row>
    <row r="1333" spans="1:10" x14ac:dyDescent="0.25">
      <c r="A1333">
        <v>10511</v>
      </c>
      <c r="B1333" t="s">
        <v>256</v>
      </c>
      <c r="C1333" s="1">
        <v>45874</v>
      </c>
      <c r="D1333" t="s">
        <v>10</v>
      </c>
      <c r="E1333" t="s">
        <v>11</v>
      </c>
      <c r="F1333">
        <v>1</v>
      </c>
      <c r="G1333">
        <v>91</v>
      </c>
      <c r="H1333">
        <v>91</v>
      </c>
      <c r="I1333" t="s">
        <v>14</v>
      </c>
      <c r="J1333" t="str">
        <f t="shared" si="20"/>
        <v>Repeat Customer</v>
      </c>
    </row>
    <row r="1334" spans="1:10" x14ac:dyDescent="0.25">
      <c r="A1334">
        <v>10700</v>
      </c>
      <c r="B1334" t="s">
        <v>256</v>
      </c>
      <c r="C1334" s="1">
        <v>45947</v>
      </c>
      <c r="D1334" t="s">
        <v>16</v>
      </c>
      <c r="E1334" t="s">
        <v>31</v>
      </c>
      <c r="F1334">
        <v>9</v>
      </c>
      <c r="G1334">
        <v>158.28</v>
      </c>
      <c r="H1334">
        <v>1424.52</v>
      </c>
      <c r="I1334" t="s">
        <v>14</v>
      </c>
      <c r="J1334" t="str">
        <f t="shared" si="20"/>
        <v>Repeat Customer</v>
      </c>
    </row>
    <row r="1335" spans="1:10" x14ac:dyDescent="0.25">
      <c r="A1335">
        <v>10729</v>
      </c>
      <c r="B1335" t="s">
        <v>256</v>
      </c>
      <c r="C1335" s="1">
        <v>45991</v>
      </c>
      <c r="D1335" t="s">
        <v>10</v>
      </c>
      <c r="E1335" t="s">
        <v>19</v>
      </c>
      <c r="F1335">
        <v>8</v>
      </c>
      <c r="G1335">
        <v>384.04</v>
      </c>
      <c r="H1335">
        <v>3072.32</v>
      </c>
      <c r="I1335" t="s">
        <v>22</v>
      </c>
      <c r="J1335" t="str">
        <f t="shared" si="20"/>
        <v>Repeat Customer</v>
      </c>
    </row>
    <row r="1336" spans="1:10" x14ac:dyDescent="0.25">
      <c r="A1336">
        <v>10805</v>
      </c>
      <c r="B1336" t="s">
        <v>256</v>
      </c>
      <c r="C1336" s="1">
        <v>45506</v>
      </c>
      <c r="D1336" t="s">
        <v>24</v>
      </c>
      <c r="E1336" t="s">
        <v>11</v>
      </c>
      <c r="F1336">
        <v>4</v>
      </c>
      <c r="G1336">
        <v>307.97000000000003</v>
      </c>
      <c r="H1336">
        <v>1231.8800000000001</v>
      </c>
      <c r="I1336" t="s">
        <v>32</v>
      </c>
      <c r="J1336" t="str">
        <f t="shared" si="20"/>
        <v>Repeat Customer</v>
      </c>
    </row>
    <row r="1337" spans="1:10" x14ac:dyDescent="0.25">
      <c r="A1337">
        <v>11410</v>
      </c>
      <c r="B1337" t="s">
        <v>256</v>
      </c>
      <c r="C1337" s="1">
        <v>45807</v>
      </c>
      <c r="D1337" t="s">
        <v>16</v>
      </c>
      <c r="E1337" t="s">
        <v>25</v>
      </c>
      <c r="F1337">
        <v>1</v>
      </c>
      <c r="G1337">
        <v>87.63</v>
      </c>
      <c r="H1337">
        <v>87.63</v>
      </c>
      <c r="I1337" t="s">
        <v>22</v>
      </c>
      <c r="J1337" t="str">
        <f t="shared" si="20"/>
        <v>Repeat Customer</v>
      </c>
    </row>
    <row r="1338" spans="1:10" x14ac:dyDescent="0.25">
      <c r="A1338">
        <v>10136</v>
      </c>
      <c r="B1338" t="s">
        <v>126</v>
      </c>
      <c r="C1338" s="1">
        <v>45759</v>
      </c>
      <c r="D1338" t="s">
        <v>21</v>
      </c>
      <c r="E1338" t="s">
        <v>25</v>
      </c>
      <c r="F1338">
        <v>1</v>
      </c>
      <c r="G1338">
        <v>362.61</v>
      </c>
      <c r="H1338">
        <v>362.61</v>
      </c>
      <c r="I1338" t="s">
        <v>12</v>
      </c>
      <c r="J1338" t="str">
        <f t="shared" si="20"/>
        <v>Repeat Customer</v>
      </c>
    </row>
    <row r="1339" spans="1:10" x14ac:dyDescent="0.25">
      <c r="A1339">
        <v>10284</v>
      </c>
      <c r="B1339" t="s">
        <v>126</v>
      </c>
      <c r="C1339" s="1">
        <v>45677</v>
      </c>
      <c r="D1339" t="s">
        <v>21</v>
      </c>
      <c r="E1339" t="s">
        <v>19</v>
      </c>
      <c r="F1339">
        <v>6</v>
      </c>
      <c r="G1339">
        <v>478.56</v>
      </c>
      <c r="H1339">
        <v>2871.36</v>
      </c>
      <c r="I1339" t="s">
        <v>22</v>
      </c>
      <c r="J1339" t="str">
        <f t="shared" si="20"/>
        <v>Repeat Customer</v>
      </c>
    </row>
    <row r="1340" spans="1:10" x14ac:dyDescent="0.25">
      <c r="A1340">
        <v>10472</v>
      </c>
      <c r="B1340" t="s">
        <v>126</v>
      </c>
      <c r="C1340" s="1">
        <v>45781</v>
      </c>
      <c r="D1340" t="s">
        <v>18</v>
      </c>
      <c r="E1340" t="s">
        <v>25</v>
      </c>
      <c r="F1340">
        <v>1</v>
      </c>
      <c r="G1340">
        <v>169.21</v>
      </c>
      <c r="H1340">
        <v>169.21</v>
      </c>
      <c r="I1340" t="s">
        <v>14</v>
      </c>
      <c r="J1340" t="str">
        <f t="shared" si="20"/>
        <v>Repeat Customer</v>
      </c>
    </row>
    <row r="1341" spans="1:10" x14ac:dyDescent="0.25">
      <c r="A1341">
        <v>10474</v>
      </c>
      <c r="B1341" t="s">
        <v>126</v>
      </c>
      <c r="C1341" s="1">
        <v>45665</v>
      </c>
      <c r="D1341" t="s">
        <v>21</v>
      </c>
      <c r="E1341" t="s">
        <v>11</v>
      </c>
      <c r="F1341">
        <v>2</v>
      </c>
      <c r="G1341">
        <v>189.93</v>
      </c>
      <c r="H1341">
        <v>379.86</v>
      </c>
      <c r="I1341" t="s">
        <v>22</v>
      </c>
      <c r="J1341" t="str">
        <f t="shared" si="20"/>
        <v>Repeat Customer</v>
      </c>
    </row>
    <row r="1342" spans="1:10" x14ac:dyDescent="0.25">
      <c r="A1342">
        <v>10676</v>
      </c>
      <c r="B1342" t="s">
        <v>126</v>
      </c>
      <c r="C1342" s="1">
        <v>45725</v>
      </c>
      <c r="D1342" t="s">
        <v>24</v>
      </c>
      <c r="E1342" t="s">
        <v>19</v>
      </c>
      <c r="F1342">
        <v>8</v>
      </c>
      <c r="G1342">
        <v>470.13</v>
      </c>
      <c r="H1342">
        <v>3761.04</v>
      </c>
      <c r="I1342" t="s">
        <v>32</v>
      </c>
      <c r="J1342" t="str">
        <f t="shared" si="20"/>
        <v>Repeat Customer</v>
      </c>
    </row>
    <row r="1343" spans="1:10" x14ac:dyDescent="0.25">
      <c r="A1343">
        <v>11054</v>
      </c>
      <c r="B1343" t="s">
        <v>126</v>
      </c>
      <c r="C1343" s="1">
        <v>45737</v>
      </c>
      <c r="D1343" t="s">
        <v>21</v>
      </c>
      <c r="E1343" t="s">
        <v>11</v>
      </c>
      <c r="F1343">
        <v>8</v>
      </c>
      <c r="G1343">
        <v>414.49</v>
      </c>
      <c r="H1343">
        <v>3315.92</v>
      </c>
      <c r="I1343" t="s">
        <v>14</v>
      </c>
      <c r="J1343" t="str">
        <f t="shared" si="20"/>
        <v>Repeat Customer</v>
      </c>
    </row>
    <row r="1344" spans="1:10" x14ac:dyDescent="0.25">
      <c r="A1344">
        <v>11073</v>
      </c>
      <c r="B1344" t="s">
        <v>126</v>
      </c>
      <c r="C1344" s="1">
        <v>45876</v>
      </c>
      <c r="D1344" t="s">
        <v>24</v>
      </c>
      <c r="E1344" t="s">
        <v>25</v>
      </c>
      <c r="F1344">
        <v>3</v>
      </c>
      <c r="G1344">
        <v>211.13</v>
      </c>
      <c r="H1344">
        <v>633.39</v>
      </c>
      <c r="I1344" t="s">
        <v>32</v>
      </c>
      <c r="J1344" t="str">
        <f t="shared" si="20"/>
        <v>Repeat Customer</v>
      </c>
    </row>
    <row r="1345" spans="1:10" x14ac:dyDescent="0.25">
      <c r="A1345">
        <v>11334</v>
      </c>
      <c r="B1345" t="s">
        <v>319</v>
      </c>
      <c r="C1345" s="1">
        <v>45581</v>
      </c>
      <c r="D1345" t="s">
        <v>10</v>
      </c>
      <c r="E1345" t="s">
        <v>31</v>
      </c>
      <c r="F1345">
        <v>5</v>
      </c>
      <c r="G1345">
        <v>349.71</v>
      </c>
      <c r="H1345">
        <v>1748.55</v>
      </c>
      <c r="I1345" t="s">
        <v>12</v>
      </c>
      <c r="J1345" t="str">
        <f t="shared" si="20"/>
        <v>Repeat Customer</v>
      </c>
    </row>
    <row r="1346" spans="1:10" x14ac:dyDescent="0.25">
      <c r="A1346">
        <v>11364</v>
      </c>
      <c r="B1346" t="s">
        <v>319</v>
      </c>
      <c r="C1346" s="1">
        <v>45649</v>
      </c>
      <c r="D1346" t="s">
        <v>18</v>
      </c>
      <c r="E1346" t="s">
        <v>19</v>
      </c>
      <c r="F1346">
        <v>10</v>
      </c>
      <c r="G1346">
        <v>433.37</v>
      </c>
      <c r="H1346">
        <v>4333.7</v>
      </c>
      <c r="I1346" t="s">
        <v>12</v>
      </c>
      <c r="J1346" t="str">
        <f t="shared" ref="J1346:J1409" si="21">IF(COUNTIF($B:$B,B1346)&gt;1,"Repeat Customer","New Customer")</f>
        <v>Repeat Customer</v>
      </c>
    </row>
    <row r="1347" spans="1:10" x14ac:dyDescent="0.25">
      <c r="A1347">
        <v>11453</v>
      </c>
      <c r="B1347" t="s">
        <v>319</v>
      </c>
      <c r="C1347" s="1">
        <v>46007</v>
      </c>
      <c r="D1347" t="s">
        <v>16</v>
      </c>
      <c r="E1347" t="s">
        <v>31</v>
      </c>
      <c r="F1347">
        <v>5</v>
      </c>
      <c r="G1347">
        <v>237.74</v>
      </c>
      <c r="H1347">
        <v>1188.7</v>
      </c>
      <c r="I1347" t="s">
        <v>12</v>
      </c>
      <c r="J1347" t="str">
        <f t="shared" si="21"/>
        <v>Repeat Customer</v>
      </c>
    </row>
    <row r="1348" spans="1:10" x14ac:dyDescent="0.25">
      <c r="A1348">
        <v>10174</v>
      </c>
      <c r="B1348" t="s">
        <v>147</v>
      </c>
      <c r="C1348" s="1">
        <v>45593</v>
      </c>
      <c r="D1348" t="s">
        <v>21</v>
      </c>
      <c r="E1348" t="s">
        <v>11</v>
      </c>
      <c r="F1348">
        <v>8</v>
      </c>
      <c r="G1348">
        <v>255.25</v>
      </c>
      <c r="H1348">
        <v>2042</v>
      </c>
      <c r="I1348" t="s">
        <v>12</v>
      </c>
      <c r="J1348" t="str">
        <f t="shared" si="21"/>
        <v>Repeat Customer</v>
      </c>
    </row>
    <row r="1349" spans="1:10" x14ac:dyDescent="0.25">
      <c r="A1349">
        <v>10198</v>
      </c>
      <c r="B1349" t="s">
        <v>147</v>
      </c>
      <c r="C1349" s="1">
        <v>45814</v>
      </c>
      <c r="D1349" t="s">
        <v>16</v>
      </c>
      <c r="E1349" t="s">
        <v>19</v>
      </c>
      <c r="F1349">
        <v>4</v>
      </c>
      <c r="G1349">
        <v>453.43</v>
      </c>
      <c r="H1349">
        <v>1813.72</v>
      </c>
      <c r="I1349" t="s">
        <v>14</v>
      </c>
      <c r="J1349" t="str">
        <f t="shared" si="21"/>
        <v>Repeat Customer</v>
      </c>
    </row>
    <row r="1350" spans="1:10" x14ac:dyDescent="0.25">
      <c r="A1350">
        <v>10291</v>
      </c>
      <c r="B1350" t="s">
        <v>147</v>
      </c>
      <c r="C1350" s="1">
        <v>45523</v>
      </c>
      <c r="D1350" t="s">
        <v>21</v>
      </c>
      <c r="E1350" t="s">
        <v>19</v>
      </c>
      <c r="F1350">
        <v>4</v>
      </c>
      <c r="G1350">
        <v>30.98</v>
      </c>
      <c r="H1350">
        <v>123.92</v>
      </c>
      <c r="I1350" t="s">
        <v>32</v>
      </c>
      <c r="J1350" t="str">
        <f t="shared" si="21"/>
        <v>Repeat Customer</v>
      </c>
    </row>
    <row r="1351" spans="1:10" x14ac:dyDescent="0.25">
      <c r="A1351">
        <v>10417</v>
      </c>
      <c r="B1351" t="s">
        <v>147</v>
      </c>
      <c r="C1351" s="1">
        <v>45868</v>
      </c>
      <c r="D1351" t="s">
        <v>10</v>
      </c>
      <c r="E1351" t="s">
        <v>31</v>
      </c>
      <c r="F1351">
        <v>1</v>
      </c>
      <c r="G1351">
        <v>307.11</v>
      </c>
      <c r="H1351">
        <v>307.11</v>
      </c>
      <c r="I1351" t="s">
        <v>22</v>
      </c>
      <c r="J1351" t="str">
        <f t="shared" si="21"/>
        <v>Repeat Customer</v>
      </c>
    </row>
    <row r="1352" spans="1:10" x14ac:dyDescent="0.25">
      <c r="A1352">
        <v>10446</v>
      </c>
      <c r="B1352" t="s">
        <v>147</v>
      </c>
      <c r="C1352" s="1">
        <v>45535</v>
      </c>
      <c r="D1352" t="s">
        <v>24</v>
      </c>
      <c r="E1352" t="s">
        <v>25</v>
      </c>
      <c r="F1352">
        <v>7</v>
      </c>
      <c r="G1352">
        <v>248.55</v>
      </c>
      <c r="H1352">
        <v>1739.85</v>
      </c>
      <c r="I1352" t="s">
        <v>22</v>
      </c>
      <c r="J1352" t="str">
        <f t="shared" si="21"/>
        <v>Repeat Customer</v>
      </c>
    </row>
    <row r="1353" spans="1:10" x14ac:dyDescent="0.25">
      <c r="A1353">
        <v>10576</v>
      </c>
      <c r="B1353" t="s">
        <v>147</v>
      </c>
      <c r="C1353" s="1">
        <v>45341</v>
      </c>
      <c r="D1353" t="s">
        <v>18</v>
      </c>
      <c r="E1353" t="s">
        <v>31</v>
      </c>
      <c r="F1353">
        <v>9</v>
      </c>
      <c r="G1353">
        <v>467.98</v>
      </c>
      <c r="H1353">
        <v>4211.82</v>
      </c>
      <c r="I1353" t="s">
        <v>14</v>
      </c>
      <c r="J1353" t="str">
        <f t="shared" si="21"/>
        <v>Repeat Customer</v>
      </c>
    </row>
    <row r="1354" spans="1:10" x14ac:dyDescent="0.25">
      <c r="A1354">
        <v>10873</v>
      </c>
      <c r="B1354" t="s">
        <v>147</v>
      </c>
      <c r="C1354" s="1">
        <v>45991</v>
      </c>
      <c r="D1354" t="s">
        <v>18</v>
      </c>
      <c r="E1354" t="s">
        <v>19</v>
      </c>
      <c r="F1354">
        <v>1</v>
      </c>
      <c r="G1354">
        <v>53.2</v>
      </c>
      <c r="H1354">
        <v>53.2</v>
      </c>
      <c r="I1354" t="s">
        <v>32</v>
      </c>
      <c r="J1354" t="str">
        <f t="shared" si="21"/>
        <v>Repeat Customer</v>
      </c>
    </row>
    <row r="1355" spans="1:10" x14ac:dyDescent="0.25">
      <c r="A1355">
        <v>10928</v>
      </c>
      <c r="B1355" t="s">
        <v>147</v>
      </c>
      <c r="C1355" s="1">
        <v>45695</v>
      </c>
      <c r="D1355" t="s">
        <v>24</v>
      </c>
      <c r="E1355" t="s">
        <v>31</v>
      </c>
      <c r="F1355">
        <v>8</v>
      </c>
      <c r="G1355">
        <v>405.81</v>
      </c>
      <c r="H1355">
        <v>3246.48</v>
      </c>
      <c r="I1355" t="s">
        <v>32</v>
      </c>
      <c r="J1355" t="str">
        <f t="shared" si="21"/>
        <v>Repeat Customer</v>
      </c>
    </row>
    <row r="1356" spans="1:10" x14ac:dyDescent="0.25">
      <c r="A1356">
        <v>10707</v>
      </c>
      <c r="B1356" t="s">
        <v>290</v>
      </c>
      <c r="C1356" s="1">
        <v>45567</v>
      </c>
      <c r="D1356" t="s">
        <v>24</v>
      </c>
      <c r="E1356" t="s">
        <v>25</v>
      </c>
      <c r="F1356">
        <v>7</v>
      </c>
      <c r="G1356">
        <v>98.06</v>
      </c>
      <c r="H1356">
        <v>686.42</v>
      </c>
      <c r="I1356" t="s">
        <v>14</v>
      </c>
      <c r="J1356" t="str">
        <f t="shared" si="21"/>
        <v>Repeat Customer</v>
      </c>
    </row>
    <row r="1357" spans="1:10" x14ac:dyDescent="0.25">
      <c r="A1357">
        <v>10871</v>
      </c>
      <c r="B1357" t="s">
        <v>290</v>
      </c>
      <c r="C1357" s="1">
        <v>45531</v>
      </c>
      <c r="D1357" t="s">
        <v>21</v>
      </c>
      <c r="E1357" t="s">
        <v>31</v>
      </c>
      <c r="F1357">
        <v>7</v>
      </c>
      <c r="G1357">
        <v>343.34</v>
      </c>
      <c r="H1357">
        <v>2403.38</v>
      </c>
      <c r="I1357" t="s">
        <v>22</v>
      </c>
      <c r="J1357" t="str">
        <f t="shared" si="21"/>
        <v>Repeat Customer</v>
      </c>
    </row>
    <row r="1358" spans="1:10" x14ac:dyDescent="0.25">
      <c r="A1358">
        <v>10940</v>
      </c>
      <c r="B1358" t="s">
        <v>290</v>
      </c>
      <c r="C1358" s="1">
        <v>45986</v>
      </c>
      <c r="D1358" t="s">
        <v>21</v>
      </c>
      <c r="E1358" t="s">
        <v>19</v>
      </c>
      <c r="F1358">
        <v>9</v>
      </c>
      <c r="G1358">
        <v>450.23</v>
      </c>
      <c r="H1358">
        <v>4052.07</v>
      </c>
      <c r="I1358" t="s">
        <v>12</v>
      </c>
      <c r="J1358" t="str">
        <f t="shared" si="21"/>
        <v>Repeat Customer</v>
      </c>
    </row>
    <row r="1359" spans="1:10" x14ac:dyDescent="0.25">
      <c r="A1359">
        <v>11216</v>
      </c>
      <c r="B1359" t="s">
        <v>290</v>
      </c>
      <c r="C1359" s="1">
        <v>45679</v>
      </c>
      <c r="D1359" t="s">
        <v>21</v>
      </c>
      <c r="E1359" t="s">
        <v>25</v>
      </c>
      <c r="F1359">
        <v>6</v>
      </c>
      <c r="G1359">
        <v>162.38999999999999</v>
      </c>
      <c r="H1359">
        <v>974.34</v>
      </c>
      <c r="I1359" t="s">
        <v>12</v>
      </c>
      <c r="J1359" t="str">
        <f t="shared" si="21"/>
        <v>Repeat Customer</v>
      </c>
    </row>
    <row r="1360" spans="1:10" x14ac:dyDescent="0.25">
      <c r="A1360">
        <v>11366</v>
      </c>
      <c r="B1360" t="s">
        <v>290</v>
      </c>
      <c r="C1360" s="1">
        <v>45856</v>
      </c>
      <c r="D1360" t="s">
        <v>21</v>
      </c>
      <c r="E1360" t="s">
        <v>31</v>
      </c>
      <c r="F1360">
        <v>10</v>
      </c>
      <c r="G1360">
        <v>441.6</v>
      </c>
      <c r="H1360">
        <v>4416</v>
      </c>
      <c r="I1360" t="s">
        <v>14</v>
      </c>
      <c r="J1360" t="str">
        <f t="shared" si="21"/>
        <v>Repeat Customer</v>
      </c>
    </row>
    <row r="1361" spans="1:10" x14ac:dyDescent="0.25">
      <c r="A1361">
        <v>11412</v>
      </c>
      <c r="B1361" t="s">
        <v>290</v>
      </c>
      <c r="C1361" s="1">
        <v>45817</v>
      </c>
      <c r="D1361" t="s">
        <v>18</v>
      </c>
      <c r="E1361" t="s">
        <v>31</v>
      </c>
      <c r="F1361">
        <v>2</v>
      </c>
      <c r="G1361">
        <v>86.93</v>
      </c>
      <c r="H1361">
        <v>173.86</v>
      </c>
      <c r="I1361" t="s">
        <v>32</v>
      </c>
      <c r="J1361" t="str">
        <f t="shared" si="21"/>
        <v>Repeat Customer</v>
      </c>
    </row>
    <row r="1362" spans="1:10" x14ac:dyDescent="0.25">
      <c r="A1362">
        <v>11445</v>
      </c>
      <c r="B1362" t="s">
        <v>290</v>
      </c>
      <c r="C1362" s="1">
        <v>45841</v>
      </c>
      <c r="D1362" t="s">
        <v>18</v>
      </c>
      <c r="E1362" t="s">
        <v>31</v>
      </c>
      <c r="F1362">
        <v>4</v>
      </c>
      <c r="G1362">
        <v>195.39</v>
      </c>
      <c r="H1362">
        <v>781.56</v>
      </c>
      <c r="I1362" t="s">
        <v>14</v>
      </c>
      <c r="J1362" t="str">
        <f t="shared" si="21"/>
        <v>Repeat Customer</v>
      </c>
    </row>
    <row r="1363" spans="1:10" x14ac:dyDescent="0.25">
      <c r="A1363">
        <v>10104</v>
      </c>
      <c r="B1363" t="s">
        <v>103</v>
      </c>
      <c r="C1363" s="1">
        <v>45421</v>
      </c>
      <c r="D1363" t="s">
        <v>24</v>
      </c>
      <c r="E1363" t="s">
        <v>19</v>
      </c>
      <c r="F1363">
        <v>5</v>
      </c>
      <c r="G1363">
        <v>27.53</v>
      </c>
      <c r="H1363">
        <v>137.65</v>
      </c>
      <c r="I1363" t="s">
        <v>14</v>
      </c>
      <c r="J1363" t="str">
        <f t="shared" si="21"/>
        <v>Repeat Customer</v>
      </c>
    </row>
    <row r="1364" spans="1:10" x14ac:dyDescent="0.25">
      <c r="A1364">
        <v>10138</v>
      </c>
      <c r="B1364" t="s">
        <v>103</v>
      </c>
      <c r="C1364" s="1">
        <v>45681</v>
      </c>
      <c r="D1364" t="s">
        <v>21</v>
      </c>
      <c r="E1364" t="s">
        <v>11</v>
      </c>
      <c r="F1364">
        <v>6</v>
      </c>
      <c r="G1364">
        <v>315.27</v>
      </c>
      <c r="H1364">
        <v>1891.62</v>
      </c>
      <c r="I1364" t="s">
        <v>12</v>
      </c>
      <c r="J1364" t="str">
        <f t="shared" si="21"/>
        <v>Repeat Customer</v>
      </c>
    </row>
    <row r="1365" spans="1:10" x14ac:dyDescent="0.25">
      <c r="A1365">
        <v>10374</v>
      </c>
      <c r="B1365" t="s">
        <v>103</v>
      </c>
      <c r="C1365" s="1">
        <v>45810</v>
      </c>
      <c r="D1365" t="s">
        <v>16</v>
      </c>
      <c r="E1365" t="s">
        <v>11</v>
      </c>
      <c r="F1365">
        <v>7</v>
      </c>
      <c r="G1365">
        <v>274.10000000000002</v>
      </c>
      <c r="H1365">
        <v>1918.7</v>
      </c>
      <c r="I1365" t="s">
        <v>12</v>
      </c>
      <c r="J1365" t="str">
        <f t="shared" si="21"/>
        <v>Repeat Customer</v>
      </c>
    </row>
    <row r="1366" spans="1:10" x14ac:dyDescent="0.25">
      <c r="A1366">
        <v>10536</v>
      </c>
      <c r="B1366" t="s">
        <v>103</v>
      </c>
      <c r="C1366" s="1">
        <v>45496</v>
      </c>
      <c r="D1366" t="s">
        <v>16</v>
      </c>
      <c r="E1366" t="s">
        <v>25</v>
      </c>
      <c r="F1366">
        <v>6</v>
      </c>
      <c r="G1366">
        <v>475.28</v>
      </c>
      <c r="H1366">
        <v>2851.68</v>
      </c>
      <c r="I1366" t="s">
        <v>12</v>
      </c>
      <c r="J1366" t="str">
        <f t="shared" si="21"/>
        <v>Repeat Customer</v>
      </c>
    </row>
    <row r="1367" spans="1:10" x14ac:dyDescent="0.25">
      <c r="A1367">
        <v>10543</v>
      </c>
      <c r="B1367" t="s">
        <v>103</v>
      </c>
      <c r="C1367" s="1">
        <v>45930</v>
      </c>
      <c r="D1367" t="s">
        <v>24</v>
      </c>
      <c r="E1367" t="s">
        <v>11</v>
      </c>
      <c r="F1367">
        <v>1</v>
      </c>
      <c r="G1367">
        <v>298.99</v>
      </c>
      <c r="H1367">
        <v>298.99</v>
      </c>
      <c r="I1367" t="s">
        <v>12</v>
      </c>
      <c r="J1367" t="str">
        <f t="shared" si="21"/>
        <v>Repeat Customer</v>
      </c>
    </row>
    <row r="1368" spans="1:10" x14ac:dyDescent="0.25">
      <c r="A1368">
        <v>10606</v>
      </c>
      <c r="B1368" t="s">
        <v>103</v>
      </c>
      <c r="C1368" s="1">
        <v>45298</v>
      </c>
      <c r="D1368" t="s">
        <v>18</v>
      </c>
      <c r="E1368" t="s">
        <v>11</v>
      </c>
      <c r="F1368">
        <v>10</v>
      </c>
      <c r="G1368">
        <v>36.299999999999997</v>
      </c>
      <c r="H1368">
        <v>363</v>
      </c>
      <c r="I1368" t="s">
        <v>12</v>
      </c>
      <c r="J1368" t="str">
        <f t="shared" si="21"/>
        <v>Repeat Customer</v>
      </c>
    </row>
    <row r="1369" spans="1:10" x14ac:dyDescent="0.25">
      <c r="A1369">
        <v>10609</v>
      </c>
      <c r="B1369" t="s">
        <v>103</v>
      </c>
      <c r="C1369" s="1">
        <v>45517</v>
      </c>
      <c r="D1369" t="s">
        <v>18</v>
      </c>
      <c r="E1369" t="s">
        <v>19</v>
      </c>
      <c r="F1369">
        <v>3</v>
      </c>
      <c r="G1369">
        <v>374.64</v>
      </c>
      <c r="H1369">
        <v>1123.92</v>
      </c>
      <c r="I1369" t="s">
        <v>14</v>
      </c>
      <c r="J1369" t="str">
        <f t="shared" si="21"/>
        <v>Repeat Customer</v>
      </c>
    </row>
    <row r="1370" spans="1:10" x14ac:dyDescent="0.25">
      <c r="A1370">
        <v>11155</v>
      </c>
      <c r="B1370" t="s">
        <v>103</v>
      </c>
      <c r="C1370" s="1">
        <v>45913</v>
      </c>
      <c r="D1370" t="s">
        <v>24</v>
      </c>
      <c r="E1370" t="s">
        <v>31</v>
      </c>
      <c r="F1370">
        <v>6</v>
      </c>
      <c r="G1370">
        <v>203.89</v>
      </c>
      <c r="H1370">
        <v>1223.3399999999999</v>
      </c>
      <c r="I1370" t="s">
        <v>12</v>
      </c>
      <c r="J1370" t="str">
        <f t="shared" si="21"/>
        <v>Repeat Customer</v>
      </c>
    </row>
    <row r="1371" spans="1:10" x14ac:dyDescent="0.25">
      <c r="A1371">
        <v>11321</v>
      </c>
      <c r="B1371" t="s">
        <v>103</v>
      </c>
      <c r="C1371" s="1">
        <v>45940</v>
      </c>
      <c r="D1371" t="s">
        <v>16</v>
      </c>
      <c r="E1371" t="s">
        <v>25</v>
      </c>
      <c r="F1371">
        <v>8</v>
      </c>
      <c r="G1371">
        <v>49.77</v>
      </c>
      <c r="H1371">
        <v>398.16</v>
      </c>
      <c r="I1371" t="s">
        <v>12</v>
      </c>
      <c r="J1371" t="str">
        <f t="shared" si="21"/>
        <v>Repeat Customer</v>
      </c>
    </row>
    <row r="1372" spans="1:10" x14ac:dyDescent="0.25">
      <c r="A1372">
        <v>11416</v>
      </c>
      <c r="B1372" t="s">
        <v>103</v>
      </c>
      <c r="C1372" s="1">
        <v>45535</v>
      </c>
      <c r="D1372" t="s">
        <v>10</v>
      </c>
      <c r="E1372" t="s">
        <v>19</v>
      </c>
      <c r="F1372">
        <v>5</v>
      </c>
      <c r="G1372">
        <v>24.35</v>
      </c>
      <c r="H1372">
        <v>121.75</v>
      </c>
      <c r="I1372" t="s">
        <v>14</v>
      </c>
      <c r="J1372" t="str">
        <f t="shared" si="21"/>
        <v>Repeat Customer</v>
      </c>
    </row>
    <row r="1373" spans="1:10" x14ac:dyDescent="0.25">
      <c r="A1373">
        <v>10017</v>
      </c>
      <c r="B1373" t="s">
        <v>37</v>
      </c>
      <c r="C1373" s="1">
        <v>45565</v>
      </c>
      <c r="D1373" t="s">
        <v>21</v>
      </c>
      <c r="E1373" t="s">
        <v>25</v>
      </c>
      <c r="F1373">
        <v>6</v>
      </c>
      <c r="G1373">
        <v>60.22</v>
      </c>
      <c r="H1373">
        <v>361.32</v>
      </c>
      <c r="I1373" t="s">
        <v>32</v>
      </c>
      <c r="J1373" t="str">
        <f t="shared" si="21"/>
        <v>Repeat Customer</v>
      </c>
    </row>
    <row r="1374" spans="1:10" x14ac:dyDescent="0.25">
      <c r="A1374">
        <v>10344</v>
      </c>
      <c r="B1374" t="s">
        <v>37</v>
      </c>
      <c r="C1374" s="1">
        <v>45585</v>
      </c>
      <c r="D1374" t="s">
        <v>21</v>
      </c>
      <c r="E1374" t="s">
        <v>25</v>
      </c>
      <c r="F1374">
        <v>1</v>
      </c>
      <c r="G1374">
        <v>253.6</v>
      </c>
      <c r="H1374">
        <v>253.6</v>
      </c>
      <c r="I1374" t="s">
        <v>12</v>
      </c>
      <c r="J1374" t="str">
        <f t="shared" si="21"/>
        <v>Repeat Customer</v>
      </c>
    </row>
    <row r="1375" spans="1:10" x14ac:dyDescent="0.25">
      <c r="A1375">
        <v>11357</v>
      </c>
      <c r="B1375" t="s">
        <v>37</v>
      </c>
      <c r="C1375" s="1">
        <v>45500</v>
      </c>
      <c r="D1375" t="s">
        <v>16</v>
      </c>
      <c r="E1375" t="s">
        <v>25</v>
      </c>
      <c r="F1375">
        <v>2</v>
      </c>
      <c r="G1375">
        <v>316.64</v>
      </c>
      <c r="H1375">
        <v>633.28</v>
      </c>
      <c r="I1375" t="s">
        <v>22</v>
      </c>
      <c r="J1375" t="str">
        <f t="shared" si="21"/>
        <v>Repeat Customer</v>
      </c>
    </row>
    <row r="1376" spans="1:10" x14ac:dyDescent="0.25">
      <c r="A1376">
        <v>10043</v>
      </c>
      <c r="B1376" t="s">
        <v>59</v>
      </c>
      <c r="C1376" s="1">
        <v>45510</v>
      </c>
      <c r="D1376" t="s">
        <v>16</v>
      </c>
      <c r="E1376" t="s">
        <v>11</v>
      </c>
      <c r="F1376">
        <v>9</v>
      </c>
      <c r="G1376">
        <v>136.27000000000001</v>
      </c>
      <c r="H1376">
        <v>1226.43</v>
      </c>
      <c r="I1376" t="s">
        <v>14</v>
      </c>
      <c r="J1376" t="str">
        <f t="shared" si="21"/>
        <v>Repeat Customer</v>
      </c>
    </row>
    <row r="1377" spans="1:10" x14ac:dyDescent="0.25">
      <c r="A1377">
        <v>10093</v>
      </c>
      <c r="B1377" t="s">
        <v>59</v>
      </c>
      <c r="C1377" s="1">
        <v>45787</v>
      </c>
      <c r="D1377" t="s">
        <v>18</v>
      </c>
      <c r="E1377" t="s">
        <v>19</v>
      </c>
      <c r="F1377">
        <v>8</v>
      </c>
      <c r="G1377">
        <v>220.61</v>
      </c>
      <c r="H1377">
        <v>1764.88</v>
      </c>
      <c r="I1377" t="s">
        <v>22</v>
      </c>
      <c r="J1377" t="str">
        <f t="shared" si="21"/>
        <v>Repeat Customer</v>
      </c>
    </row>
    <row r="1378" spans="1:10" x14ac:dyDescent="0.25">
      <c r="A1378">
        <v>10601</v>
      </c>
      <c r="B1378" t="s">
        <v>59</v>
      </c>
      <c r="C1378" s="1">
        <v>45838</v>
      </c>
      <c r="D1378" t="s">
        <v>10</v>
      </c>
      <c r="E1378" t="s">
        <v>25</v>
      </c>
      <c r="F1378">
        <v>1</v>
      </c>
      <c r="G1378">
        <v>315.33</v>
      </c>
      <c r="H1378">
        <v>315.33</v>
      </c>
      <c r="I1378" t="s">
        <v>32</v>
      </c>
      <c r="J1378" t="str">
        <f t="shared" si="21"/>
        <v>Repeat Customer</v>
      </c>
    </row>
    <row r="1379" spans="1:10" x14ac:dyDescent="0.25">
      <c r="A1379">
        <v>10990</v>
      </c>
      <c r="B1379" t="s">
        <v>59</v>
      </c>
      <c r="C1379" s="1">
        <v>45296</v>
      </c>
      <c r="D1379" t="s">
        <v>18</v>
      </c>
      <c r="E1379" t="s">
        <v>31</v>
      </c>
      <c r="F1379">
        <v>2</v>
      </c>
      <c r="G1379">
        <v>462.49</v>
      </c>
      <c r="H1379">
        <v>924.98</v>
      </c>
      <c r="I1379" t="s">
        <v>22</v>
      </c>
      <c r="J1379" t="str">
        <f t="shared" si="21"/>
        <v>Repeat Customer</v>
      </c>
    </row>
    <row r="1380" spans="1:10" x14ac:dyDescent="0.25">
      <c r="A1380">
        <v>11237</v>
      </c>
      <c r="B1380" t="s">
        <v>59</v>
      </c>
      <c r="C1380" s="1">
        <v>45598</v>
      </c>
      <c r="D1380" t="s">
        <v>18</v>
      </c>
      <c r="E1380" t="s">
        <v>11</v>
      </c>
      <c r="F1380">
        <v>6</v>
      </c>
      <c r="G1380">
        <v>295.54000000000002</v>
      </c>
      <c r="H1380">
        <v>1773.24</v>
      </c>
      <c r="I1380" t="s">
        <v>14</v>
      </c>
      <c r="J1380" t="str">
        <f t="shared" si="21"/>
        <v>Repeat Customer</v>
      </c>
    </row>
    <row r="1381" spans="1:10" x14ac:dyDescent="0.25">
      <c r="A1381">
        <v>10911</v>
      </c>
      <c r="B1381" t="s">
        <v>308</v>
      </c>
      <c r="C1381" s="1">
        <v>45811</v>
      </c>
      <c r="D1381" t="s">
        <v>10</v>
      </c>
      <c r="E1381" t="s">
        <v>19</v>
      </c>
      <c r="F1381">
        <v>4</v>
      </c>
      <c r="G1381">
        <v>234.79</v>
      </c>
      <c r="H1381">
        <v>939.16</v>
      </c>
      <c r="I1381" t="s">
        <v>12</v>
      </c>
      <c r="J1381" t="str">
        <f t="shared" si="21"/>
        <v>Repeat Customer</v>
      </c>
    </row>
    <row r="1382" spans="1:10" x14ac:dyDescent="0.25">
      <c r="A1382">
        <v>11023</v>
      </c>
      <c r="B1382" t="s">
        <v>308</v>
      </c>
      <c r="C1382" s="1">
        <v>45612</v>
      </c>
      <c r="D1382" t="s">
        <v>16</v>
      </c>
      <c r="E1382" t="s">
        <v>31</v>
      </c>
      <c r="F1382">
        <v>4</v>
      </c>
      <c r="G1382">
        <v>210.09</v>
      </c>
      <c r="H1382">
        <v>840.36</v>
      </c>
      <c r="I1382" t="s">
        <v>14</v>
      </c>
      <c r="J1382" t="str">
        <f t="shared" si="21"/>
        <v>Repeat Customer</v>
      </c>
    </row>
    <row r="1383" spans="1:10" x14ac:dyDescent="0.25">
      <c r="A1383">
        <v>11150</v>
      </c>
      <c r="B1383" t="s">
        <v>308</v>
      </c>
      <c r="C1383" s="1">
        <v>45338</v>
      </c>
      <c r="D1383" t="s">
        <v>24</v>
      </c>
      <c r="E1383" t="s">
        <v>25</v>
      </c>
      <c r="F1383">
        <v>8</v>
      </c>
      <c r="G1383">
        <v>369.28</v>
      </c>
      <c r="H1383">
        <v>2954.24</v>
      </c>
      <c r="I1383" t="s">
        <v>12</v>
      </c>
      <c r="J1383" t="str">
        <f t="shared" si="21"/>
        <v>Repeat Customer</v>
      </c>
    </row>
    <row r="1384" spans="1:10" x14ac:dyDescent="0.25">
      <c r="A1384">
        <v>10124</v>
      </c>
      <c r="B1384" t="s">
        <v>117</v>
      </c>
      <c r="C1384" s="1">
        <v>45765</v>
      </c>
      <c r="D1384" t="s">
        <v>18</v>
      </c>
      <c r="E1384" t="s">
        <v>19</v>
      </c>
      <c r="F1384">
        <v>7</v>
      </c>
      <c r="G1384">
        <v>31.83</v>
      </c>
      <c r="H1384">
        <v>222.81</v>
      </c>
      <c r="I1384" t="s">
        <v>32</v>
      </c>
      <c r="J1384" t="str">
        <f t="shared" si="21"/>
        <v>Repeat Customer</v>
      </c>
    </row>
    <row r="1385" spans="1:10" x14ac:dyDescent="0.25">
      <c r="A1385">
        <v>10340</v>
      </c>
      <c r="B1385" t="s">
        <v>117</v>
      </c>
      <c r="C1385" s="1">
        <v>45949</v>
      </c>
      <c r="D1385" t="s">
        <v>24</v>
      </c>
      <c r="E1385" t="s">
        <v>11</v>
      </c>
      <c r="F1385">
        <v>1</v>
      </c>
      <c r="G1385">
        <v>264.35000000000002</v>
      </c>
      <c r="H1385">
        <v>264.35000000000002</v>
      </c>
      <c r="I1385" t="s">
        <v>12</v>
      </c>
      <c r="J1385" t="str">
        <f t="shared" si="21"/>
        <v>Repeat Customer</v>
      </c>
    </row>
    <row r="1386" spans="1:10" x14ac:dyDescent="0.25">
      <c r="A1386">
        <v>10773</v>
      </c>
      <c r="B1386" t="s">
        <v>117</v>
      </c>
      <c r="C1386" s="1">
        <v>45426</v>
      </c>
      <c r="D1386" t="s">
        <v>18</v>
      </c>
      <c r="E1386" t="s">
        <v>25</v>
      </c>
      <c r="F1386">
        <v>4</v>
      </c>
      <c r="G1386">
        <v>327.97</v>
      </c>
      <c r="H1386">
        <v>1311.88</v>
      </c>
      <c r="I1386" t="s">
        <v>14</v>
      </c>
      <c r="J1386" t="str">
        <f t="shared" si="21"/>
        <v>Repeat Customer</v>
      </c>
    </row>
    <row r="1387" spans="1:10" x14ac:dyDescent="0.25">
      <c r="A1387">
        <v>10934</v>
      </c>
      <c r="B1387" t="s">
        <v>117</v>
      </c>
      <c r="C1387" s="1">
        <v>45881</v>
      </c>
      <c r="D1387" t="s">
        <v>24</v>
      </c>
      <c r="E1387" t="s">
        <v>19</v>
      </c>
      <c r="F1387">
        <v>4</v>
      </c>
      <c r="G1387">
        <v>394.91</v>
      </c>
      <c r="H1387">
        <v>1579.64</v>
      </c>
      <c r="I1387" t="s">
        <v>12</v>
      </c>
      <c r="J1387" t="str">
        <f t="shared" si="21"/>
        <v>Repeat Customer</v>
      </c>
    </row>
    <row r="1388" spans="1:10" x14ac:dyDescent="0.25">
      <c r="A1388">
        <v>11005</v>
      </c>
      <c r="B1388" t="s">
        <v>117</v>
      </c>
      <c r="C1388" s="1">
        <v>45643</v>
      </c>
      <c r="D1388" t="s">
        <v>24</v>
      </c>
      <c r="E1388" t="s">
        <v>31</v>
      </c>
      <c r="F1388">
        <v>9</v>
      </c>
      <c r="G1388">
        <v>275.58</v>
      </c>
      <c r="H1388">
        <v>2480.2199999999998</v>
      </c>
      <c r="I1388" t="s">
        <v>12</v>
      </c>
      <c r="J1388" t="str">
        <f t="shared" si="21"/>
        <v>Repeat Customer</v>
      </c>
    </row>
    <row r="1389" spans="1:10" x14ac:dyDescent="0.25">
      <c r="A1389">
        <v>11152</v>
      </c>
      <c r="B1389" t="s">
        <v>117</v>
      </c>
      <c r="C1389" s="1">
        <v>45882</v>
      </c>
      <c r="D1389" t="s">
        <v>18</v>
      </c>
      <c r="E1389" t="s">
        <v>25</v>
      </c>
      <c r="F1389">
        <v>1</v>
      </c>
      <c r="G1389">
        <v>478.86</v>
      </c>
      <c r="H1389">
        <v>478.86</v>
      </c>
      <c r="I1389" t="s">
        <v>32</v>
      </c>
      <c r="J1389" t="str">
        <f t="shared" si="21"/>
        <v>Repeat Customer</v>
      </c>
    </row>
    <row r="1390" spans="1:10" x14ac:dyDescent="0.25">
      <c r="A1390">
        <v>10115</v>
      </c>
      <c r="B1390" t="s">
        <v>110</v>
      </c>
      <c r="C1390" s="1">
        <v>45522</v>
      </c>
      <c r="D1390" t="s">
        <v>10</v>
      </c>
      <c r="E1390" t="s">
        <v>11</v>
      </c>
      <c r="F1390">
        <v>3</v>
      </c>
      <c r="G1390">
        <v>454.66</v>
      </c>
      <c r="H1390">
        <v>1363.98</v>
      </c>
      <c r="I1390" t="s">
        <v>12</v>
      </c>
      <c r="J1390" t="str">
        <f t="shared" si="21"/>
        <v>Repeat Customer</v>
      </c>
    </row>
    <row r="1391" spans="1:10" x14ac:dyDescent="0.25">
      <c r="A1391">
        <v>10163</v>
      </c>
      <c r="B1391" t="s">
        <v>110</v>
      </c>
      <c r="C1391" s="1">
        <v>45952</v>
      </c>
      <c r="D1391" t="s">
        <v>16</v>
      </c>
      <c r="E1391" t="s">
        <v>25</v>
      </c>
      <c r="F1391">
        <v>6</v>
      </c>
      <c r="G1391">
        <v>34.97</v>
      </c>
      <c r="H1391">
        <v>209.82</v>
      </c>
      <c r="I1391" t="s">
        <v>12</v>
      </c>
      <c r="J1391" t="str">
        <f t="shared" si="21"/>
        <v>Repeat Customer</v>
      </c>
    </row>
    <row r="1392" spans="1:10" x14ac:dyDescent="0.25">
      <c r="A1392">
        <v>10235</v>
      </c>
      <c r="B1392" t="s">
        <v>110</v>
      </c>
      <c r="C1392" s="1">
        <v>45776</v>
      </c>
      <c r="D1392" t="s">
        <v>10</v>
      </c>
      <c r="E1392" t="s">
        <v>19</v>
      </c>
      <c r="F1392">
        <v>5</v>
      </c>
      <c r="G1392">
        <v>23.13</v>
      </c>
      <c r="H1392">
        <v>115.65</v>
      </c>
      <c r="I1392" t="s">
        <v>22</v>
      </c>
      <c r="J1392" t="str">
        <f t="shared" si="21"/>
        <v>Repeat Customer</v>
      </c>
    </row>
    <row r="1393" spans="1:10" x14ac:dyDescent="0.25">
      <c r="A1393">
        <v>10297</v>
      </c>
      <c r="B1393" t="s">
        <v>110</v>
      </c>
      <c r="C1393" s="1">
        <v>45828</v>
      </c>
      <c r="D1393" t="s">
        <v>10</v>
      </c>
      <c r="E1393" t="s">
        <v>31</v>
      </c>
      <c r="F1393">
        <v>8</v>
      </c>
      <c r="G1393">
        <v>445.18</v>
      </c>
      <c r="H1393">
        <v>3561.44</v>
      </c>
      <c r="I1393" t="s">
        <v>22</v>
      </c>
      <c r="J1393" t="str">
        <f t="shared" si="21"/>
        <v>Repeat Customer</v>
      </c>
    </row>
    <row r="1394" spans="1:10" x14ac:dyDescent="0.25">
      <c r="A1394">
        <v>10351</v>
      </c>
      <c r="B1394" t="s">
        <v>110</v>
      </c>
      <c r="C1394" s="1">
        <v>45869</v>
      </c>
      <c r="D1394" t="s">
        <v>16</v>
      </c>
      <c r="E1394" t="s">
        <v>11</v>
      </c>
      <c r="F1394">
        <v>1</v>
      </c>
      <c r="G1394">
        <v>93.78</v>
      </c>
      <c r="H1394">
        <v>93.78</v>
      </c>
      <c r="I1394" t="s">
        <v>14</v>
      </c>
      <c r="J1394" t="str">
        <f t="shared" si="21"/>
        <v>Repeat Customer</v>
      </c>
    </row>
    <row r="1395" spans="1:10" x14ac:dyDescent="0.25">
      <c r="A1395">
        <v>10396</v>
      </c>
      <c r="B1395" t="s">
        <v>110</v>
      </c>
      <c r="C1395" s="1">
        <v>45667</v>
      </c>
      <c r="D1395" t="s">
        <v>24</v>
      </c>
      <c r="E1395" t="s">
        <v>31</v>
      </c>
      <c r="F1395">
        <v>9</v>
      </c>
      <c r="G1395">
        <v>412.19</v>
      </c>
      <c r="H1395">
        <v>3709.71</v>
      </c>
      <c r="I1395" t="s">
        <v>14</v>
      </c>
      <c r="J1395" t="str">
        <f t="shared" si="21"/>
        <v>Repeat Customer</v>
      </c>
    </row>
    <row r="1396" spans="1:10" x14ac:dyDescent="0.25">
      <c r="A1396">
        <v>10976</v>
      </c>
      <c r="B1396" t="s">
        <v>110</v>
      </c>
      <c r="C1396" s="1">
        <v>45622</v>
      </c>
      <c r="D1396" t="s">
        <v>16</v>
      </c>
      <c r="E1396" t="s">
        <v>19</v>
      </c>
      <c r="F1396">
        <v>6</v>
      </c>
      <c r="G1396">
        <v>414.28</v>
      </c>
      <c r="H1396">
        <v>2485.6799999999998</v>
      </c>
      <c r="I1396" t="s">
        <v>22</v>
      </c>
      <c r="J1396" t="str">
        <f t="shared" si="21"/>
        <v>Repeat Customer</v>
      </c>
    </row>
    <row r="1397" spans="1:10" x14ac:dyDescent="0.25">
      <c r="A1397">
        <v>11127</v>
      </c>
      <c r="B1397" t="s">
        <v>110</v>
      </c>
      <c r="C1397" s="1">
        <v>45931</v>
      </c>
      <c r="D1397" t="s">
        <v>16</v>
      </c>
      <c r="E1397" t="s">
        <v>31</v>
      </c>
      <c r="F1397">
        <v>10</v>
      </c>
      <c r="G1397">
        <v>327.76</v>
      </c>
      <c r="H1397">
        <v>3277.6</v>
      </c>
      <c r="I1397" t="s">
        <v>14</v>
      </c>
      <c r="J1397" t="str">
        <f t="shared" si="21"/>
        <v>Repeat Customer</v>
      </c>
    </row>
    <row r="1398" spans="1:10" x14ac:dyDescent="0.25">
      <c r="A1398">
        <v>11231</v>
      </c>
      <c r="B1398" t="s">
        <v>110</v>
      </c>
      <c r="C1398" s="1">
        <v>45559</v>
      </c>
      <c r="D1398" t="s">
        <v>16</v>
      </c>
      <c r="E1398" t="s">
        <v>19</v>
      </c>
      <c r="F1398">
        <v>1</v>
      </c>
      <c r="G1398">
        <v>386.19</v>
      </c>
      <c r="H1398">
        <v>386.19</v>
      </c>
      <c r="I1398" t="s">
        <v>32</v>
      </c>
      <c r="J1398" t="str">
        <f t="shared" si="21"/>
        <v>Repeat Customer</v>
      </c>
    </row>
    <row r="1399" spans="1:10" x14ac:dyDescent="0.25">
      <c r="A1399">
        <v>10003</v>
      </c>
      <c r="B1399" t="s">
        <v>15</v>
      </c>
      <c r="C1399" s="1">
        <v>45721</v>
      </c>
      <c r="D1399" t="s">
        <v>16</v>
      </c>
      <c r="E1399" t="s">
        <v>11</v>
      </c>
      <c r="F1399">
        <v>4</v>
      </c>
      <c r="G1399">
        <v>227.36</v>
      </c>
      <c r="H1399">
        <v>909.44</v>
      </c>
      <c r="I1399" t="s">
        <v>14</v>
      </c>
      <c r="J1399" t="str">
        <f t="shared" si="21"/>
        <v>Repeat Customer</v>
      </c>
    </row>
    <row r="1400" spans="1:10" x14ac:dyDescent="0.25">
      <c r="A1400">
        <v>10050</v>
      </c>
      <c r="B1400" t="s">
        <v>15</v>
      </c>
      <c r="C1400" s="1">
        <v>45328</v>
      </c>
      <c r="D1400" t="s">
        <v>10</v>
      </c>
      <c r="E1400" t="s">
        <v>31</v>
      </c>
      <c r="F1400">
        <v>6</v>
      </c>
      <c r="G1400">
        <v>293.33999999999997</v>
      </c>
      <c r="H1400">
        <v>1760.04</v>
      </c>
      <c r="I1400" t="s">
        <v>14</v>
      </c>
      <c r="J1400" t="str">
        <f t="shared" si="21"/>
        <v>Repeat Customer</v>
      </c>
    </row>
    <row r="1401" spans="1:10" x14ac:dyDescent="0.25">
      <c r="A1401">
        <v>10239</v>
      </c>
      <c r="B1401" t="s">
        <v>15</v>
      </c>
      <c r="C1401" s="1">
        <v>45592</v>
      </c>
      <c r="D1401" t="s">
        <v>16</v>
      </c>
      <c r="E1401" t="s">
        <v>19</v>
      </c>
      <c r="F1401">
        <v>6</v>
      </c>
      <c r="G1401">
        <v>55.79</v>
      </c>
      <c r="H1401">
        <v>334.74</v>
      </c>
      <c r="I1401" t="s">
        <v>22</v>
      </c>
      <c r="J1401" t="str">
        <f t="shared" si="21"/>
        <v>Repeat Customer</v>
      </c>
    </row>
    <row r="1402" spans="1:10" x14ac:dyDescent="0.25">
      <c r="A1402">
        <v>10425</v>
      </c>
      <c r="B1402" t="s">
        <v>15</v>
      </c>
      <c r="C1402" s="1">
        <v>45991</v>
      </c>
      <c r="D1402" t="s">
        <v>24</v>
      </c>
      <c r="E1402" t="s">
        <v>11</v>
      </c>
      <c r="F1402">
        <v>3</v>
      </c>
      <c r="G1402">
        <v>382.55</v>
      </c>
      <c r="H1402">
        <v>1147.6500000000001</v>
      </c>
      <c r="I1402" t="s">
        <v>12</v>
      </c>
      <c r="J1402" t="str">
        <f t="shared" si="21"/>
        <v>Repeat Customer</v>
      </c>
    </row>
    <row r="1403" spans="1:10" x14ac:dyDescent="0.25">
      <c r="A1403">
        <v>11407</v>
      </c>
      <c r="B1403" t="s">
        <v>15</v>
      </c>
      <c r="C1403" s="1">
        <v>45925</v>
      </c>
      <c r="D1403" t="s">
        <v>21</v>
      </c>
      <c r="E1403" t="s">
        <v>25</v>
      </c>
      <c r="F1403">
        <v>6</v>
      </c>
      <c r="G1403">
        <v>154.22999999999999</v>
      </c>
      <c r="H1403">
        <v>925.38</v>
      </c>
      <c r="I1403" t="s">
        <v>14</v>
      </c>
      <c r="J1403" t="str">
        <f t="shared" si="21"/>
        <v>Repeat Customer</v>
      </c>
    </row>
    <row r="1404" spans="1:10" x14ac:dyDescent="0.25">
      <c r="A1404">
        <v>11146</v>
      </c>
      <c r="B1404" t="s">
        <v>317</v>
      </c>
      <c r="C1404" s="1">
        <v>45649</v>
      </c>
      <c r="D1404" t="s">
        <v>21</v>
      </c>
      <c r="E1404" t="s">
        <v>31</v>
      </c>
      <c r="F1404">
        <v>2</v>
      </c>
      <c r="G1404">
        <v>435.86</v>
      </c>
      <c r="H1404">
        <v>871.72</v>
      </c>
      <c r="I1404" t="s">
        <v>22</v>
      </c>
      <c r="J1404" t="str">
        <f t="shared" si="21"/>
        <v>New Customer</v>
      </c>
    </row>
    <row r="1405" spans="1:10" x14ac:dyDescent="0.25">
      <c r="A1405">
        <v>10338</v>
      </c>
      <c r="B1405" t="s">
        <v>214</v>
      </c>
      <c r="C1405" s="1">
        <v>45962</v>
      </c>
      <c r="D1405" t="s">
        <v>21</v>
      </c>
      <c r="E1405" t="s">
        <v>31</v>
      </c>
      <c r="F1405">
        <v>6</v>
      </c>
      <c r="G1405">
        <v>132.38</v>
      </c>
      <c r="H1405">
        <v>794.28</v>
      </c>
      <c r="I1405" t="s">
        <v>32</v>
      </c>
      <c r="J1405" t="str">
        <f t="shared" si="21"/>
        <v>Repeat Customer</v>
      </c>
    </row>
    <row r="1406" spans="1:10" x14ac:dyDescent="0.25">
      <c r="A1406">
        <v>10371</v>
      </c>
      <c r="B1406" t="s">
        <v>214</v>
      </c>
      <c r="C1406" s="1">
        <v>45319</v>
      </c>
      <c r="D1406" t="s">
        <v>10</v>
      </c>
      <c r="E1406" t="s">
        <v>31</v>
      </c>
      <c r="F1406">
        <v>8</v>
      </c>
      <c r="G1406">
        <v>471.77</v>
      </c>
      <c r="H1406">
        <v>3774.16</v>
      </c>
      <c r="I1406" t="s">
        <v>22</v>
      </c>
      <c r="J1406" t="str">
        <f t="shared" si="21"/>
        <v>Repeat Customer</v>
      </c>
    </row>
    <row r="1407" spans="1:10" x14ac:dyDescent="0.25">
      <c r="A1407">
        <v>10655</v>
      </c>
      <c r="B1407" t="s">
        <v>214</v>
      </c>
      <c r="C1407" s="1">
        <v>45920</v>
      </c>
      <c r="D1407" t="s">
        <v>24</v>
      </c>
      <c r="E1407" t="s">
        <v>11</v>
      </c>
      <c r="F1407">
        <v>1</v>
      </c>
      <c r="G1407">
        <v>84.57</v>
      </c>
      <c r="H1407">
        <v>84.57</v>
      </c>
      <c r="I1407" t="s">
        <v>14</v>
      </c>
      <c r="J1407" t="str">
        <f t="shared" si="21"/>
        <v>Repeat Customer</v>
      </c>
    </row>
    <row r="1408" spans="1:10" x14ac:dyDescent="0.25">
      <c r="A1408">
        <v>10175</v>
      </c>
      <c r="B1408" t="s">
        <v>148</v>
      </c>
      <c r="C1408" s="1">
        <v>45512</v>
      </c>
      <c r="D1408" t="s">
        <v>10</v>
      </c>
      <c r="E1408" t="s">
        <v>31</v>
      </c>
      <c r="F1408">
        <v>7</v>
      </c>
      <c r="G1408">
        <v>228.52</v>
      </c>
      <c r="H1408">
        <v>1599.64</v>
      </c>
      <c r="I1408" t="s">
        <v>22</v>
      </c>
      <c r="J1408" t="str">
        <f t="shared" si="21"/>
        <v>Repeat Customer</v>
      </c>
    </row>
    <row r="1409" spans="1:10" x14ac:dyDescent="0.25">
      <c r="A1409">
        <v>10255</v>
      </c>
      <c r="B1409" t="s">
        <v>148</v>
      </c>
      <c r="C1409" s="1">
        <v>45947</v>
      </c>
      <c r="D1409" t="s">
        <v>10</v>
      </c>
      <c r="E1409" t="s">
        <v>31</v>
      </c>
      <c r="F1409">
        <v>10</v>
      </c>
      <c r="G1409">
        <v>95.07</v>
      </c>
      <c r="H1409">
        <v>950.7</v>
      </c>
      <c r="I1409" t="s">
        <v>12</v>
      </c>
      <c r="J1409" t="str">
        <f t="shared" si="21"/>
        <v>Repeat Customer</v>
      </c>
    </row>
    <row r="1410" spans="1:10" x14ac:dyDescent="0.25">
      <c r="A1410">
        <v>10333</v>
      </c>
      <c r="B1410" t="s">
        <v>148</v>
      </c>
      <c r="C1410" s="1">
        <v>45621</v>
      </c>
      <c r="D1410" t="s">
        <v>18</v>
      </c>
      <c r="E1410" t="s">
        <v>19</v>
      </c>
      <c r="F1410">
        <v>5</v>
      </c>
      <c r="G1410">
        <v>193.43</v>
      </c>
      <c r="H1410">
        <v>967.15</v>
      </c>
      <c r="I1410" t="s">
        <v>22</v>
      </c>
      <c r="J1410" t="str">
        <f t="shared" ref="J1410:J1473" si="22">IF(COUNTIF($B:$B,B1410)&gt;1,"Repeat Customer","New Customer")</f>
        <v>Repeat Customer</v>
      </c>
    </row>
    <row r="1411" spans="1:10" x14ac:dyDescent="0.25">
      <c r="A1411">
        <v>10652</v>
      </c>
      <c r="B1411" t="s">
        <v>148</v>
      </c>
      <c r="C1411" s="1">
        <v>45862</v>
      </c>
      <c r="D1411" t="s">
        <v>18</v>
      </c>
      <c r="E1411" t="s">
        <v>31</v>
      </c>
      <c r="F1411">
        <v>8</v>
      </c>
      <c r="G1411">
        <v>93.47</v>
      </c>
      <c r="H1411">
        <v>747.76</v>
      </c>
      <c r="I1411" t="s">
        <v>22</v>
      </c>
      <c r="J1411" t="str">
        <f t="shared" si="22"/>
        <v>Repeat Customer</v>
      </c>
    </row>
    <row r="1412" spans="1:10" x14ac:dyDescent="0.25">
      <c r="A1412">
        <v>11181</v>
      </c>
      <c r="B1412" t="s">
        <v>148</v>
      </c>
      <c r="C1412" s="1">
        <v>45490</v>
      </c>
      <c r="D1412" t="s">
        <v>18</v>
      </c>
      <c r="E1412" t="s">
        <v>25</v>
      </c>
      <c r="F1412">
        <v>10</v>
      </c>
      <c r="G1412">
        <v>337.73</v>
      </c>
      <c r="H1412">
        <v>3377.3</v>
      </c>
      <c r="I1412" t="s">
        <v>12</v>
      </c>
      <c r="J1412" t="str">
        <f t="shared" si="22"/>
        <v>Repeat Customer</v>
      </c>
    </row>
    <row r="1413" spans="1:10" x14ac:dyDescent="0.25">
      <c r="A1413">
        <v>10025</v>
      </c>
      <c r="B1413" t="s">
        <v>44</v>
      </c>
      <c r="C1413" s="1">
        <v>45527</v>
      </c>
      <c r="D1413" t="s">
        <v>24</v>
      </c>
      <c r="E1413" t="s">
        <v>11</v>
      </c>
      <c r="F1413">
        <v>10</v>
      </c>
      <c r="G1413">
        <v>114.01</v>
      </c>
      <c r="H1413">
        <v>1140.0999999999999</v>
      </c>
      <c r="I1413" t="s">
        <v>14</v>
      </c>
      <c r="J1413" t="str">
        <f t="shared" si="22"/>
        <v>Repeat Customer</v>
      </c>
    </row>
    <row r="1414" spans="1:10" x14ac:dyDescent="0.25">
      <c r="A1414">
        <v>10045</v>
      </c>
      <c r="B1414" t="s">
        <v>44</v>
      </c>
      <c r="C1414" s="1">
        <v>45598</v>
      </c>
      <c r="D1414" t="s">
        <v>10</v>
      </c>
      <c r="E1414" t="s">
        <v>19</v>
      </c>
      <c r="F1414">
        <v>2</v>
      </c>
      <c r="G1414">
        <v>469.77</v>
      </c>
      <c r="H1414">
        <v>939.54</v>
      </c>
      <c r="I1414" t="s">
        <v>12</v>
      </c>
      <c r="J1414" t="str">
        <f t="shared" si="22"/>
        <v>Repeat Customer</v>
      </c>
    </row>
    <row r="1415" spans="1:10" x14ac:dyDescent="0.25">
      <c r="A1415">
        <v>10063</v>
      </c>
      <c r="B1415" t="s">
        <v>44</v>
      </c>
      <c r="C1415" s="1">
        <v>45422</v>
      </c>
      <c r="D1415" t="s">
        <v>21</v>
      </c>
      <c r="E1415" t="s">
        <v>25</v>
      </c>
      <c r="F1415">
        <v>4</v>
      </c>
      <c r="G1415">
        <v>213.12</v>
      </c>
      <c r="H1415">
        <v>852.48</v>
      </c>
      <c r="I1415" t="s">
        <v>22</v>
      </c>
      <c r="J1415" t="str">
        <f t="shared" si="22"/>
        <v>Repeat Customer</v>
      </c>
    </row>
    <row r="1416" spans="1:10" x14ac:dyDescent="0.25">
      <c r="A1416">
        <v>10100</v>
      </c>
      <c r="B1416" t="s">
        <v>44</v>
      </c>
      <c r="C1416" s="1">
        <v>45835</v>
      </c>
      <c r="D1416" t="s">
        <v>18</v>
      </c>
      <c r="E1416" t="s">
        <v>19</v>
      </c>
      <c r="F1416">
        <v>6</v>
      </c>
      <c r="G1416">
        <v>215.62</v>
      </c>
      <c r="H1416">
        <v>1293.72</v>
      </c>
      <c r="I1416" t="s">
        <v>22</v>
      </c>
      <c r="J1416" t="str">
        <f t="shared" si="22"/>
        <v>Repeat Customer</v>
      </c>
    </row>
    <row r="1417" spans="1:10" x14ac:dyDescent="0.25">
      <c r="A1417">
        <v>10219</v>
      </c>
      <c r="B1417" t="s">
        <v>44</v>
      </c>
      <c r="C1417" s="1">
        <v>45397</v>
      </c>
      <c r="D1417" t="s">
        <v>16</v>
      </c>
      <c r="E1417" t="s">
        <v>11</v>
      </c>
      <c r="F1417">
        <v>9</v>
      </c>
      <c r="G1417">
        <v>426.33</v>
      </c>
      <c r="H1417">
        <v>3836.97</v>
      </c>
      <c r="I1417" t="s">
        <v>14</v>
      </c>
      <c r="J1417" t="str">
        <f t="shared" si="22"/>
        <v>Repeat Customer</v>
      </c>
    </row>
    <row r="1418" spans="1:10" x14ac:dyDescent="0.25">
      <c r="A1418">
        <v>10272</v>
      </c>
      <c r="B1418" t="s">
        <v>44</v>
      </c>
      <c r="C1418" s="1">
        <v>45587</v>
      </c>
      <c r="D1418" t="s">
        <v>21</v>
      </c>
      <c r="E1418" t="s">
        <v>19</v>
      </c>
      <c r="F1418">
        <v>2</v>
      </c>
      <c r="G1418">
        <v>196.24</v>
      </c>
      <c r="H1418">
        <v>392.48</v>
      </c>
      <c r="I1418" t="s">
        <v>12</v>
      </c>
      <c r="J1418" t="str">
        <f t="shared" si="22"/>
        <v>Repeat Customer</v>
      </c>
    </row>
    <row r="1419" spans="1:10" x14ac:dyDescent="0.25">
      <c r="A1419">
        <v>10361</v>
      </c>
      <c r="B1419" t="s">
        <v>44</v>
      </c>
      <c r="C1419" s="1">
        <v>45387</v>
      </c>
      <c r="D1419" t="s">
        <v>16</v>
      </c>
      <c r="E1419" t="s">
        <v>31</v>
      </c>
      <c r="F1419">
        <v>10</v>
      </c>
      <c r="G1419">
        <v>301.02999999999997</v>
      </c>
      <c r="H1419">
        <v>3010.3</v>
      </c>
      <c r="I1419" t="s">
        <v>12</v>
      </c>
      <c r="J1419" t="str">
        <f t="shared" si="22"/>
        <v>Repeat Customer</v>
      </c>
    </row>
    <row r="1420" spans="1:10" x14ac:dyDescent="0.25">
      <c r="A1420">
        <v>10442</v>
      </c>
      <c r="B1420" t="s">
        <v>44</v>
      </c>
      <c r="C1420" s="1">
        <v>45759</v>
      </c>
      <c r="D1420" t="s">
        <v>16</v>
      </c>
      <c r="E1420" t="s">
        <v>19</v>
      </c>
      <c r="F1420">
        <v>1</v>
      </c>
      <c r="G1420">
        <v>187.62</v>
      </c>
      <c r="H1420">
        <v>187.62</v>
      </c>
      <c r="I1420" t="s">
        <v>14</v>
      </c>
      <c r="J1420" t="str">
        <f t="shared" si="22"/>
        <v>Repeat Customer</v>
      </c>
    </row>
    <row r="1421" spans="1:10" x14ac:dyDescent="0.25">
      <c r="A1421">
        <v>10580</v>
      </c>
      <c r="B1421" t="s">
        <v>44</v>
      </c>
      <c r="C1421" s="1">
        <v>45939</v>
      </c>
      <c r="D1421" t="s">
        <v>18</v>
      </c>
      <c r="E1421" t="s">
        <v>19</v>
      </c>
      <c r="F1421">
        <v>4</v>
      </c>
      <c r="G1421">
        <v>104.44</v>
      </c>
      <c r="H1421">
        <v>417.76</v>
      </c>
      <c r="I1421" t="s">
        <v>22</v>
      </c>
      <c r="J1421" t="str">
        <f t="shared" si="22"/>
        <v>Repeat Customer</v>
      </c>
    </row>
    <row r="1422" spans="1:10" x14ac:dyDescent="0.25">
      <c r="A1422">
        <v>11009</v>
      </c>
      <c r="B1422" t="s">
        <v>44</v>
      </c>
      <c r="C1422" s="1">
        <v>45993</v>
      </c>
      <c r="D1422" t="s">
        <v>21</v>
      </c>
      <c r="E1422" t="s">
        <v>25</v>
      </c>
      <c r="F1422">
        <v>9</v>
      </c>
      <c r="G1422">
        <v>288.24</v>
      </c>
      <c r="H1422">
        <v>2594.16</v>
      </c>
      <c r="I1422" t="s">
        <v>12</v>
      </c>
      <c r="J1422" t="str">
        <f t="shared" si="22"/>
        <v>Repeat Customer</v>
      </c>
    </row>
    <row r="1423" spans="1:10" x14ac:dyDescent="0.25">
      <c r="A1423">
        <v>11212</v>
      </c>
      <c r="B1423" t="s">
        <v>44</v>
      </c>
      <c r="C1423" s="1">
        <v>45543</v>
      </c>
      <c r="D1423" t="s">
        <v>10</v>
      </c>
      <c r="E1423" t="s">
        <v>19</v>
      </c>
      <c r="F1423">
        <v>3</v>
      </c>
      <c r="G1423">
        <v>102.01</v>
      </c>
      <c r="H1423">
        <v>306.02999999999997</v>
      </c>
      <c r="I1423" t="s">
        <v>12</v>
      </c>
      <c r="J1423" t="str">
        <f t="shared" si="22"/>
        <v>Repeat Customer</v>
      </c>
    </row>
    <row r="1424" spans="1:10" x14ac:dyDescent="0.25">
      <c r="A1424">
        <v>11288</v>
      </c>
      <c r="B1424" t="s">
        <v>44</v>
      </c>
      <c r="C1424" s="1">
        <v>45471</v>
      </c>
      <c r="D1424" t="s">
        <v>16</v>
      </c>
      <c r="E1424" t="s">
        <v>31</v>
      </c>
      <c r="F1424">
        <v>5</v>
      </c>
      <c r="G1424">
        <v>193.32</v>
      </c>
      <c r="H1424">
        <v>966.6</v>
      </c>
      <c r="I1424" t="s">
        <v>22</v>
      </c>
      <c r="J1424" t="str">
        <f t="shared" si="22"/>
        <v>Repeat Customer</v>
      </c>
    </row>
    <row r="1425" spans="1:10" x14ac:dyDescent="0.25">
      <c r="A1425">
        <v>10035</v>
      </c>
      <c r="B1425" t="s">
        <v>52</v>
      </c>
      <c r="C1425" s="1">
        <v>45969</v>
      </c>
      <c r="D1425" t="s">
        <v>16</v>
      </c>
      <c r="E1425" t="s">
        <v>25</v>
      </c>
      <c r="F1425">
        <v>8</v>
      </c>
      <c r="G1425">
        <v>81.62</v>
      </c>
      <c r="H1425">
        <v>652.96</v>
      </c>
      <c r="I1425" t="s">
        <v>12</v>
      </c>
      <c r="J1425" t="str">
        <f t="shared" si="22"/>
        <v>Repeat Customer</v>
      </c>
    </row>
    <row r="1426" spans="1:10" x14ac:dyDescent="0.25">
      <c r="A1426">
        <v>10325</v>
      </c>
      <c r="B1426" t="s">
        <v>52</v>
      </c>
      <c r="C1426" s="1">
        <v>45799</v>
      </c>
      <c r="D1426" t="s">
        <v>21</v>
      </c>
      <c r="E1426" t="s">
        <v>19</v>
      </c>
      <c r="F1426">
        <v>1</v>
      </c>
      <c r="G1426">
        <v>486.28</v>
      </c>
      <c r="H1426">
        <v>486.28</v>
      </c>
      <c r="I1426" t="s">
        <v>32</v>
      </c>
      <c r="J1426" t="str">
        <f t="shared" si="22"/>
        <v>Repeat Customer</v>
      </c>
    </row>
    <row r="1427" spans="1:10" x14ac:dyDescent="0.25">
      <c r="A1427">
        <v>10966</v>
      </c>
      <c r="B1427" t="s">
        <v>52</v>
      </c>
      <c r="C1427" s="1">
        <v>45765</v>
      </c>
      <c r="D1427" t="s">
        <v>10</v>
      </c>
      <c r="E1427" t="s">
        <v>25</v>
      </c>
      <c r="F1427">
        <v>10</v>
      </c>
      <c r="G1427">
        <v>378.85</v>
      </c>
      <c r="H1427">
        <v>3788.5</v>
      </c>
      <c r="I1427" t="s">
        <v>14</v>
      </c>
      <c r="J1427" t="str">
        <f t="shared" si="22"/>
        <v>Repeat Customer</v>
      </c>
    </row>
    <row r="1428" spans="1:10" x14ac:dyDescent="0.25">
      <c r="A1428">
        <v>10071</v>
      </c>
      <c r="B1428" t="s">
        <v>79</v>
      </c>
      <c r="C1428" s="1">
        <v>45547</v>
      </c>
      <c r="D1428" t="s">
        <v>21</v>
      </c>
      <c r="E1428" t="s">
        <v>19</v>
      </c>
      <c r="F1428">
        <v>2</v>
      </c>
      <c r="G1428">
        <v>230.95</v>
      </c>
      <c r="H1428">
        <v>461.9</v>
      </c>
      <c r="I1428" t="s">
        <v>32</v>
      </c>
      <c r="J1428" t="str">
        <f t="shared" si="22"/>
        <v>Repeat Customer</v>
      </c>
    </row>
    <row r="1429" spans="1:10" x14ac:dyDescent="0.25">
      <c r="A1429">
        <v>10328</v>
      </c>
      <c r="B1429" t="s">
        <v>79</v>
      </c>
      <c r="C1429" s="1">
        <v>45834</v>
      </c>
      <c r="D1429" t="s">
        <v>16</v>
      </c>
      <c r="E1429" t="s">
        <v>25</v>
      </c>
      <c r="F1429">
        <v>3</v>
      </c>
      <c r="G1429">
        <v>197.27</v>
      </c>
      <c r="H1429">
        <v>591.80999999999995</v>
      </c>
      <c r="I1429" t="s">
        <v>22</v>
      </c>
      <c r="J1429" t="str">
        <f t="shared" si="22"/>
        <v>Repeat Customer</v>
      </c>
    </row>
    <row r="1430" spans="1:10" x14ac:dyDescent="0.25">
      <c r="A1430">
        <v>10360</v>
      </c>
      <c r="B1430" t="s">
        <v>79</v>
      </c>
      <c r="C1430" s="1">
        <v>45860</v>
      </c>
      <c r="D1430" t="s">
        <v>24</v>
      </c>
      <c r="E1430" t="s">
        <v>11</v>
      </c>
      <c r="F1430">
        <v>9</v>
      </c>
      <c r="G1430">
        <v>206.98</v>
      </c>
      <c r="H1430">
        <v>1862.82</v>
      </c>
      <c r="I1430" t="s">
        <v>22</v>
      </c>
      <c r="J1430" t="str">
        <f t="shared" si="22"/>
        <v>Repeat Customer</v>
      </c>
    </row>
    <row r="1431" spans="1:10" x14ac:dyDescent="0.25">
      <c r="A1431">
        <v>10786</v>
      </c>
      <c r="B1431" t="s">
        <v>79</v>
      </c>
      <c r="C1431" s="1">
        <v>45688</v>
      </c>
      <c r="D1431" t="s">
        <v>24</v>
      </c>
      <c r="E1431" t="s">
        <v>25</v>
      </c>
      <c r="F1431">
        <v>9</v>
      </c>
      <c r="G1431">
        <v>383.75</v>
      </c>
      <c r="H1431">
        <v>3453.75</v>
      </c>
      <c r="I1431" t="s">
        <v>22</v>
      </c>
      <c r="J1431" t="str">
        <f t="shared" si="22"/>
        <v>Repeat Customer</v>
      </c>
    </row>
    <row r="1432" spans="1:10" x14ac:dyDescent="0.25">
      <c r="A1432">
        <v>10755</v>
      </c>
      <c r="B1432" t="s">
        <v>295</v>
      </c>
      <c r="C1432" s="1">
        <v>45494</v>
      </c>
      <c r="D1432" t="s">
        <v>18</v>
      </c>
      <c r="E1432" t="s">
        <v>25</v>
      </c>
      <c r="F1432">
        <v>8</v>
      </c>
      <c r="G1432">
        <v>200.68</v>
      </c>
      <c r="H1432">
        <v>1605.44</v>
      </c>
      <c r="I1432" t="s">
        <v>14</v>
      </c>
      <c r="J1432" t="str">
        <f t="shared" si="22"/>
        <v>Repeat Customer</v>
      </c>
    </row>
    <row r="1433" spans="1:10" x14ac:dyDescent="0.25">
      <c r="A1433">
        <v>10968</v>
      </c>
      <c r="B1433" t="s">
        <v>295</v>
      </c>
      <c r="C1433" s="1">
        <v>45766</v>
      </c>
      <c r="D1433" t="s">
        <v>24</v>
      </c>
      <c r="E1433" t="s">
        <v>25</v>
      </c>
      <c r="F1433">
        <v>4</v>
      </c>
      <c r="G1433">
        <v>18.29</v>
      </c>
      <c r="H1433">
        <v>73.16</v>
      </c>
      <c r="I1433" t="s">
        <v>22</v>
      </c>
      <c r="J1433" t="str">
        <f t="shared" si="22"/>
        <v>Repeat Customer</v>
      </c>
    </row>
    <row r="1434" spans="1:10" x14ac:dyDescent="0.25">
      <c r="A1434">
        <v>11030</v>
      </c>
      <c r="B1434" t="s">
        <v>295</v>
      </c>
      <c r="C1434" s="1">
        <v>45738</v>
      </c>
      <c r="D1434" t="s">
        <v>24</v>
      </c>
      <c r="E1434" t="s">
        <v>25</v>
      </c>
      <c r="F1434">
        <v>7</v>
      </c>
      <c r="G1434">
        <v>325.23</v>
      </c>
      <c r="H1434">
        <v>2276.61</v>
      </c>
      <c r="I1434" t="s">
        <v>14</v>
      </c>
      <c r="J1434" t="str">
        <f t="shared" si="22"/>
        <v>Repeat Customer</v>
      </c>
    </row>
    <row r="1435" spans="1:10" x14ac:dyDescent="0.25">
      <c r="A1435">
        <v>11063</v>
      </c>
      <c r="B1435" t="s">
        <v>295</v>
      </c>
      <c r="C1435" s="1">
        <v>45334</v>
      </c>
      <c r="D1435" t="s">
        <v>10</v>
      </c>
      <c r="E1435" t="s">
        <v>31</v>
      </c>
      <c r="F1435">
        <v>10</v>
      </c>
      <c r="G1435">
        <v>93.79</v>
      </c>
      <c r="H1435">
        <v>937.9</v>
      </c>
      <c r="I1435" t="s">
        <v>22</v>
      </c>
      <c r="J1435" t="str">
        <f t="shared" si="22"/>
        <v>Repeat Customer</v>
      </c>
    </row>
    <row r="1436" spans="1:10" x14ac:dyDescent="0.25">
      <c r="A1436">
        <v>11138</v>
      </c>
      <c r="B1436" t="s">
        <v>295</v>
      </c>
      <c r="C1436" s="1">
        <v>45823</v>
      </c>
      <c r="D1436" t="s">
        <v>18</v>
      </c>
      <c r="E1436" t="s">
        <v>31</v>
      </c>
      <c r="F1436">
        <v>7</v>
      </c>
      <c r="G1436">
        <v>436.65</v>
      </c>
      <c r="H1436">
        <v>3056.55</v>
      </c>
      <c r="I1436" t="s">
        <v>32</v>
      </c>
      <c r="J1436" t="str">
        <f t="shared" si="22"/>
        <v>Repeat Customer</v>
      </c>
    </row>
    <row r="1437" spans="1:10" x14ac:dyDescent="0.25">
      <c r="A1437">
        <v>10157</v>
      </c>
      <c r="B1437" t="s">
        <v>140</v>
      </c>
      <c r="C1437" s="1">
        <v>45627</v>
      </c>
      <c r="D1437" t="s">
        <v>24</v>
      </c>
      <c r="E1437" t="s">
        <v>31</v>
      </c>
      <c r="F1437">
        <v>10</v>
      </c>
      <c r="G1437">
        <v>114.58</v>
      </c>
      <c r="H1437">
        <v>1145.8</v>
      </c>
      <c r="I1437" t="s">
        <v>22</v>
      </c>
      <c r="J1437" t="str">
        <f t="shared" si="22"/>
        <v>Repeat Customer</v>
      </c>
    </row>
    <row r="1438" spans="1:10" x14ac:dyDescent="0.25">
      <c r="A1438">
        <v>10179</v>
      </c>
      <c r="B1438" t="s">
        <v>140</v>
      </c>
      <c r="C1438" s="1">
        <v>45867</v>
      </c>
      <c r="D1438" t="s">
        <v>21</v>
      </c>
      <c r="E1438" t="s">
        <v>19</v>
      </c>
      <c r="F1438">
        <v>6</v>
      </c>
      <c r="G1438">
        <v>336.66</v>
      </c>
      <c r="H1438">
        <v>2019.96</v>
      </c>
      <c r="I1438" t="s">
        <v>32</v>
      </c>
      <c r="J1438" t="str">
        <f t="shared" si="22"/>
        <v>Repeat Customer</v>
      </c>
    </row>
    <row r="1439" spans="1:10" x14ac:dyDescent="0.25">
      <c r="A1439">
        <v>10247</v>
      </c>
      <c r="B1439" t="s">
        <v>140</v>
      </c>
      <c r="C1439" s="1">
        <v>45412</v>
      </c>
      <c r="D1439" t="s">
        <v>21</v>
      </c>
      <c r="E1439" t="s">
        <v>25</v>
      </c>
      <c r="F1439">
        <v>5</v>
      </c>
      <c r="G1439">
        <v>388.61</v>
      </c>
      <c r="H1439">
        <v>1943.05</v>
      </c>
      <c r="I1439" t="s">
        <v>22</v>
      </c>
      <c r="J1439" t="str">
        <f t="shared" si="22"/>
        <v>Repeat Customer</v>
      </c>
    </row>
    <row r="1440" spans="1:10" x14ac:dyDescent="0.25">
      <c r="A1440">
        <v>10582</v>
      </c>
      <c r="B1440" t="s">
        <v>140</v>
      </c>
      <c r="C1440" s="1">
        <v>45783</v>
      </c>
      <c r="D1440" t="s">
        <v>21</v>
      </c>
      <c r="E1440" t="s">
        <v>19</v>
      </c>
      <c r="F1440">
        <v>10</v>
      </c>
      <c r="G1440">
        <v>287.47000000000003</v>
      </c>
      <c r="H1440">
        <v>2874.7</v>
      </c>
      <c r="I1440" t="s">
        <v>32</v>
      </c>
      <c r="J1440" t="str">
        <f t="shared" si="22"/>
        <v>Repeat Customer</v>
      </c>
    </row>
    <row r="1441" spans="1:10" x14ac:dyDescent="0.25">
      <c r="A1441">
        <v>10586</v>
      </c>
      <c r="B1441" t="s">
        <v>140</v>
      </c>
      <c r="C1441" s="1">
        <v>45690</v>
      </c>
      <c r="D1441" t="s">
        <v>16</v>
      </c>
      <c r="E1441" t="s">
        <v>11</v>
      </c>
      <c r="F1441">
        <v>4</v>
      </c>
      <c r="G1441">
        <v>257.91000000000003</v>
      </c>
      <c r="H1441">
        <v>1031.6400000000001</v>
      </c>
      <c r="I1441" t="s">
        <v>32</v>
      </c>
      <c r="J1441" t="str">
        <f t="shared" si="22"/>
        <v>Repeat Customer</v>
      </c>
    </row>
    <row r="1442" spans="1:10" x14ac:dyDescent="0.25">
      <c r="A1442">
        <v>11267</v>
      </c>
      <c r="B1442" t="s">
        <v>140</v>
      </c>
      <c r="C1442" s="1">
        <v>45933</v>
      </c>
      <c r="D1442" t="s">
        <v>18</v>
      </c>
      <c r="E1442" t="s">
        <v>31</v>
      </c>
      <c r="F1442">
        <v>4</v>
      </c>
      <c r="G1442">
        <v>314.20999999999998</v>
      </c>
      <c r="H1442">
        <v>1256.8399999999999</v>
      </c>
      <c r="I1442" t="s">
        <v>32</v>
      </c>
      <c r="J1442" t="str">
        <f t="shared" si="22"/>
        <v>Repeat Customer</v>
      </c>
    </row>
    <row r="1443" spans="1:10" x14ac:dyDescent="0.25">
      <c r="A1443">
        <v>11478</v>
      </c>
      <c r="B1443" t="s">
        <v>140</v>
      </c>
      <c r="C1443" s="1">
        <v>45300</v>
      </c>
      <c r="D1443" t="s">
        <v>16</v>
      </c>
      <c r="E1443" t="s">
        <v>31</v>
      </c>
      <c r="F1443">
        <v>3</v>
      </c>
      <c r="G1443">
        <v>427.26</v>
      </c>
      <c r="H1443">
        <v>1281.78</v>
      </c>
      <c r="I1443" t="s">
        <v>14</v>
      </c>
      <c r="J1443" t="str">
        <f t="shared" si="22"/>
        <v>Repeat Customer</v>
      </c>
    </row>
    <row r="1444" spans="1:10" x14ac:dyDescent="0.25">
      <c r="A1444">
        <v>10081</v>
      </c>
      <c r="B1444" t="s">
        <v>87</v>
      </c>
      <c r="C1444" s="1">
        <v>45970</v>
      </c>
      <c r="D1444" t="s">
        <v>21</v>
      </c>
      <c r="E1444" t="s">
        <v>25</v>
      </c>
      <c r="F1444">
        <v>1</v>
      </c>
      <c r="G1444">
        <v>46.55</v>
      </c>
      <c r="H1444">
        <v>46.55</v>
      </c>
      <c r="I1444" t="s">
        <v>32</v>
      </c>
      <c r="J1444" t="str">
        <f t="shared" si="22"/>
        <v>Repeat Customer</v>
      </c>
    </row>
    <row r="1445" spans="1:10" x14ac:dyDescent="0.25">
      <c r="A1445">
        <v>10108</v>
      </c>
      <c r="B1445" t="s">
        <v>87</v>
      </c>
      <c r="C1445" s="1">
        <v>45603</v>
      </c>
      <c r="D1445" t="s">
        <v>24</v>
      </c>
      <c r="E1445" t="s">
        <v>31</v>
      </c>
      <c r="F1445">
        <v>2</v>
      </c>
      <c r="G1445">
        <v>496.99</v>
      </c>
      <c r="H1445">
        <v>993.98</v>
      </c>
      <c r="I1445" t="s">
        <v>14</v>
      </c>
      <c r="J1445" t="str">
        <f t="shared" si="22"/>
        <v>Repeat Customer</v>
      </c>
    </row>
    <row r="1446" spans="1:10" x14ac:dyDescent="0.25">
      <c r="A1446">
        <v>10311</v>
      </c>
      <c r="B1446" t="s">
        <v>87</v>
      </c>
      <c r="C1446" s="1">
        <v>45351</v>
      </c>
      <c r="D1446" t="s">
        <v>16</v>
      </c>
      <c r="E1446" t="s">
        <v>11</v>
      </c>
      <c r="F1446">
        <v>9</v>
      </c>
      <c r="G1446">
        <v>233.88</v>
      </c>
      <c r="H1446">
        <v>2104.92</v>
      </c>
      <c r="I1446" t="s">
        <v>32</v>
      </c>
      <c r="J1446" t="str">
        <f t="shared" si="22"/>
        <v>Repeat Customer</v>
      </c>
    </row>
    <row r="1447" spans="1:10" x14ac:dyDescent="0.25">
      <c r="A1447">
        <v>10503</v>
      </c>
      <c r="B1447" t="s">
        <v>87</v>
      </c>
      <c r="C1447" s="1">
        <v>45395</v>
      </c>
      <c r="D1447" t="s">
        <v>16</v>
      </c>
      <c r="E1447" t="s">
        <v>31</v>
      </c>
      <c r="F1447">
        <v>5</v>
      </c>
      <c r="G1447">
        <v>434.4</v>
      </c>
      <c r="H1447">
        <v>2172</v>
      </c>
      <c r="I1447" t="s">
        <v>22</v>
      </c>
      <c r="J1447" t="str">
        <f t="shared" si="22"/>
        <v>Repeat Customer</v>
      </c>
    </row>
    <row r="1448" spans="1:10" x14ac:dyDescent="0.25">
      <c r="A1448">
        <v>10807</v>
      </c>
      <c r="B1448" t="s">
        <v>87</v>
      </c>
      <c r="C1448" s="1">
        <v>45800</v>
      </c>
      <c r="D1448" t="s">
        <v>21</v>
      </c>
      <c r="E1448" t="s">
        <v>31</v>
      </c>
      <c r="F1448">
        <v>9</v>
      </c>
      <c r="G1448">
        <v>365.95</v>
      </c>
      <c r="H1448">
        <v>3293.55</v>
      </c>
      <c r="I1448" t="s">
        <v>14</v>
      </c>
      <c r="J1448" t="str">
        <f t="shared" si="22"/>
        <v>Repeat Customer</v>
      </c>
    </row>
    <row r="1449" spans="1:10" x14ac:dyDescent="0.25">
      <c r="A1449">
        <v>11358</v>
      </c>
      <c r="B1449" t="s">
        <v>87</v>
      </c>
      <c r="C1449" s="1">
        <v>45965</v>
      </c>
      <c r="D1449" t="s">
        <v>21</v>
      </c>
      <c r="E1449" t="s">
        <v>25</v>
      </c>
      <c r="F1449">
        <v>9</v>
      </c>
      <c r="G1449">
        <v>304.45</v>
      </c>
      <c r="H1449">
        <v>2740.05</v>
      </c>
      <c r="I1449" t="s">
        <v>22</v>
      </c>
      <c r="J1449" t="str">
        <f t="shared" si="22"/>
        <v>Repeat Customer</v>
      </c>
    </row>
    <row r="1450" spans="1:10" x14ac:dyDescent="0.25">
      <c r="A1450">
        <v>10142</v>
      </c>
      <c r="B1450" t="s">
        <v>127</v>
      </c>
      <c r="C1450" s="1">
        <v>45990</v>
      </c>
      <c r="D1450" t="s">
        <v>24</v>
      </c>
      <c r="E1450" t="s">
        <v>31</v>
      </c>
      <c r="F1450">
        <v>3</v>
      </c>
      <c r="G1450">
        <v>89.14</v>
      </c>
      <c r="H1450">
        <v>267.42</v>
      </c>
      <c r="I1450" t="s">
        <v>14</v>
      </c>
      <c r="J1450" t="str">
        <f t="shared" si="22"/>
        <v>Repeat Customer</v>
      </c>
    </row>
    <row r="1451" spans="1:10" x14ac:dyDescent="0.25">
      <c r="A1451">
        <v>10395</v>
      </c>
      <c r="B1451" t="s">
        <v>127</v>
      </c>
      <c r="C1451" s="1">
        <v>45799</v>
      </c>
      <c r="D1451" t="s">
        <v>18</v>
      </c>
      <c r="E1451" t="s">
        <v>11</v>
      </c>
      <c r="F1451">
        <v>9</v>
      </c>
      <c r="G1451">
        <v>257.85000000000002</v>
      </c>
      <c r="H1451">
        <v>2320.65</v>
      </c>
      <c r="I1451" t="s">
        <v>22</v>
      </c>
      <c r="J1451" t="str">
        <f t="shared" si="22"/>
        <v>Repeat Customer</v>
      </c>
    </row>
    <row r="1452" spans="1:10" x14ac:dyDescent="0.25">
      <c r="A1452">
        <v>10651</v>
      </c>
      <c r="B1452" t="s">
        <v>127</v>
      </c>
      <c r="C1452" s="1">
        <v>45666</v>
      </c>
      <c r="D1452" t="s">
        <v>21</v>
      </c>
      <c r="E1452" t="s">
        <v>25</v>
      </c>
      <c r="F1452">
        <v>10</v>
      </c>
      <c r="G1452">
        <v>141.4</v>
      </c>
      <c r="H1452">
        <v>1414</v>
      </c>
      <c r="I1452" t="s">
        <v>32</v>
      </c>
      <c r="J1452" t="str">
        <f t="shared" si="22"/>
        <v>Repeat Customer</v>
      </c>
    </row>
    <row r="1453" spans="1:10" x14ac:dyDescent="0.25">
      <c r="A1453">
        <v>11147</v>
      </c>
      <c r="B1453" t="s">
        <v>127</v>
      </c>
      <c r="C1453" s="1">
        <v>45755</v>
      </c>
      <c r="D1453" t="s">
        <v>21</v>
      </c>
      <c r="E1453" t="s">
        <v>25</v>
      </c>
      <c r="F1453">
        <v>6</v>
      </c>
      <c r="G1453">
        <v>391.77</v>
      </c>
      <c r="H1453">
        <v>2350.62</v>
      </c>
      <c r="I1453" t="s">
        <v>14</v>
      </c>
      <c r="J1453" t="str">
        <f t="shared" si="22"/>
        <v>Repeat Customer</v>
      </c>
    </row>
    <row r="1454" spans="1:10" x14ac:dyDescent="0.25">
      <c r="A1454">
        <v>11293</v>
      </c>
      <c r="B1454" t="s">
        <v>127</v>
      </c>
      <c r="C1454" s="1">
        <v>45458</v>
      </c>
      <c r="D1454" t="s">
        <v>16</v>
      </c>
      <c r="E1454" t="s">
        <v>19</v>
      </c>
      <c r="F1454">
        <v>4</v>
      </c>
      <c r="G1454">
        <v>382.66</v>
      </c>
      <c r="H1454">
        <v>1530.64</v>
      </c>
      <c r="I1454" t="s">
        <v>32</v>
      </c>
      <c r="J1454" t="str">
        <f t="shared" si="22"/>
        <v>Repeat Customer</v>
      </c>
    </row>
    <row r="1455" spans="1:10" x14ac:dyDescent="0.25">
      <c r="A1455">
        <v>10244</v>
      </c>
      <c r="B1455" t="s">
        <v>179</v>
      </c>
      <c r="C1455" s="1">
        <v>45325</v>
      </c>
      <c r="D1455" t="s">
        <v>21</v>
      </c>
      <c r="E1455" t="s">
        <v>19</v>
      </c>
      <c r="F1455">
        <v>10</v>
      </c>
      <c r="G1455">
        <v>80.95</v>
      </c>
      <c r="H1455">
        <v>809.5</v>
      </c>
      <c r="I1455" t="s">
        <v>22</v>
      </c>
      <c r="J1455" t="str">
        <f t="shared" si="22"/>
        <v>Repeat Customer</v>
      </c>
    </row>
    <row r="1456" spans="1:10" x14ac:dyDescent="0.25">
      <c r="A1456">
        <v>10353</v>
      </c>
      <c r="B1456" t="s">
        <v>179</v>
      </c>
      <c r="C1456" s="1">
        <v>45690</v>
      </c>
      <c r="D1456" t="s">
        <v>10</v>
      </c>
      <c r="E1456" t="s">
        <v>11</v>
      </c>
      <c r="F1456">
        <v>9</v>
      </c>
      <c r="G1456">
        <v>169.21</v>
      </c>
      <c r="H1456">
        <v>1522.89</v>
      </c>
      <c r="I1456" t="s">
        <v>22</v>
      </c>
      <c r="J1456" t="str">
        <f t="shared" si="22"/>
        <v>Repeat Customer</v>
      </c>
    </row>
    <row r="1457" spans="1:10" x14ac:dyDescent="0.25">
      <c r="A1457">
        <v>10449</v>
      </c>
      <c r="B1457" t="s">
        <v>179</v>
      </c>
      <c r="C1457" s="1">
        <v>45355</v>
      </c>
      <c r="D1457" t="s">
        <v>10</v>
      </c>
      <c r="E1457" t="s">
        <v>25</v>
      </c>
      <c r="F1457">
        <v>7</v>
      </c>
      <c r="G1457">
        <v>332.91</v>
      </c>
      <c r="H1457">
        <v>2330.37</v>
      </c>
      <c r="I1457" t="s">
        <v>22</v>
      </c>
      <c r="J1457" t="str">
        <f t="shared" si="22"/>
        <v>Repeat Customer</v>
      </c>
    </row>
    <row r="1458" spans="1:10" x14ac:dyDescent="0.25">
      <c r="A1458">
        <v>10614</v>
      </c>
      <c r="B1458" t="s">
        <v>179</v>
      </c>
      <c r="C1458" s="1">
        <v>45347</v>
      </c>
      <c r="D1458" t="s">
        <v>18</v>
      </c>
      <c r="E1458" t="s">
        <v>11</v>
      </c>
      <c r="F1458">
        <v>9</v>
      </c>
      <c r="G1458">
        <v>233.33</v>
      </c>
      <c r="H1458">
        <v>2099.9699999999998</v>
      </c>
      <c r="I1458" t="s">
        <v>22</v>
      </c>
      <c r="J1458" t="str">
        <f t="shared" si="22"/>
        <v>Repeat Customer</v>
      </c>
    </row>
    <row r="1459" spans="1:10" x14ac:dyDescent="0.25">
      <c r="A1459">
        <v>10725</v>
      </c>
      <c r="B1459" t="s">
        <v>179</v>
      </c>
      <c r="C1459" s="1">
        <v>45483</v>
      </c>
      <c r="D1459" t="s">
        <v>21</v>
      </c>
      <c r="E1459" t="s">
        <v>19</v>
      </c>
      <c r="F1459">
        <v>9</v>
      </c>
      <c r="G1459">
        <v>177.09</v>
      </c>
      <c r="H1459">
        <v>1593.81</v>
      </c>
      <c r="I1459" t="s">
        <v>14</v>
      </c>
      <c r="J1459" t="str">
        <f t="shared" si="22"/>
        <v>Repeat Customer</v>
      </c>
    </row>
    <row r="1460" spans="1:10" x14ac:dyDescent="0.25">
      <c r="A1460">
        <v>10833</v>
      </c>
      <c r="B1460" t="s">
        <v>179</v>
      </c>
      <c r="C1460" s="1">
        <v>45426</v>
      </c>
      <c r="D1460" t="s">
        <v>21</v>
      </c>
      <c r="E1460" t="s">
        <v>11</v>
      </c>
      <c r="F1460">
        <v>2</v>
      </c>
      <c r="G1460">
        <v>407.36</v>
      </c>
      <c r="H1460">
        <v>814.72</v>
      </c>
      <c r="I1460" t="s">
        <v>32</v>
      </c>
      <c r="J1460" t="str">
        <f t="shared" si="22"/>
        <v>Repeat Customer</v>
      </c>
    </row>
    <row r="1461" spans="1:10" x14ac:dyDescent="0.25">
      <c r="A1461">
        <v>10841</v>
      </c>
      <c r="B1461" t="s">
        <v>179</v>
      </c>
      <c r="C1461" s="1">
        <v>45642</v>
      </c>
      <c r="D1461" t="s">
        <v>10</v>
      </c>
      <c r="E1461" t="s">
        <v>11</v>
      </c>
      <c r="F1461">
        <v>9</v>
      </c>
      <c r="G1461">
        <v>348.6</v>
      </c>
      <c r="H1461">
        <v>3137.4</v>
      </c>
      <c r="I1461" t="s">
        <v>32</v>
      </c>
      <c r="J1461" t="str">
        <f t="shared" si="22"/>
        <v>Repeat Customer</v>
      </c>
    </row>
    <row r="1462" spans="1:10" x14ac:dyDescent="0.25">
      <c r="A1462">
        <v>11368</v>
      </c>
      <c r="B1462" t="s">
        <v>179</v>
      </c>
      <c r="C1462" s="1">
        <v>45565</v>
      </c>
      <c r="D1462" t="s">
        <v>16</v>
      </c>
      <c r="E1462" t="s">
        <v>25</v>
      </c>
      <c r="F1462">
        <v>1</v>
      </c>
      <c r="G1462">
        <v>459.63</v>
      </c>
      <c r="H1462">
        <v>459.63</v>
      </c>
      <c r="I1462" t="s">
        <v>32</v>
      </c>
      <c r="J1462" t="str">
        <f t="shared" si="22"/>
        <v>Repeat Customer</v>
      </c>
    </row>
    <row r="1463" spans="1:10" x14ac:dyDescent="0.25">
      <c r="A1463">
        <v>10039</v>
      </c>
      <c r="B1463" t="s">
        <v>56</v>
      </c>
      <c r="C1463" s="1">
        <v>45544</v>
      </c>
      <c r="D1463" t="s">
        <v>18</v>
      </c>
      <c r="E1463" t="s">
        <v>11</v>
      </c>
      <c r="F1463">
        <v>10</v>
      </c>
      <c r="G1463">
        <v>299.29000000000002</v>
      </c>
      <c r="H1463">
        <v>2992.9</v>
      </c>
      <c r="I1463" t="s">
        <v>32</v>
      </c>
      <c r="J1463" t="str">
        <f t="shared" si="22"/>
        <v>Repeat Customer</v>
      </c>
    </row>
    <row r="1464" spans="1:10" x14ac:dyDescent="0.25">
      <c r="A1464">
        <v>10110</v>
      </c>
      <c r="B1464" t="s">
        <v>56</v>
      </c>
      <c r="C1464" s="1">
        <v>45927</v>
      </c>
      <c r="D1464" t="s">
        <v>24</v>
      </c>
      <c r="E1464" t="s">
        <v>25</v>
      </c>
      <c r="F1464">
        <v>1</v>
      </c>
      <c r="G1464">
        <v>306.77</v>
      </c>
      <c r="H1464">
        <v>306.77</v>
      </c>
      <c r="I1464" t="s">
        <v>14</v>
      </c>
      <c r="J1464" t="str">
        <f t="shared" si="22"/>
        <v>Repeat Customer</v>
      </c>
    </row>
    <row r="1465" spans="1:10" x14ac:dyDescent="0.25">
      <c r="A1465">
        <v>11077</v>
      </c>
      <c r="B1465" t="s">
        <v>56</v>
      </c>
      <c r="C1465" s="1">
        <v>45424</v>
      </c>
      <c r="D1465" t="s">
        <v>16</v>
      </c>
      <c r="E1465" t="s">
        <v>19</v>
      </c>
      <c r="F1465">
        <v>4</v>
      </c>
      <c r="G1465">
        <v>432.32</v>
      </c>
      <c r="H1465">
        <v>1729.28</v>
      </c>
      <c r="I1465" t="s">
        <v>12</v>
      </c>
      <c r="J1465" t="str">
        <f t="shared" si="22"/>
        <v>Repeat Customer</v>
      </c>
    </row>
    <row r="1466" spans="1:10" x14ac:dyDescent="0.25">
      <c r="A1466">
        <v>11087</v>
      </c>
      <c r="B1466" t="s">
        <v>56</v>
      </c>
      <c r="C1466" s="1">
        <v>45340</v>
      </c>
      <c r="D1466" t="s">
        <v>24</v>
      </c>
      <c r="E1466" t="s">
        <v>11</v>
      </c>
      <c r="F1466">
        <v>9</v>
      </c>
      <c r="G1466">
        <v>42.88</v>
      </c>
      <c r="H1466">
        <v>385.92</v>
      </c>
      <c r="I1466" t="s">
        <v>32</v>
      </c>
      <c r="J1466" t="str">
        <f t="shared" si="22"/>
        <v>Repeat Customer</v>
      </c>
    </row>
    <row r="1467" spans="1:10" x14ac:dyDescent="0.25">
      <c r="A1467">
        <v>11479</v>
      </c>
      <c r="B1467" t="s">
        <v>56</v>
      </c>
      <c r="C1467" s="1">
        <v>45700</v>
      </c>
      <c r="D1467" t="s">
        <v>21</v>
      </c>
      <c r="E1467" t="s">
        <v>11</v>
      </c>
      <c r="F1467">
        <v>2</v>
      </c>
      <c r="G1467">
        <v>115.41</v>
      </c>
      <c r="H1467">
        <v>230.82</v>
      </c>
      <c r="I1467" t="s">
        <v>22</v>
      </c>
      <c r="J1467" t="str">
        <f t="shared" si="22"/>
        <v>Repeat Customer</v>
      </c>
    </row>
    <row r="1468" spans="1:10" x14ac:dyDescent="0.25">
      <c r="A1468">
        <v>10147</v>
      </c>
      <c r="B1468" t="s">
        <v>132</v>
      </c>
      <c r="C1468" s="1">
        <v>45659</v>
      </c>
      <c r="D1468" t="s">
        <v>16</v>
      </c>
      <c r="E1468" t="s">
        <v>11</v>
      </c>
      <c r="F1468">
        <v>10</v>
      </c>
      <c r="G1468">
        <v>151.46</v>
      </c>
      <c r="H1468">
        <v>1514.6</v>
      </c>
      <c r="I1468" t="s">
        <v>32</v>
      </c>
      <c r="J1468" t="str">
        <f t="shared" si="22"/>
        <v>Repeat Customer</v>
      </c>
    </row>
    <row r="1469" spans="1:10" x14ac:dyDescent="0.25">
      <c r="A1469">
        <v>10217</v>
      </c>
      <c r="B1469" t="s">
        <v>132</v>
      </c>
      <c r="C1469" s="1">
        <v>45743</v>
      </c>
      <c r="D1469" t="s">
        <v>21</v>
      </c>
      <c r="E1469" t="s">
        <v>31</v>
      </c>
      <c r="F1469">
        <v>8</v>
      </c>
      <c r="G1469">
        <v>385.87</v>
      </c>
      <c r="H1469">
        <v>3086.96</v>
      </c>
      <c r="I1469" t="s">
        <v>14</v>
      </c>
      <c r="J1469" t="str">
        <f t="shared" si="22"/>
        <v>Repeat Customer</v>
      </c>
    </row>
    <row r="1470" spans="1:10" x14ac:dyDescent="0.25">
      <c r="A1470">
        <v>10261</v>
      </c>
      <c r="B1470" t="s">
        <v>132</v>
      </c>
      <c r="C1470" s="1">
        <v>45718</v>
      </c>
      <c r="D1470" t="s">
        <v>21</v>
      </c>
      <c r="E1470" t="s">
        <v>19</v>
      </c>
      <c r="F1470">
        <v>10</v>
      </c>
      <c r="G1470">
        <v>321.3</v>
      </c>
      <c r="H1470">
        <v>3213</v>
      </c>
      <c r="I1470" t="s">
        <v>22</v>
      </c>
      <c r="J1470" t="str">
        <f t="shared" si="22"/>
        <v>Repeat Customer</v>
      </c>
    </row>
    <row r="1471" spans="1:10" x14ac:dyDescent="0.25">
      <c r="A1471">
        <v>10516</v>
      </c>
      <c r="B1471" t="s">
        <v>132</v>
      </c>
      <c r="C1471" s="1">
        <v>45511</v>
      </c>
      <c r="D1471" t="s">
        <v>10</v>
      </c>
      <c r="E1471" t="s">
        <v>19</v>
      </c>
      <c r="F1471">
        <v>4</v>
      </c>
      <c r="G1471">
        <v>325.45</v>
      </c>
      <c r="H1471">
        <v>1301.8</v>
      </c>
      <c r="I1471" t="s">
        <v>32</v>
      </c>
      <c r="J1471" t="str">
        <f t="shared" si="22"/>
        <v>Repeat Customer</v>
      </c>
    </row>
    <row r="1472" spans="1:10" x14ac:dyDescent="0.25">
      <c r="A1472">
        <v>11151</v>
      </c>
      <c r="B1472" t="s">
        <v>132</v>
      </c>
      <c r="C1472" s="1">
        <v>45937</v>
      </c>
      <c r="D1472" t="s">
        <v>24</v>
      </c>
      <c r="E1472" t="s">
        <v>11</v>
      </c>
      <c r="F1472">
        <v>5</v>
      </c>
      <c r="G1472">
        <v>282.72000000000003</v>
      </c>
      <c r="H1472">
        <v>1413.6</v>
      </c>
      <c r="I1472" t="s">
        <v>14</v>
      </c>
      <c r="J1472" t="str">
        <f t="shared" si="22"/>
        <v>Repeat Customer</v>
      </c>
    </row>
    <row r="1473" spans="1:10" x14ac:dyDescent="0.25">
      <c r="A1473">
        <v>10593</v>
      </c>
      <c r="B1473" t="s">
        <v>273</v>
      </c>
      <c r="C1473" s="1">
        <v>45855</v>
      </c>
      <c r="D1473" t="s">
        <v>16</v>
      </c>
      <c r="E1473" t="s">
        <v>25</v>
      </c>
      <c r="F1473">
        <v>6</v>
      </c>
      <c r="G1473">
        <v>41.08</v>
      </c>
      <c r="H1473">
        <v>246.48</v>
      </c>
      <c r="I1473" t="s">
        <v>14</v>
      </c>
      <c r="J1473" t="str">
        <f t="shared" si="22"/>
        <v>Repeat Customer</v>
      </c>
    </row>
    <row r="1474" spans="1:10" x14ac:dyDescent="0.25">
      <c r="A1474">
        <v>10829</v>
      </c>
      <c r="B1474" t="s">
        <v>273</v>
      </c>
      <c r="C1474" s="1">
        <v>45542</v>
      </c>
      <c r="D1474" t="s">
        <v>18</v>
      </c>
      <c r="E1474" t="s">
        <v>19</v>
      </c>
      <c r="F1474">
        <v>3</v>
      </c>
      <c r="G1474">
        <v>40.270000000000003</v>
      </c>
      <c r="H1474">
        <v>120.81</v>
      </c>
      <c r="I1474" t="s">
        <v>32</v>
      </c>
      <c r="J1474" t="str">
        <f t="shared" ref="J1474:J1501" si="23">IF(COUNTIF($B:$B,B1474)&gt;1,"Repeat Customer","New Customer")</f>
        <v>Repeat Customer</v>
      </c>
    </row>
    <row r="1475" spans="1:10" x14ac:dyDescent="0.25">
      <c r="A1475">
        <v>10069</v>
      </c>
      <c r="B1475" t="s">
        <v>78</v>
      </c>
      <c r="C1475" s="1">
        <v>45491</v>
      </c>
      <c r="D1475" t="s">
        <v>10</v>
      </c>
      <c r="E1475" t="s">
        <v>25</v>
      </c>
      <c r="F1475">
        <v>7</v>
      </c>
      <c r="G1475">
        <v>249.72</v>
      </c>
      <c r="H1475">
        <v>1748.04</v>
      </c>
      <c r="I1475" t="s">
        <v>12</v>
      </c>
      <c r="J1475" t="str">
        <f t="shared" si="23"/>
        <v>Repeat Customer</v>
      </c>
    </row>
    <row r="1476" spans="1:10" x14ac:dyDescent="0.25">
      <c r="A1476">
        <v>10194</v>
      </c>
      <c r="B1476" t="s">
        <v>78</v>
      </c>
      <c r="C1476" s="1">
        <v>45731</v>
      </c>
      <c r="D1476" t="s">
        <v>21</v>
      </c>
      <c r="E1476" t="s">
        <v>19</v>
      </c>
      <c r="F1476">
        <v>10</v>
      </c>
      <c r="G1476">
        <v>205.19</v>
      </c>
      <c r="H1476">
        <v>2051.9</v>
      </c>
      <c r="I1476" t="s">
        <v>12</v>
      </c>
      <c r="J1476" t="str">
        <f t="shared" si="23"/>
        <v>Repeat Customer</v>
      </c>
    </row>
    <row r="1477" spans="1:10" x14ac:dyDescent="0.25">
      <c r="A1477">
        <v>10951</v>
      </c>
      <c r="B1477" t="s">
        <v>78</v>
      </c>
      <c r="C1477" s="1">
        <v>45421</v>
      </c>
      <c r="D1477" t="s">
        <v>10</v>
      </c>
      <c r="E1477" t="s">
        <v>25</v>
      </c>
      <c r="F1477">
        <v>8</v>
      </c>
      <c r="G1477">
        <v>133.9</v>
      </c>
      <c r="H1477">
        <v>1071.2</v>
      </c>
      <c r="I1477" t="s">
        <v>12</v>
      </c>
      <c r="J1477" t="str">
        <f t="shared" si="23"/>
        <v>Repeat Customer</v>
      </c>
    </row>
    <row r="1478" spans="1:10" x14ac:dyDescent="0.25">
      <c r="A1478">
        <v>11372</v>
      </c>
      <c r="B1478" t="s">
        <v>78</v>
      </c>
      <c r="C1478" s="1">
        <v>45350</v>
      </c>
      <c r="D1478" t="s">
        <v>18</v>
      </c>
      <c r="E1478" t="s">
        <v>31</v>
      </c>
      <c r="F1478">
        <v>2</v>
      </c>
      <c r="G1478">
        <v>372.99</v>
      </c>
      <c r="H1478">
        <v>745.98</v>
      </c>
      <c r="I1478" t="s">
        <v>12</v>
      </c>
      <c r="J1478" t="str">
        <f t="shared" si="23"/>
        <v>Repeat Customer</v>
      </c>
    </row>
    <row r="1479" spans="1:10" x14ac:dyDescent="0.25">
      <c r="A1479">
        <v>10060</v>
      </c>
      <c r="B1479" t="s">
        <v>70</v>
      </c>
      <c r="C1479" s="1">
        <v>45486</v>
      </c>
      <c r="D1479" t="s">
        <v>21</v>
      </c>
      <c r="E1479" t="s">
        <v>11</v>
      </c>
      <c r="F1479">
        <v>5</v>
      </c>
      <c r="G1479">
        <v>26.97</v>
      </c>
      <c r="H1479">
        <v>134.85</v>
      </c>
      <c r="I1479" t="s">
        <v>14</v>
      </c>
      <c r="J1479" t="str">
        <f t="shared" si="23"/>
        <v>Repeat Customer</v>
      </c>
    </row>
    <row r="1480" spans="1:10" x14ac:dyDescent="0.25">
      <c r="A1480">
        <v>10404</v>
      </c>
      <c r="B1480" t="s">
        <v>70</v>
      </c>
      <c r="C1480" s="1">
        <v>45939</v>
      </c>
      <c r="D1480" t="s">
        <v>21</v>
      </c>
      <c r="E1480" t="s">
        <v>31</v>
      </c>
      <c r="F1480">
        <v>5</v>
      </c>
      <c r="G1480">
        <v>315.77</v>
      </c>
      <c r="H1480">
        <v>1578.85</v>
      </c>
      <c r="I1480" t="s">
        <v>12</v>
      </c>
      <c r="J1480" t="str">
        <f t="shared" si="23"/>
        <v>Repeat Customer</v>
      </c>
    </row>
    <row r="1481" spans="1:10" x14ac:dyDescent="0.25">
      <c r="A1481">
        <v>10484</v>
      </c>
      <c r="B1481" t="s">
        <v>70</v>
      </c>
      <c r="C1481" s="1">
        <v>45958</v>
      </c>
      <c r="D1481" t="s">
        <v>24</v>
      </c>
      <c r="E1481" t="s">
        <v>11</v>
      </c>
      <c r="F1481">
        <v>4</v>
      </c>
      <c r="G1481">
        <v>85.51</v>
      </c>
      <c r="H1481">
        <v>342.04</v>
      </c>
      <c r="I1481" t="s">
        <v>22</v>
      </c>
      <c r="J1481" t="str">
        <f t="shared" si="23"/>
        <v>Repeat Customer</v>
      </c>
    </row>
    <row r="1482" spans="1:10" x14ac:dyDescent="0.25">
      <c r="A1482">
        <v>10534</v>
      </c>
      <c r="B1482" t="s">
        <v>70</v>
      </c>
      <c r="C1482" s="1">
        <v>45454</v>
      </c>
      <c r="D1482" t="s">
        <v>24</v>
      </c>
      <c r="E1482" t="s">
        <v>25</v>
      </c>
      <c r="F1482">
        <v>8</v>
      </c>
      <c r="G1482">
        <v>393.68</v>
      </c>
      <c r="H1482">
        <v>3149.44</v>
      </c>
      <c r="I1482" t="s">
        <v>32</v>
      </c>
      <c r="J1482" t="str">
        <f t="shared" si="23"/>
        <v>Repeat Customer</v>
      </c>
    </row>
    <row r="1483" spans="1:10" x14ac:dyDescent="0.25">
      <c r="A1483">
        <v>10738</v>
      </c>
      <c r="B1483" t="s">
        <v>70</v>
      </c>
      <c r="C1483" s="1">
        <v>45658</v>
      </c>
      <c r="D1483" t="s">
        <v>21</v>
      </c>
      <c r="E1483" t="s">
        <v>11</v>
      </c>
      <c r="F1483">
        <v>8</v>
      </c>
      <c r="G1483">
        <v>352.76</v>
      </c>
      <c r="H1483">
        <v>2822.08</v>
      </c>
      <c r="I1483" t="s">
        <v>14</v>
      </c>
      <c r="J1483" t="str">
        <f t="shared" si="23"/>
        <v>Repeat Customer</v>
      </c>
    </row>
    <row r="1484" spans="1:10" x14ac:dyDescent="0.25">
      <c r="A1484">
        <v>10816</v>
      </c>
      <c r="B1484" t="s">
        <v>70</v>
      </c>
      <c r="C1484" s="1">
        <v>45993</v>
      </c>
      <c r="D1484" t="s">
        <v>16</v>
      </c>
      <c r="E1484" t="s">
        <v>11</v>
      </c>
      <c r="F1484">
        <v>6</v>
      </c>
      <c r="G1484">
        <v>400.77</v>
      </c>
      <c r="H1484">
        <v>2404.62</v>
      </c>
      <c r="I1484" t="s">
        <v>14</v>
      </c>
      <c r="J1484" t="str">
        <f t="shared" si="23"/>
        <v>Repeat Customer</v>
      </c>
    </row>
    <row r="1485" spans="1:10" x14ac:dyDescent="0.25">
      <c r="A1485">
        <v>11442</v>
      </c>
      <c r="B1485" t="s">
        <v>70</v>
      </c>
      <c r="C1485" s="1">
        <v>45729</v>
      </c>
      <c r="D1485" t="s">
        <v>16</v>
      </c>
      <c r="E1485" t="s">
        <v>25</v>
      </c>
      <c r="F1485">
        <v>5</v>
      </c>
      <c r="G1485">
        <v>76.61</v>
      </c>
      <c r="H1485">
        <v>383.05</v>
      </c>
      <c r="I1485" t="s">
        <v>14</v>
      </c>
      <c r="J1485" t="str">
        <f t="shared" si="23"/>
        <v>Repeat Customer</v>
      </c>
    </row>
    <row r="1486" spans="1:10" x14ac:dyDescent="0.25">
      <c r="A1486">
        <v>11473</v>
      </c>
      <c r="B1486" t="s">
        <v>70</v>
      </c>
      <c r="C1486" s="1">
        <v>45664</v>
      </c>
      <c r="D1486" t="s">
        <v>10</v>
      </c>
      <c r="E1486" t="s">
        <v>31</v>
      </c>
      <c r="F1486">
        <v>6</v>
      </c>
      <c r="G1486">
        <v>49.17</v>
      </c>
      <c r="H1486">
        <v>295.02</v>
      </c>
      <c r="I1486" t="s">
        <v>22</v>
      </c>
      <c r="J1486" t="str">
        <f t="shared" si="23"/>
        <v>Repeat Customer</v>
      </c>
    </row>
    <row r="1487" spans="1:10" x14ac:dyDescent="0.25">
      <c r="A1487">
        <v>10036</v>
      </c>
      <c r="B1487" t="s">
        <v>53</v>
      </c>
      <c r="C1487" s="1">
        <v>45847</v>
      </c>
      <c r="D1487" t="s">
        <v>24</v>
      </c>
      <c r="E1487" t="s">
        <v>11</v>
      </c>
      <c r="F1487">
        <v>1</v>
      </c>
      <c r="G1487">
        <v>375.25</v>
      </c>
      <c r="H1487">
        <v>375.25</v>
      </c>
      <c r="I1487" t="s">
        <v>32</v>
      </c>
      <c r="J1487" t="str">
        <f t="shared" si="23"/>
        <v>Repeat Customer</v>
      </c>
    </row>
    <row r="1488" spans="1:10" x14ac:dyDescent="0.25">
      <c r="A1488">
        <v>10577</v>
      </c>
      <c r="B1488" t="s">
        <v>53</v>
      </c>
      <c r="C1488" s="1">
        <v>45469</v>
      </c>
      <c r="D1488" t="s">
        <v>18</v>
      </c>
      <c r="E1488" t="s">
        <v>19</v>
      </c>
      <c r="F1488">
        <v>3</v>
      </c>
      <c r="G1488">
        <v>56.26</v>
      </c>
      <c r="H1488">
        <v>168.78</v>
      </c>
      <c r="I1488" t="s">
        <v>32</v>
      </c>
      <c r="J1488" t="str">
        <f t="shared" si="23"/>
        <v>Repeat Customer</v>
      </c>
    </row>
    <row r="1489" spans="1:10" x14ac:dyDescent="0.25">
      <c r="A1489">
        <v>10946</v>
      </c>
      <c r="B1489" t="s">
        <v>53</v>
      </c>
      <c r="C1489" s="1">
        <v>45643</v>
      </c>
      <c r="D1489" t="s">
        <v>18</v>
      </c>
      <c r="E1489" t="s">
        <v>31</v>
      </c>
      <c r="F1489">
        <v>6</v>
      </c>
      <c r="G1489">
        <v>245.64</v>
      </c>
      <c r="H1489">
        <v>1473.84</v>
      </c>
      <c r="I1489" t="s">
        <v>32</v>
      </c>
      <c r="J1489" t="str">
        <f t="shared" si="23"/>
        <v>Repeat Customer</v>
      </c>
    </row>
    <row r="1490" spans="1:10" x14ac:dyDescent="0.25">
      <c r="A1490">
        <v>10989</v>
      </c>
      <c r="B1490" t="s">
        <v>53</v>
      </c>
      <c r="C1490" s="1">
        <v>45306</v>
      </c>
      <c r="D1490" t="s">
        <v>10</v>
      </c>
      <c r="E1490" t="s">
        <v>19</v>
      </c>
      <c r="F1490">
        <v>9</v>
      </c>
      <c r="G1490">
        <v>112.41</v>
      </c>
      <c r="H1490">
        <v>1011.69</v>
      </c>
      <c r="I1490" t="s">
        <v>14</v>
      </c>
      <c r="J1490" t="str">
        <f t="shared" si="23"/>
        <v>Repeat Customer</v>
      </c>
    </row>
    <row r="1491" spans="1:10" x14ac:dyDescent="0.25">
      <c r="A1491">
        <v>11021</v>
      </c>
      <c r="B1491" t="s">
        <v>53</v>
      </c>
      <c r="C1491" s="1">
        <v>45389</v>
      </c>
      <c r="D1491" t="s">
        <v>24</v>
      </c>
      <c r="E1491" t="s">
        <v>31</v>
      </c>
      <c r="F1491">
        <v>10</v>
      </c>
      <c r="G1491">
        <v>171.73</v>
      </c>
      <c r="H1491">
        <v>1717.3</v>
      </c>
      <c r="I1491" t="s">
        <v>32</v>
      </c>
      <c r="J1491" t="str">
        <f t="shared" si="23"/>
        <v>Repeat Customer</v>
      </c>
    </row>
    <row r="1492" spans="1:10" x14ac:dyDescent="0.25">
      <c r="A1492">
        <v>11491</v>
      </c>
      <c r="B1492" t="s">
        <v>53</v>
      </c>
      <c r="C1492" s="1">
        <v>45923</v>
      </c>
      <c r="D1492" t="s">
        <v>16</v>
      </c>
      <c r="E1492" t="s">
        <v>11</v>
      </c>
      <c r="F1492">
        <v>3</v>
      </c>
      <c r="G1492">
        <v>165.25</v>
      </c>
      <c r="H1492">
        <v>495.75</v>
      </c>
      <c r="I1492" t="s">
        <v>14</v>
      </c>
      <c r="J1492" t="str">
        <f t="shared" si="23"/>
        <v>Repeat Customer</v>
      </c>
    </row>
    <row r="1493" spans="1:10" x14ac:dyDescent="0.25">
      <c r="A1493">
        <v>10204</v>
      </c>
      <c r="B1493" t="s">
        <v>163</v>
      </c>
      <c r="C1493" s="1">
        <v>45859</v>
      </c>
      <c r="D1493" t="s">
        <v>18</v>
      </c>
      <c r="E1493" t="s">
        <v>25</v>
      </c>
      <c r="F1493">
        <v>1</v>
      </c>
      <c r="G1493">
        <v>227.62</v>
      </c>
      <c r="H1493">
        <v>227.62</v>
      </c>
      <c r="I1493" t="s">
        <v>22</v>
      </c>
      <c r="J1493" t="str">
        <f t="shared" si="23"/>
        <v>New Customer</v>
      </c>
    </row>
    <row r="1494" spans="1:10" x14ac:dyDescent="0.25">
      <c r="A1494">
        <v>10014</v>
      </c>
      <c r="B1494" t="s">
        <v>34</v>
      </c>
      <c r="C1494" s="1">
        <v>45700</v>
      </c>
      <c r="D1494" t="s">
        <v>10</v>
      </c>
      <c r="E1494" t="s">
        <v>31</v>
      </c>
      <c r="F1494">
        <v>6</v>
      </c>
      <c r="G1494">
        <v>113.56</v>
      </c>
      <c r="H1494">
        <v>681.36</v>
      </c>
      <c r="I1494" t="s">
        <v>12</v>
      </c>
      <c r="J1494" t="str">
        <f t="shared" si="23"/>
        <v>Repeat Customer</v>
      </c>
    </row>
    <row r="1495" spans="1:10" x14ac:dyDescent="0.25">
      <c r="A1495">
        <v>10040</v>
      </c>
      <c r="B1495" t="s">
        <v>34</v>
      </c>
      <c r="C1495" s="1">
        <v>45870</v>
      </c>
      <c r="D1495" t="s">
        <v>16</v>
      </c>
      <c r="E1495" t="s">
        <v>25</v>
      </c>
      <c r="F1495">
        <v>9</v>
      </c>
      <c r="G1495">
        <v>161.6</v>
      </c>
      <c r="H1495">
        <v>1454.4</v>
      </c>
      <c r="I1495" t="s">
        <v>22</v>
      </c>
      <c r="J1495" t="str">
        <f t="shared" si="23"/>
        <v>Repeat Customer</v>
      </c>
    </row>
    <row r="1496" spans="1:10" x14ac:dyDescent="0.25">
      <c r="A1496">
        <v>10280</v>
      </c>
      <c r="B1496" t="s">
        <v>34</v>
      </c>
      <c r="C1496" s="1">
        <v>45783</v>
      </c>
      <c r="D1496" t="s">
        <v>18</v>
      </c>
      <c r="E1496" t="s">
        <v>31</v>
      </c>
      <c r="F1496">
        <v>3</v>
      </c>
      <c r="G1496">
        <v>264.5</v>
      </c>
      <c r="H1496">
        <v>793.5</v>
      </c>
      <c r="I1496" t="s">
        <v>14</v>
      </c>
      <c r="J1496" t="str">
        <f t="shared" si="23"/>
        <v>Repeat Customer</v>
      </c>
    </row>
    <row r="1497" spans="1:10" x14ac:dyDescent="0.25">
      <c r="A1497">
        <v>11012</v>
      </c>
      <c r="B1497" t="s">
        <v>34</v>
      </c>
      <c r="C1497" s="1">
        <v>45319</v>
      </c>
      <c r="D1497" t="s">
        <v>21</v>
      </c>
      <c r="E1497" t="s">
        <v>19</v>
      </c>
      <c r="F1497">
        <v>6</v>
      </c>
      <c r="G1497">
        <v>193.38</v>
      </c>
      <c r="H1497">
        <v>1160.28</v>
      </c>
      <c r="I1497" t="s">
        <v>22</v>
      </c>
      <c r="J1497" t="str">
        <f t="shared" si="23"/>
        <v>Repeat Customer</v>
      </c>
    </row>
    <row r="1498" spans="1:10" x14ac:dyDescent="0.25">
      <c r="A1498">
        <v>10156</v>
      </c>
      <c r="B1498" t="s">
        <v>139</v>
      </c>
      <c r="C1498" s="1">
        <v>45682</v>
      </c>
      <c r="D1498" t="s">
        <v>10</v>
      </c>
      <c r="E1498" t="s">
        <v>31</v>
      </c>
      <c r="F1498">
        <v>6</v>
      </c>
      <c r="G1498">
        <v>58.63</v>
      </c>
      <c r="H1498">
        <v>351.78</v>
      </c>
      <c r="I1498" t="s">
        <v>12</v>
      </c>
      <c r="J1498" t="str">
        <f t="shared" si="23"/>
        <v>Repeat Customer</v>
      </c>
    </row>
    <row r="1499" spans="1:10" x14ac:dyDescent="0.25">
      <c r="A1499">
        <v>10520</v>
      </c>
      <c r="B1499" t="s">
        <v>139</v>
      </c>
      <c r="C1499" s="1">
        <v>45396</v>
      </c>
      <c r="D1499" t="s">
        <v>16</v>
      </c>
      <c r="E1499" t="s">
        <v>19</v>
      </c>
      <c r="F1499">
        <v>1</v>
      </c>
      <c r="G1499">
        <v>258.2</v>
      </c>
      <c r="H1499">
        <v>258.2</v>
      </c>
      <c r="I1499" t="s">
        <v>22</v>
      </c>
      <c r="J1499" t="str">
        <f t="shared" si="23"/>
        <v>Repeat Customer</v>
      </c>
    </row>
    <row r="1500" spans="1:10" x14ac:dyDescent="0.25">
      <c r="A1500">
        <v>10529</v>
      </c>
      <c r="B1500" t="s">
        <v>139</v>
      </c>
      <c r="C1500" s="1">
        <v>45593</v>
      </c>
      <c r="D1500" t="s">
        <v>21</v>
      </c>
      <c r="E1500" t="s">
        <v>11</v>
      </c>
      <c r="F1500">
        <v>8</v>
      </c>
      <c r="G1500">
        <v>426.35</v>
      </c>
      <c r="H1500">
        <v>3410.8</v>
      </c>
      <c r="I1500" t="s">
        <v>12</v>
      </c>
      <c r="J1500" t="str">
        <f t="shared" si="23"/>
        <v>Repeat Customer</v>
      </c>
    </row>
    <row r="1501" spans="1:10" x14ac:dyDescent="0.25">
      <c r="A1501">
        <v>11100</v>
      </c>
      <c r="B1501" t="s">
        <v>139</v>
      </c>
      <c r="C1501" s="1">
        <v>45540</v>
      </c>
      <c r="D1501" t="s">
        <v>21</v>
      </c>
      <c r="E1501" t="s">
        <v>11</v>
      </c>
      <c r="F1501">
        <v>4</v>
      </c>
      <c r="G1501">
        <v>150.94</v>
      </c>
      <c r="H1501">
        <v>603.76</v>
      </c>
      <c r="I1501" t="s">
        <v>22</v>
      </c>
      <c r="J1501" t="str">
        <f t="shared" si="23"/>
        <v>Repeat Customer</v>
      </c>
    </row>
  </sheetData>
  <sortState xmlns:xlrd2="http://schemas.microsoft.com/office/spreadsheetml/2017/richdata2" ref="A2:J1501">
    <sortCondition ref="B1:B150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A9-D9DD-44FF-8623-07C47008CACA}">
  <dimension ref="A1:R87"/>
  <sheetViews>
    <sheetView showGridLines="0" tabSelected="1" topLeftCell="A10" zoomScale="90" zoomScaleNormal="90" workbookViewId="0">
      <selection activeCell="U7" sqref="U7"/>
    </sheetView>
  </sheetViews>
  <sheetFormatPr defaultRowHeight="15" x14ac:dyDescent="0.25"/>
  <sheetData>
    <row r="1" spans="1:18" x14ac:dyDescent="0.25">
      <c r="A1" s="7"/>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5" spans="1:18" x14ac:dyDescent="0.25">
      <c r="A5" s="7"/>
      <c r="B5" s="7"/>
      <c r="C5" s="7"/>
      <c r="D5" s="7"/>
      <c r="E5" s="7"/>
      <c r="F5" s="7"/>
      <c r="G5" s="7"/>
      <c r="H5" s="7"/>
      <c r="I5" s="7"/>
      <c r="J5" s="7"/>
      <c r="K5" s="7"/>
      <c r="L5" s="7"/>
      <c r="M5" s="7"/>
      <c r="N5" s="7"/>
      <c r="O5" s="7"/>
      <c r="P5" s="7"/>
      <c r="Q5" s="7"/>
      <c r="R5" s="7"/>
    </row>
    <row r="6" spans="1:18" x14ac:dyDescent="0.25">
      <c r="A6" s="7"/>
      <c r="B6" s="7"/>
      <c r="C6" s="7"/>
      <c r="D6" s="7"/>
      <c r="E6" s="7"/>
      <c r="F6" s="7"/>
      <c r="G6" s="7"/>
      <c r="H6" s="7"/>
      <c r="I6" s="7"/>
      <c r="J6" s="7"/>
      <c r="K6" s="7"/>
      <c r="L6" s="7"/>
      <c r="M6" s="7"/>
      <c r="N6" s="7"/>
      <c r="O6" s="7"/>
      <c r="P6" s="7"/>
      <c r="Q6" s="7"/>
      <c r="R6" s="7"/>
    </row>
    <row r="7" spans="1:18" x14ac:dyDescent="0.25">
      <c r="A7" s="7"/>
      <c r="B7" s="7"/>
      <c r="C7" s="7"/>
      <c r="D7" s="7"/>
      <c r="E7" s="7"/>
      <c r="F7" s="7"/>
      <c r="G7" s="7"/>
      <c r="H7" s="7"/>
      <c r="I7" s="7"/>
      <c r="J7" s="7"/>
      <c r="K7" s="7"/>
      <c r="L7" s="7"/>
      <c r="M7" s="7"/>
      <c r="N7" s="7"/>
      <c r="O7" s="7"/>
      <c r="P7" s="7"/>
      <c r="Q7" s="7"/>
      <c r="R7" s="7"/>
    </row>
    <row r="8" spans="1:18" x14ac:dyDescent="0.25">
      <c r="A8" s="7"/>
      <c r="B8" s="7"/>
      <c r="C8" s="7"/>
      <c r="D8" s="7"/>
      <c r="E8" s="7"/>
      <c r="F8" s="7"/>
      <c r="G8" s="7"/>
      <c r="H8" s="7"/>
      <c r="I8" s="7"/>
      <c r="J8" s="7"/>
      <c r="K8" s="7"/>
      <c r="L8" s="7"/>
      <c r="M8" s="7"/>
      <c r="N8" s="7"/>
      <c r="O8" s="7"/>
      <c r="P8" s="7"/>
      <c r="Q8" s="7"/>
      <c r="R8" s="7"/>
    </row>
    <row r="9" spans="1:18" x14ac:dyDescent="0.25">
      <c r="A9" s="7"/>
      <c r="B9" s="7"/>
      <c r="C9" s="7"/>
      <c r="D9" s="7"/>
      <c r="E9" s="7"/>
      <c r="F9" s="7"/>
      <c r="G9" s="7"/>
      <c r="H9" s="7"/>
      <c r="I9" s="7"/>
      <c r="J9" s="7"/>
      <c r="K9" s="7"/>
      <c r="L9" s="7"/>
      <c r="M9" s="7"/>
      <c r="N9" s="7"/>
      <c r="O9" s="7"/>
      <c r="P9" s="7"/>
      <c r="Q9" s="7"/>
      <c r="R9" s="7"/>
    </row>
    <row r="10" spans="1:18" x14ac:dyDescent="0.25">
      <c r="A10" s="7"/>
      <c r="B10" s="7"/>
      <c r="C10" s="7"/>
      <c r="D10" s="7"/>
      <c r="E10" s="7"/>
      <c r="F10" s="7"/>
      <c r="G10" s="7"/>
      <c r="H10" s="7"/>
      <c r="I10" s="7"/>
      <c r="J10" s="7"/>
      <c r="K10" s="7"/>
      <c r="L10" s="7"/>
      <c r="M10" s="7"/>
      <c r="N10" s="7"/>
      <c r="O10" s="7"/>
      <c r="P10" s="7"/>
      <c r="Q10" s="7"/>
      <c r="R10" s="7"/>
    </row>
    <row r="11" spans="1:18" x14ac:dyDescent="0.25">
      <c r="A11" s="7"/>
      <c r="B11" s="7"/>
      <c r="C11" s="7"/>
      <c r="D11" s="7"/>
      <c r="E11" s="7"/>
      <c r="F11" s="7"/>
      <c r="G11" s="7"/>
      <c r="H11" s="7"/>
      <c r="I11" s="7"/>
      <c r="J11" s="7"/>
      <c r="K11" s="7"/>
      <c r="L11" s="7"/>
      <c r="M11" s="7"/>
      <c r="N11" s="7"/>
      <c r="O11" s="7"/>
      <c r="P11" s="7"/>
      <c r="Q11" s="7"/>
      <c r="R11" s="7"/>
    </row>
    <row r="12" spans="1:18" x14ac:dyDescent="0.25">
      <c r="A12" s="7"/>
      <c r="B12" s="7"/>
      <c r="C12" s="7"/>
      <c r="D12" s="7"/>
      <c r="E12" s="7"/>
      <c r="F12" s="7"/>
      <c r="G12" s="7"/>
      <c r="H12" s="7"/>
      <c r="I12" s="7"/>
      <c r="J12" s="7"/>
      <c r="K12" s="7"/>
      <c r="L12" s="7"/>
      <c r="M12" s="7"/>
      <c r="N12" s="7"/>
      <c r="O12" s="7"/>
      <c r="P12" s="7"/>
      <c r="Q12" s="7"/>
      <c r="R12" s="7"/>
    </row>
    <row r="13" spans="1:18" x14ac:dyDescent="0.25">
      <c r="A13" s="7"/>
      <c r="B13" s="7"/>
      <c r="C13" s="7"/>
      <c r="D13" s="7"/>
      <c r="E13" s="7"/>
      <c r="F13" s="7"/>
      <c r="G13" s="7"/>
      <c r="H13" s="7"/>
      <c r="I13" s="7"/>
      <c r="J13" s="7"/>
      <c r="K13" s="7"/>
      <c r="L13" s="7"/>
      <c r="M13" s="7"/>
      <c r="N13" s="7"/>
      <c r="O13" s="7"/>
      <c r="P13" s="7"/>
      <c r="Q13" s="7"/>
      <c r="R13" s="7"/>
    </row>
    <row r="14" spans="1:18" x14ac:dyDescent="0.25">
      <c r="A14" s="7"/>
      <c r="B14" s="7"/>
      <c r="C14" s="7"/>
      <c r="D14" s="7"/>
      <c r="E14" s="7"/>
      <c r="F14" s="7"/>
      <c r="G14" s="7"/>
      <c r="H14" s="7"/>
      <c r="I14" s="7"/>
      <c r="J14" s="7"/>
      <c r="K14" s="7"/>
      <c r="L14" s="7"/>
      <c r="M14" s="7"/>
      <c r="N14" s="7"/>
      <c r="O14" s="7"/>
      <c r="P14" s="7"/>
      <c r="Q14" s="7"/>
      <c r="R14" s="7"/>
    </row>
    <row r="15" spans="1:18" x14ac:dyDescent="0.25">
      <c r="A15" s="7"/>
      <c r="B15" s="7"/>
      <c r="C15" s="7"/>
      <c r="D15" s="7"/>
      <c r="E15" s="7"/>
      <c r="F15" s="7"/>
      <c r="G15" s="7"/>
      <c r="H15" s="7"/>
      <c r="I15" s="7"/>
      <c r="J15" s="7"/>
      <c r="K15" s="7"/>
      <c r="L15" s="7"/>
      <c r="M15" s="7"/>
      <c r="N15" s="7"/>
      <c r="O15" s="7"/>
      <c r="P15" s="7"/>
      <c r="Q15" s="7"/>
      <c r="R15" s="7"/>
    </row>
    <row r="16" spans="1:18" x14ac:dyDescent="0.25">
      <c r="A16" s="7"/>
      <c r="B16" s="7"/>
      <c r="C16" s="7"/>
      <c r="D16" s="7"/>
      <c r="E16" s="7"/>
      <c r="F16" s="7"/>
      <c r="G16" s="7"/>
      <c r="H16" s="7"/>
      <c r="I16" s="7"/>
      <c r="J16" s="7"/>
      <c r="K16" s="7"/>
      <c r="L16" s="7"/>
      <c r="M16" s="7"/>
      <c r="N16" s="7"/>
      <c r="O16" s="7"/>
      <c r="P16" s="7"/>
      <c r="Q16" s="7"/>
      <c r="R16" s="7"/>
    </row>
    <row r="17" spans="1:18" x14ac:dyDescent="0.25">
      <c r="A17" s="7"/>
      <c r="B17" s="7"/>
      <c r="C17" s="7"/>
      <c r="D17" s="7"/>
      <c r="E17" s="7"/>
      <c r="F17" s="7"/>
      <c r="G17" s="7"/>
      <c r="H17" s="7"/>
      <c r="I17" s="7"/>
      <c r="J17" s="7"/>
      <c r="K17" s="7"/>
      <c r="L17" s="7"/>
      <c r="M17" s="7"/>
      <c r="N17" s="7"/>
      <c r="O17" s="7"/>
      <c r="P17" s="7"/>
      <c r="Q17" s="7"/>
      <c r="R17" s="7"/>
    </row>
    <row r="18" spans="1:18" x14ac:dyDescent="0.25">
      <c r="A18" s="7"/>
      <c r="B18" s="7"/>
      <c r="C18" s="7"/>
      <c r="D18" s="7"/>
      <c r="E18" s="7"/>
      <c r="F18" s="7"/>
      <c r="G18" s="7"/>
      <c r="H18" s="7"/>
      <c r="I18" s="7"/>
      <c r="J18" s="7"/>
      <c r="K18" s="7"/>
      <c r="L18" s="7"/>
      <c r="M18" s="7"/>
      <c r="N18" s="7"/>
      <c r="O18" s="7"/>
      <c r="P18" s="7"/>
      <c r="Q18" s="7"/>
      <c r="R18" s="7"/>
    </row>
    <row r="19" spans="1:18" x14ac:dyDescent="0.25">
      <c r="A19" s="7"/>
      <c r="B19" s="7"/>
      <c r="C19" s="7"/>
      <c r="D19" s="7"/>
      <c r="E19" s="7"/>
      <c r="F19" s="7"/>
      <c r="G19" s="7"/>
      <c r="H19" s="7"/>
      <c r="I19" s="7"/>
      <c r="J19" s="7"/>
      <c r="K19" s="7"/>
      <c r="L19" s="7"/>
      <c r="M19" s="7"/>
      <c r="N19" s="7"/>
      <c r="O19" s="7"/>
      <c r="P19" s="7"/>
      <c r="Q19" s="7"/>
      <c r="R19" s="7"/>
    </row>
    <row r="20" spans="1:18" x14ac:dyDescent="0.25">
      <c r="A20" s="7"/>
      <c r="B20" s="7"/>
      <c r="C20" s="7"/>
      <c r="D20" s="7"/>
      <c r="E20" s="7"/>
      <c r="F20" s="7"/>
      <c r="G20" s="7"/>
      <c r="H20" s="7"/>
      <c r="I20" s="7"/>
      <c r="J20" s="7"/>
      <c r="K20" s="7"/>
      <c r="L20" s="7"/>
      <c r="M20" s="7"/>
      <c r="N20" s="7"/>
      <c r="O20" s="7"/>
      <c r="P20" s="7"/>
      <c r="Q20" s="7"/>
      <c r="R20" s="7"/>
    </row>
    <row r="21" spans="1:18" x14ac:dyDescent="0.25">
      <c r="A21" s="7"/>
      <c r="B21" s="7"/>
      <c r="C21" s="7"/>
      <c r="D21" s="7"/>
      <c r="E21" s="7"/>
      <c r="F21" s="7"/>
      <c r="G21" s="7"/>
      <c r="H21" s="7"/>
      <c r="I21" s="7"/>
      <c r="J21" s="7"/>
      <c r="K21" s="7"/>
      <c r="L21" s="7"/>
      <c r="M21" s="7"/>
      <c r="N21" s="7"/>
      <c r="O21" s="7"/>
      <c r="P21" s="7"/>
      <c r="Q21" s="7"/>
      <c r="R21" s="7"/>
    </row>
    <row r="22" spans="1:18" x14ac:dyDescent="0.25">
      <c r="A22" s="7"/>
      <c r="B22" s="7"/>
      <c r="C22" s="7"/>
      <c r="D22" s="7"/>
      <c r="E22" s="7"/>
      <c r="F22" s="7"/>
      <c r="G22" s="7"/>
      <c r="H22" s="7"/>
      <c r="I22" s="7"/>
      <c r="J22" s="7"/>
      <c r="K22" s="7"/>
      <c r="L22" s="7"/>
      <c r="M22" s="7"/>
      <c r="N22" s="7"/>
      <c r="O22" s="7"/>
      <c r="P22" s="7"/>
      <c r="Q22" s="7"/>
      <c r="R22" s="7"/>
    </row>
    <row r="23" spans="1:18" x14ac:dyDescent="0.25">
      <c r="A23" s="7"/>
      <c r="B23" s="7"/>
      <c r="C23" s="7"/>
      <c r="D23" s="7"/>
      <c r="E23" s="7"/>
      <c r="F23" s="7"/>
      <c r="G23" s="7"/>
      <c r="H23" s="7"/>
      <c r="I23" s="7"/>
      <c r="J23" s="7"/>
      <c r="K23" s="7"/>
      <c r="L23" s="7"/>
      <c r="M23" s="7"/>
      <c r="N23" s="7"/>
      <c r="O23" s="7"/>
      <c r="P23" s="7"/>
      <c r="Q23" s="7"/>
      <c r="R23" s="7"/>
    </row>
    <row r="24" spans="1:18" x14ac:dyDescent="0.25">
      <c r="A24" s="7"/>
      <c r="B24" s="7"/>
      <c r="C24" s="7"/>
      <c r="D24" s="7"/>
      <c r="E24" s="7"/>
      <c r="F24" s="7"/>
      <c r="G24" s="7"/>
      <c r="H24" s="7"/>
      <c r="I24" s="7"/>
      <c r="J24" s="7"/>
      <c r="K24" s="7"/>
      <c r="L24" s="7"/>
      <c r="M24" s="7"/>
      <c r="N24" s="7"/>
      <c r="O24" s="7"/>
      <c r="P24" s="7"/>
      <c r="Q24" s="7"/>
      <c r="R24" s="7"/>
    </row>
    <row r="25" spans="1:18" x14ac:dyDescent="0.25">
      <c r="A25" s="7"/>
      <c r="B25" s="7"/>
      <c r="C25" s="7"/>
      <c r="D25" s="7"/>
      <c r="E25" s="7"/>
      <c r="F25" s="7"/>
      <c r="G25" s="7"/>
      <c r="H25" s="7"/>
      <c r="I25" s="7"/>
      <c r="J25" s="7"/>
      <c r="K25" s="7"/>
      <c r="L25" s="7"/>
      <c r="M25" s="7"/>
      <c r="N25" s="7"/>
      <c r="O25" s="7"/>
      <c r="P25" s="7"/>
      <c r="Q25" s="7"/>
      <c r="R25" s="7"/>
    </row>
    <row r="26" spans="1:18" x14ac:dyDescent="0.25">
      <c r="A26" s="7"/>
      <c r="B26" s="7"/>
      <c r="C26" s="7"/>
      <c r="D26" s="7"/>
      <c r="E26" s="7"/>
      <c r="F26" s="7"/>
      <c r="G26" s="7"/>
      <c r="H26" s="7"/>
      <c r="I26" s="7"/>
      <c r="J26" s="7"/>
      <c r="K26" s="7"/>
      <c r="L26" s="7"/>
      <c r="M26" s="7"/>
      <c r="N26" s="7"/>
      <c r="O26" s="7"/>
      <c r="P26" s="7"/>
      <c r="Q26" s="7"/>
      <c r="R26" s="7"/>
    </row>
    <row r="27" spans="1:18" x14ac:dyDescent="0.25">
      <c r="A27" s="7"/>
      <c r="B27" s="7"/>
      <c r="C27" s="7"/>
      <c r="D27" s="7"/>
      <c r="E27" s="7"/>
      <c r="F27" s="7"/>
      <c r="G27" s="7"/>
      <c r="H27" s="7"/>
      <c r="I27" s="7"/>
      <c r="J27" s="7"/>
      <c r="K27" s="7"/>
      <c r="L27" s="7"/>
      <c r="M27" s="7"/>
      <c r="N27" s="7"/>
      <c r="O27" s="7"/>
      <c r="P27" s="7"/>
      <c r="Q27" s="7"/>
      <c r="R27" s="7"/>
    </row>
    <row r="28" spans="1:18" x14ac:dyDescent="0.25">
      <c r="A28" s="7"/>
      <c r="B28" s="7"/>
      <c r="C28" s="7"/>
      <c r="D28" s="7"/>
      <c r="E28" s="7"/>
      <c r="F28" s="7"/>
      <c r="G28" s="7"/>
      <c r="H28" s="7"/>
      <c r="I28" s="7"/>
      <c r="J28" s="7"/>
      <c r="K28" s="7"/>
      <c r="L28" s="7"/>
      <c r="M28" s="7"/>
      <c r="N28" s="7"/>
      <c r="O28" s="7"/>
      <c r="P28" s="7"/>
      <c r="Q28" s="7"/>
      <c r="R28" s="7"/>
    </row>
    <row r="29" spans="1:18" x14ac:dyDescent="0.25">
      <c r="A29" s="7"/>
      <c r="B29" s="7"/>
      <c r="C29" s="7"/>
      <c r="D29" s="7"/>
      <c r="E29" s="7"/>
      <c r="F29" s="7"/>
      <c r="G29" s="7"/>
      <c r="H29" s="7"/>
      <c r="I29" s="7"/>
      <c r="J29" s="7"/>
      <c r="K29" s="7"/>
      <c r="L29" s="7"/>
      <c r="M29" s="7"/>
      <c r="N29" s="7"/>
      <c r="O29" s="7"/>
      <c r="P29" s="7"/>
      <c r="Q29" s="7"/>
      <c r="R29" s="7"/>
    </row>
    <row r="30" spans="1:18" x14ac:dyDescent="0.25">
      <c r="A30" s="8"/>
      <c r="B30" s="8"/>
      <c r="C30" s="8"/>
      <c r="D30" s="8"/>
      <c r="E30" s="8"/>
      <c r="F30" s="8"/>
      <c r="G30" s="8"/>
      <c r="H30" s="8"/>
      <c r="I30" s="8"/>
      <c r="J30" s="8"/>
      <c r="K30" s="8"/>
      <c r="L30" s="8"/>
      <c r="M30" s="8"/>
      <c r="N30" s="8"/>
      <c r="O30" s="8"/>
      <c r="P30" s="8"/>
      <c r="Q30" s="8"/>
      <c r="R30" s="8"/>
    </row>
    <row r="31" spans="1:18" x14ac:dyDescent="0.25">
      <c r="A31" s="8"/>
      <c r="B31" s="8"/>
      <c r="C31" s="8"/>
      <c r="D31" s="8"/>
      <c r="E31" s="8"/>
      <c r="F31" s="8"/>
      <c r="G31" s="8"/>
      <c r="H31" s="8"/>
      <c r="I31" s="8"/>
      <c r="J31" s="8"/>
      <c r="K31" s="8"/>
      <c r="L31" s="8"/>
      <c r="M31" s="8"/>
      <c r="N31" s="8"/>
      <c r="O31" s="8"/>
      <c r="P31" s="8"/>
      <c r="Q31" s="8"/>
      <c r="R31" s="8"/>
    </row>
    <row r="32" spans="1:18" x14ac:dyDescent="0.25">
      <c r="A32" s="8"/>
      <c r="B32" s="8"/>
      <c r="C32" s="8"/>
      <c r="D32" s="8"/>
      <c r="E32" s="8"/>
      <c r="F32" s="8"/>
      <c r="G32" s="8"/>
      <c r="H32" s="8"/>
      <c r="I32" s="8"/>
      <c r="J32" s="8"/>
      <c r="K32" s="8"/>
      <c r="L32" s="8"/>
      <c r="M32" s="8"/>
      <c r="N32" s="8"/>
      <c r="O32" s="8"/>
      <c r="P32" s="8"/>
      <c r="Q32" s="8"/>
      <c r="R32" s="8"/>
    </row>
    <row r="33" spans="1:18" x14ac:dyDescent="0.25">
      <c r="A33" s="8"/>
      <c r="B33" s="8"/>
      <c r="C33" s="8"/>
      <c r="D33" s="8"/>
      <c r="E33" s="8"/>
      <c r="F33" s="8"/>
      <c r="G33" s="8"/>
      <c r="H33" s="8"/>
      <c r="I33" s="8"/>
      <c r="J33" s="8"/>
      <c r="K33" s="8"/>
      <c r="L33" s="8"/>
      <c r="M33" s="8"/>
      <c r="N33" s="8"/>
      <c r="O33" s="8"/>
      <c r="P33" s="8"/>
      <c r="Q33" s="8"/>
      <c r="R33" s="8"/>
    </row>
    <row r="34" spans="1:18" x14ac:dyDescent="0.25">
      <c r="A34" s="8"/>
      <c r="B34" s="8"/>
      <c r="C34" s="8"/>
      <c r="D34" s="8"/>
      <c r="E34" s="8"/>
      <c r="F34" s="8"/>
      <c r="G34" s="8"/>
      <c r="H34" s="8"/>
      <c r="I34" s="8"/>
      <c r="J34" s="8"/>
      <c r="K34" s="8"/>
      <c r="L34" s="8"/>
      <c r="M34" s="8"/>
      <c r="N34" s="8"/>
      <c r="O34" s="8"/>
      <c r="P34" s="8"/>
      <c r="Q34" s="8"/>
      <c r="R34" s="8"/>
    </row>
    <row r="35" spans="1:18" x14ac:dyDescent="0.25">
      <c r="A35" s="8"/>
      <c r="B35" s="8"/>
      <c r="C35" s="8"/>
      <c r="D35" s="8"/>
      <c r="E35" s="8"/>
      <c r="F35" s="8"/>
      <c r="G35" s="8"/>
      <c r="H35" s="8"/>
      <c r="I35" s="8"/>
      <c r="J35" s="8"/>
      <c r="K35" s="8"/>
      <c r="L35" s="8"/>
      <c r="M35" s="8"/>
      <c r="N35" s="8"/>
      <c r="O35" s="8"/>
      <c r="P35" s="8"/>
      <c r="Q35" s="8"/>
      <c r="R35" s="8"/>
    </row>
    <row r="36" spans="1:18" x14ac:dyDescent="0.25">
      <c r="A36" s="8"/>
      <c r="B36" s="8"/>
      <c r="C36" s="8"/>
      <c r="D36" s="8"/>
      <c r="E36" s="8"/>
      <c r="F36" s="8"/>
      <c r="G36" s="8"/>
      <c r="H36" s="8"/>
      <c r="I36" s="8"/>
      <c r="J36" s="8"/>
      <c r="K36" s="8"/>
      <c r="L36" s="8"/>
      <c r="M36" s="8"/>
      <c r="N36" s="8"/>
      <c r="O36" s="8"/>
      <c r="P36" s="8"/>
      <c r="Q36" s="8"/>
      <c r="R36" s="8"/>
    </row>
    <row r="37" spans="1:18" x14ac:dyDescent="0.25">
      <c r="A37" s="8"/>
      <c r="B37" s="8"/>
      <c r="C37" s="8"/>
      <c r="D37" s="8"/>
      <c r="E37" s="8"/>
      <c r="F37" s="8"/>
      <c r="G37" s="8"/>
      <c r="H37" s="8"/>
      <c r="I37" s="8"/>
      <c r="J37" s="8"/>
      <c r="K37" s="8"/>
      <c r="L37" s="8"/>
      <c r="M37" s="8"/>
      <c r="N37" s="8"/>
      <c r="O37" s="8"/>
      <c r="P37" s="8"/>
      <c r="Q37" s="8"/>
      <c r="R37" s="8"/>
    </row>
    <row r="38" spans="1:18" x14ac:dyDescent="0.25">
      <c r="A38" s="8"/>
      <c r="B38" s="8"/>
      <c r="C38" s="8"/>
      <c r="D38" s="8"/>
      <c r="E38" s="8"/>
      <c r="F38" s="8"/>
      <c r="G38" s="8"/>
      <c r="H38" s="8"/>
      <c r="I38" s="8"/>
      <c r="J38" s="8"/>
      <c r="K38" s="8"/>
      <c r="L38" s="8"/>
      <c r="M38" s="8"/>
      <c r="N38" s="8"/>
      <c r="O38" s="8"/>
      <c r="P38" s="8"/>
      <c r="Q38" s="8"/>
      <c r="R38" s="8"/>
    </row>
    <row r="39" spans="1:18" x14ac:dyDescent="0.25">
      <c r="A39" s="8"/>
      <c r="B39" s="8"/>
      <c r="C39" s="8"/>
      <c r="D39" s="8"/>
      <c r="E39" s="8"/>
      <c r="F39" s="8"/>
      <c r="G39" s="8"/>
      <c r="H39" s="8"/>
      <c r="I39" s="8"/>
      <c r="J39" s="8"/>
      <c r="K39" s="8"/>
      <c r="L39" s="8"/>
      <c r="M39" s="8"/>
      <c r="N39" s="8"/>
      <c r="O39" s="8"/>
      <c r="P39" s="8"/>
      <c r="Q39" s="8"/>
      <c r="R39" s="8"/>
    </row>
    <row r="40" spans="1:18" x14ac:dyDescent="0.25">
      <c r="A40" s="8"/>
      <c r="B40" s="8"/>
      <c r="C40" s="8"/>
      <c r="D40" s="8"/>
      <c r="E40" s="8"/>
      <c r="F40" s="8"/>
      <c r="G40" s="8"/>
      <c r="H40" s="8"/>
      <c r="I40" s="8"/>
      <c r="J40" s="8"/>
      <c r="K40" s="8"/>
      <c r="L40" s="8"/>
      <c r="M40" s="8"/>
      <c r="N40" s="8"/>
      <c r="O40" s="8"/>
      <c r="P40" s="8"/>
      <c r="Q40" s="8"/>
      <c r="R40" s="8"/>
    </row>
    <row r="41" spans="1:18" x14ac:dyDescent="0.25">
      <c r="A41" s="8"/>
      <c r="B41" s="8"/>
      <c r="C41" s="8"/>
      <c r="D41" s="8"/>
      <c r="E41" s="8"/>
      <c r="F41" s="8"/>
      <c r="G41" s="8"/>
      <c r="H41" s="8"/>
      <c r="I41" s="8"/>
      <c r="J41" s="8"/>
      <c r="K41" s="8"/>
      <c r="L41" s="8"/>
      <c r="M41" s="8"/>
      <c r="N41" s="8"/>
      <c r="O41" s="8"/>
      <c r="P41" s="8"/>
      <c r="Q41" s="8"/>
      <c r="R41" s="8"/>
    </row>
    <row r="42" spans="1:18" x14ac:dyDescent="0.25">
      <c r="A42" s="8"/>
      <c r="B42" s="8"/>
      <c r="C42" s="8"/>
      <c r="D42" s="8"/>
      <c r="E42" s="8"/>
      <c r="F42" s="8"/>
      <c r="G42" s="8"/>
      <c r="H42" s="8"/>
      <c r="I42" s="8"/>
      <c r="J42" s="8"/>
      <c r="K42" s="8"/>
      <c r="L42" s="8"/>
      <c r="M42" s="8"/>
      <c r="N42" s="8"/>
      <c r="O42" s="8"/>
      <c r="P42" s="8"/>
      <c r="Q42" s="8"/>
      <c r="R42" s="8"/>
    </row>
    <row r="43" spans="1:18" x14ac:dyDescent="0.25">
      <c r="A43" s="8"/>
      <c r="B43" s="8"/>
      <c r="C43" s="8"/>
      <c r="D43" s="8"/>
      <c r="E43" s="8"/>
      <c r="F43" s="8"/>
      <c r="G43" s="8"/>
      <c r="H43" s="8"/>
      <c r="I43" s="8"/>
      <c r="J43" s="8"/>
      <c r="K43" s="8"/>
      <c r="L43" s="8"/>
      <c r="M43" s="8"/>
      <c r="N43" s="8"/>
      <c r="O43" s="8"/>
      <c r="P43" s="8"/>
      <c r="Q43" s="8"/>
      <c r="R43" s="8"/>
    </row>
    <row r="44" spans="1:18" x14ac:dyDescent="0.25">
      <c r="A44" s="8"/>
      <c r="B44" s="8"/>
      <c r="C44" s="8"/>
      <c r="D44" s="8"/>
      <c r="E44" s="8"/>
      <c r="F44" s="8"/>
      <c r="G44" s="8"/>
      <c r="H44" s="8"/>
      <c r="I44" s="8"/>
      <c r="J44" s="8"/>
      <c r="K44" s="8"/>
      <c r="L44" s="8"/>
      <c r="M44" s="8"/>
      <c r="N44" s="8"/>
      <c r="O44" s="8"/>
      <c r="P44" s="8"/>
      <c r="Q44" s="8"/>
      <c r="R44" s="8"/>
    </row>
    <row r="45" spans="1:18" x14ac:dyDescent="0.25">
      <c r="A45" s="8"/>
      <c r="B45" s="8"/>
      <c r="C45" s="8"/>
      <c r="D45" s="8"/>
      <c r="E45" s="8"/>
      <c r="F45" s="8"/>
      <c r="G45" s="8"/>
      <c r="H45" s="8"/>
      <c r="I45" s="8"/>
      <c r="J45" s="8"/>
      <c r="K45" s="8"/>
      <c r="L45" s="8"/>
      <c r="M45" s="8"/>
      <c r="N45" s="8"/>
      <c r="O45" s="8"/>
      <c r="P45" s="8"/>
      <c r="Q45" s="8"/>
      <c r="R45" s="8"/>
    </row>
    <row r="46" spans="1:18" x14ac:dyDescent="0.25">
      <c r="A46" s="8"/>
      <c r="B46" s="8"/>
      <c r="C46" s="8"/>
      <c r="D46" s="8"/>
      <c r="E46" s="8"/>
      <c r="F46" s="8"/>
      <c r="G46" s="8"/>
      <c r="H46" s="8"/>
      <c r="I46" s="8"/>
      <c r="J46" s="8"/>
      <c r="K46" s="8"/>
      <c r="L46" s="8"/>
      <c r="M46" s="8"/>
      <c r="N46" s="8"/>
      <c r="O46" s="8"/>
      <c r="P46" s="8"/>
      <c r="Q46" s="8"/>
      <c r="R46" s="8"/>
    </row>
    <row r="47" spans="1:18" x14ac:dyDescent="0.25">
      <c r="A47" s="8"/>
      <c r="B47" s="8"/>
      <c r="C47" s="8"/>
      <c r="D47" s="8"/>
      <c r="E47" s="8"/>
      <c r="F47" s="8"/>
      <c r="G47" s="8"/>
      <c r="H47" s="8"/>
      <c r="I47" s="8"/>
      <c r="J47" s="8"/>
      <c r="K47" s="8"/>
      <c r="L47" s="8"/>
      <c r="M47" s="8"/>
      <c r="N47" s="8"/>
      <c r="O47" s="8"/>
      <c r="P47" s="8"/>
      <c r="Q47" s="8"/>
      <c r="R47" s="8"/>
    </row>
    <row r="48" spans="1:18" x14ac:dyDescent="0.25">
      <c r="A48" s="8"/>
      <c r="B48" s="8"/>
      <c r="C48" s="8"/>
      <c r="D48" s="8"/>
      <c r="E48" s="8"/>
      <c r="F48" s="8"/>
      <c r="G48" s="8"/>
      <c r="H48" s="8"/>
      <c r="I48" s="8"/>
      <c r="J48" s="8"/>
      <c r="K48" s="8"/>
      <c r="L48" s="8"/>
      <c r="M48" s="8"/>
      <c r="N48" s="8"/>
      <c r="O48" s="8"/>
      <c r="P48" s="8"/>
      <c r="Q48" s="8"/>
      <c r="R48" s="8"/>
    </row>
    <row r="49" spans="1:18" x14ac:dyDescent="0.25">
      <c r="A49" s="8"/>
      <c r="B49" s="8"/>
      <c r="C49" s="8"/>
      <c r="D49" s="8"/>
      <c r="E49" s="8"/>
      <c r="F49" s="8"/>
      <c r="G49" s="8"/>
      <c r="H49" s="8"/>
      <c r="I49" s="8"/>
      <c r="J49" s="8"/>
      <c r="K49" s="8"/>
      <c r="L49" s="8"/>
      <c r="M49" s="8"/>
      <c r="N49" s="8"/>
      <c r="O49" s="8"/>
      <c r="P49" s="8"/>
      <c r="Q49" s="8"/>
      <c r="R49" s="8"/>
    </row>
    <row r="50" spans="1:18" x14ac:dyDescent="0.25">
      <c r="A50" s="8"/>
      <c r="B50" s="8"/>
      <c r="C50" s="8"/>
      <c r="D50" s="8"/>
      <c r="E50" s="8"/>
      <c r="F50" s="8"/>
      <c r="G50" s="8"/>
      <c r="H50" s="8"/>
      <c r="I50" s="8"/>
      <c r="J50" s="8"/>
      <c r="K50" s="8"/>
      <c r="L50" s="8"/>
      <c r="M50" s="8"/>
      <c r="N50" s="8"/>
      <c r="O50" s="8"/>
      <c r="P50" s="8"/>
      <c r="Q50" s="8"/>
      <c r="R50" s="8"/>
    </row>
    <row r="51" spans="1:18" x14ac:dyDescent="0.25">
      <c r="A51" s="8"/>
      <c r="B51" s="8"/>
      <c r="C51" s="8"/>
      <c r="D51" s="8"/>
      <c r="E51" s="8"/>
      <c r="F51" s="8"/>
      <c r="G51" s="8"/>
      <c r="H51" s="8"/>
      <c r="I51" s="8"/>
      <c r="J51" s="8"/>
      <c r="K51" s="8"/>
      <c r="L51" s="8"/>
      <c r="M51" s="8"/>
      <c r="N51" s="8"/>
      <c r="O51" s="8"/>
      <c r="P51" s="8"/>
      <c r="Q51" s="8"/>
      <c r="R51" s="8"/>
    </row>
    <row r="52" spans="1:18" x14ac:dyDescent="0.25">
      <c r="A52" s="8"/>
      <c r="B52" s="8"/>
      <c r="C52" s="8"/>
      <c r="D52" s="8"/>
      <c r="E52" s="8"/>
      <c r="F52" s="8"/>
      <c r="G52" s="8"/>
      <c r="H52" s="8"/>
      <c r="I52" s="8"/>
      <c r="J52" s="8"/>
      <c r="K52" s="8"/>
      <c r="L52" s="8"/>
      <c r="M52" s="8"/>
      <c r="N52" s="8"/>
      <c r="O52" s="8"/>
      <c r="P52" s="8"/>
      <c r="Q52" s="8"/>
      <c r="R52" s="8"/>
    </row>
    <row r="53" spans="1:18" x14ac:dyDescent="0.25">
      <c r="A53" s="8"/>
      <c r="B53" s="8"/>
      <c r="C53" s="8"/>
      <c r="D53" s="8"/>
      <c r="E53" s="8"/>
      <c r="F53" s="8"/>
      <c r="G53" s="8"/>
      <c r="H53" s="8"/>
      <c r="I53" s="8"/>
      <c r="J53" s="8"/>
      <c r="K53" s="8"/>
      <c r="L53" s="8"/>
      <c r="M53" s="8"/>
      <c r="N53" s="8"/>
      <c r="O53" s="8"/>
      <c r="P53" s="8"/>
      <c r="Q53" s="8"/>
      <c r="R53" s="8"/>
    </row>
    <row r="54" spans="1:18" x14ac:dyDescent="0.25">
      <c r="A54" s="8"/>
      <c r="B54" s="8"/>
      <c r="C54" s="8"/>
      <c r="D54" s="8"/>
      <c r="E54" s="8"/>
      <c r="F54" s="8"/>
      <c r="G54" s="8"/>
      <c r="H54" s="8"/>
      <c r="I54" s="8"/>
      <c r="J54" s="8"/>
      <c r="K54" s="8"/>
      <c r="L54" s="8"/>
      <c r="M54" s="8"/>
      <c r="N54" s="8"/>
      <c r="O54" s="8"/>
      <c r="P54" s="8"/>
      <c r="Q54" s="8"/>
      <c r="R54" s="8"/>
    </row>
    <row r="55" spans="1:18" x14ac:dyDescent="0.25">
      <c r="A55" s="8"/>
      <c r="B55" s="8"/>
      <c r="C55" s="8"/>
      <c r="D55" s="8"/>
      <c r="E55" s="8"/>
      <c r="F55" s="8"/>
      <c r="G55" s="8"/>
      <c r="H55" s="8"/>
      <c r="I55" s="8"/>
      <c r="J55" s="8"/>
      <c r="K55" s="8"/>
      <c r="L55" s="8"/>
      <c r="M55" s="8"/>
      <c r="N55" s="8"/>
      <c r="O55" s="8"/>
      <c r="P55" s="8"/>
      <c r="Q55" s="8"/>
      <c r="R55" s="8"/>
    </row>
    <row r="56" spans="1:18" x14ac:dyDescent="0.25">
      <c r="A56" s="8"/>
      <c r="B56" s="8"/>
      <c r="C56" s="8"/>
      <c r="D56" s="8"/>
      <c r="E56" s="8"/>
      <c r="F56" s="8"/>
      <c r="G56" s="8"/>
      <c r="H56" s="8"/>
      <c r="I56" s="8"/>
      <c r="J56" s="8"/>
      <c r="K56" s="8"/>
      <c r="L56" s="8"/>
      <c r="M56" s="8"/>
      <c r="N56" s="8"/>
      <c r="O56" s="8"/>
      <c r="P56" s="8"/>
      <c r="Q56" s="8"/>
      <c r="R56" s="8"/>
    </row>
    <row r="57" spans="1:18" x14ac:dyDescent="0.25">
      <c r="A57" s="8"/>
      <c r="B57" s="8"/>
      <c r="C57" s="8"/>
      <c r="D57" s="8"/>
      <c r="E57" s="8"/>
      <c r="F57" s="8"/>
      <c r="G57" s="8"/>
      <c r="H57" s="8"/>
      <c r="I57" s="8"/>
      <c r="J57" s="8"/>
      <c r="K57" s="8"/>
      <c r="L57" s="8"/>
      <c r="M57" s="8"/>
      <c r="N57" s="8"/>
      <c r="O57" s="8"/>
      <c r="P57" s="8"/>
      <c r="Q57" s="8"/>
      <c r="R57" s="8"/>
    </row>
    <row r="58" spans="1:18" x14ac:dyDescent="0.25">
      <c r="A58" s="8"/>
      <c r="B58" s="8"/>
      <c r="C58" s="8"/>
      <c r="D58" s="8"/>
      <c r="E58" s="8"/>
      <c r="F58" s="8"/>
      <c r="G58" s="8"/>
      <c r="H58" s="8"/>
      <c r="I58" s="8"/>
      <c r="J58" s="8"/>
      <c r="K58" s="8"/>
      <c r="L58" s="8"/>
      <c r="M58" s="8"/>
      <c r="N58" s="8"/>
      <c r="O58" s="8"/>
      <c r="P58" s="8"/>
      <c r="Q58" s="8"/>
      <c r="R58" s="8"/>
    </row>
    <row r="59" spans="1:18" x14ac:dyDescent="0.25">
      <c r="A59" s="8"/>
      <c r="B59" s="8"/>
      <c r="C59" s="8"/>
      <c r="D59" s="8"/>
      <c r="E59" s="8"/>
      <c r="F59" s="8"/>
      <c r="G59" s="8"/>
      <c r="H59" s="8"/>
      <c r="I59" s="8"/>
      <c r="J59" s="8"/>
      <c r="K59" s="8"/>
      <c r="L59" s="8"/>
      <c r="M59" s="8"/>
      <c r="N59" s="8"/>
      <c r="O59" s="8"/>
      <c r="P59" s="8"/>
      <c r="Q59" s="8"/>
      <c r="R59" s="8"/>
    </row>
    <row r="60" spans="1:18" x14ac:dyDescent="0.25">
      <c r="A60" s="8"/>
      <c r="B60" s="8"/>
      <c r="C60" s="8"/>
      <c r="D60" s="8"/>
      <c r="E60" s="8"/>
      <c r="F60" s="8"/>
      <c r="G60" s="8"/>
      <c r="H60" s="8"/>
      <c r="I60" s="8"/>
      <c r="J60" s="8"/>
      <c r="K60" s="8"/>
      <c r="L60" s="8"/>
      <c r="M60" s="8"/>
      <c r="N60" s="8"/>
      <c r="O60" s="8"/>
      <c r="P60" s="8"/>
      <c r="Q60" s="8"/>
      <c r="R60" s="8"/>
    </row>
    <row r="61" spans="1:18" x14ac:dyDescent="0.25">
      <c r="A61" s="8"/>
      <c r="B61" s="8"/>
      <c r="C61" s="8"/>
      <c r="D61" s="8"/>
      <c r="E61" s="8"/>
      <c r="F61" s="8"/>
      <c r="G61" s="8"/>
      <c r="H61" s="8"/>
      <c r="I61" s="8"/>
      <c r="J61" s="8"/>
      <c r="K61" s="8"/>
      <c r="L61" s="8"/>
      <c r="M61" s="8"/>
      <c r="N61" s="8"/>
      <c r="O61" s="8"/>
      <c r="P61" s="8"/>
      <c r="Q61" s="8"/>
      <c r="R61" s="8"/>
    </row>
    <row r="62" spans="1:18" x14ac:dyDescent="0.25">
      <c r="A62" s="8"/>
      <c r="B62" s="8"/>
      <c r="C62" s="8"/>
      <c r="D62" s="8"/>
      <c r="E62" s="8"/>
      <c r="F62" s="8"/>
      <c r="G62" s="8"/>
      <c r="H62" s="8"/>
      <c r="I62" s="8"/>
      <c r="J62" s="8"/>
      <c r="K62" s="8"/>
      <c r="L62" s="8"/>
      <c r="M62" s="8"/>
      <c r="N62" s="8"/>
      <c r="O62" s="8"/>
      <c r="P62" s="8"/>
      <c r="Q62" s="8"/>
      <c r="R62" s="8"/>
    </row>
    <row r="63" spans="1:18" x14ac:dyDescent="0.25">
      <c r="A63" s="8"/>
      <c r="B63" s="8"/>
      <c r="C63" s="8"/>
      <c r="D63" s="8"/>
      <c r="E63" s="8"/>
      <c r="F63" s="8"/>
      <c r="G63" s="8"/>
      <c r="H63" s="8"/>
      <c r="I63" s="8"/>
      <c r="J63" s="8"/>
      <c r="K63" s="8"/>
      <c r="L63" s="8"/>
      <c r="M63" s="8"/>
      <c r="N63" s="8"/>
      <c r="O63" s="8"/>
      <c r="P63" s="8"/>
      <c r="Q63" s="8"/>
      <c r="R63" s="8"/>
    </row>
    <row r="64" spans="1:18" x14ac:dyDescent="0.25">
      <c r="A64" s="8"/>
      <c r="B64" s="8"/>
      <c r="C64" s="8"/>
      <c r="D64" s="8"/>
      <c r="E64" s="8"/>
      <c r="F64" s="8"/>
      <c r="G64" s="8"/>
      <c r="H64" s="8"/>
      <c r="I64" s="8"/>
      <c r="J64" s="8"/>
      <c r="K64" s="8"/>
      <c r="L64" s="8"/>
      <c r="M64" s="8"/>
      <c r="N64" s="8"/>
      <c r="O64" s="8"/>
      <c r="P64" s="8"/>
      <c r="Q64" s="8"/>
      <c r="R64" s="8"/>
    </row>
    <row r="65" spans="1:18" x14ac:dyDescent="0.25">
      <c r="A65" s="8"/>
      <c r="B65" s="8"/>
      <c r="C65" s="8"/>
      <c r="D65" s="8"/>
      <c r="E65" s="8"/>
      <c r="F65" s="8"/>
      <c r="G65" s="8"/>
      <c r="H65" s="8"/>
      <c r="I65" s="8"/>
      <c r="J65" s="8"/>
      <c r="K65" s="8"/>
      <c r="L65" s="8"/>
      <c r="M65" s="8"/>
      <c r="N65" s="8"/>
      <c r="O65" s="8"/>
      <c r="P65" s="8"/>
      <c r="Q65" s="8"/>
      <c r="R65" s="8"/>
    </row>
    <row r="66" spans="1:18" x14ac:dyDescent="0.25">
      <c r="A66" s="8"/>
      <c r="B66" s="8"/>
      <c r="C66" s="8"/>
      <c r="D66" s="8"/>
      <c r="E66" s="8"/>
      <c r="F66" s="8"/>
      <c r="G66" s="8"/>
      <c r="H66" s="8"/>
      <c r="I66" s="8"/>
      <c r="J66" s="8"/>
      <c r="K66" s="8"/>
      <c r="L66" s="8"/>
      <c r="M66" s="8"/>
      <c r="N66" s="8"/>
      <c r="O66" s="8"/>
      <c r="P66" s="8"/>
      <c r="Q66" s="8"/>
      <c r="R66" s="8"/>
    </row>
    <row r="67" spans="1:18" x14ac:dyDescent="0.25">
      <c r="A67" s="8"/>
      <c r="B67" s="8"/>
      <c r="C67" s="8"/>
      <c r="D67" s="8"/>
      <c r="E67" s="8"/>
      <c r="F67" s="8"/>
      <c r="G67" s="8"/>
      <c r="H67" s="8"/>
      <c r="I67" s="8"/>
      <c r="J67" s="8"/>
      <c r="K67" s="8"/>
      <c r="L67" s="8"/>
      <c r="M67" s="8"/>
      <c r="N67" s="8"/>
      <c r="O67" s="8"/>
      <c r="P67" s="8"/>
      <c r="Q67" s="8"/>
      <c r="R67" s="8"/>
    </row>
    <row r="68" spans="1:18" x14ac:dyDescent="0.25">
      <c r="A68" s="8"/>
      <c r="B68" s="8"/>
      <c r="C68" s="8"/>
      <c r="D68" s="8"/>
      <c r="E68" s="8"/>
      <c r="F68" s="8"/>
      <c r="G68" s="8"/>
      <c r="H68" s="8"/>
      <c r="I68" s="8"/>
      <c r="J68" s="8"/>
      <c r="K68" s="8"/>
      <c r="L68" s="8"/>
      <c r="M68" s="8"/>
      <c r="N68" s="8"/>
      <c r="O68" s="8"/>
      <c r="P68" s="8"/>
      <c r="Q68" s="8"/>
      <c r="R68" s="8"/>
    </row>
    <row r="69" spans="1:18" x14ac:dyDescent="0.25">
      <c r="A69" s="8"/>
      <c r="B69" s="8"/>
      <c r="C69" s="8"/>
      <c r="D69" s="8"/>
      <c r="E69" s="8"/>
      <c r="F69" s="8"/>
      <c r="G69" s="8"/>
      <c r="H69" s="8"/>
      <c r="I69" s="8"/>
      <c r="J69" s="8"/>
      <c r="K69" s="8"/>
      <c r="L69" s="8"/>
      <c r="M69" s="8"/>
      <c r="N69" s="8"/>
      <c r="O69" s="8"/>
      <c r="P69" s="8"/>
      <c r="Q69" s="8"/>
      <c r="R69" s="8"/>
    </row>
    <row r="70" spans="1:18" x14ac:dyDescent="0.25">
      <c r="A70" s="8"/>
      <c r="B70" s="8"/>
      <c r="C70" s="8"/>
      <c r="D70" s="8"/>
      <c r="E70" s="8"/>
      <c r="F70" s="8"/>
      <c r="G70" s="8"/>
      <c r="H70" s="8"/>
      <c r="I70" s="8"/>
      <c r="J70" s="8"/>
      <c r="K70" s="8"/>
      <c r="L70" s="8"/>
      <c r="M70" s="8"/>
      <c r="N70" s="8"/>
      <c r="O70" s="8"/>
      <c r="P70" s="8"/>
      <c r="Q70" s="8"/>
      <c r="R70" s="8"/>
    </row>
    <row r="71" spans="1:18" x14ac:dyDescent="0.25">
      <c r="A71" s="8"/>
      <c r="B71" s="8"/>
      <c r="C71" s="8"/>
      <c r="D71" s="8"/>
      <c r="E71" s="8"/>
      <c r="F71" s="8"/>
      <c r="G71" s="8"/>
      <c r="H71" s="8"/>
      <c r="I71" s="8"/>
      <c r="J71" s="8"/>
      <c r="K71" s="8"/>
      <c r="L71" s="8"/>
      <c r="M71" s="8"/>
      <c r="N71" s="8"/>
      <c r="O71" s="8"/>
      <c r="P71" s="8"/>
      <c r="Q71" s="8"/>
      <c r="R71" s="8"/>
    </row>
    <row r="72" spans="1:18" x14ac:dyDescent="0.25">
      <c r="A72" s="8"/>
      <c r="B72" s="8"/>
      <c r="C72" s="8"/>
      <c r="D72" s="8"/>
      <c r="E72" s="8"/>
      <c r="F72" s="8"/>
      <c r="G72" s="8"/>
      <c r="H72" s="8"/>
      <c r="I72" s="8"/>
      <c r="J72" s="8"/>
      <c r="K72" s="8"/>
      <c r="L72" s="8"/>
      <c r="M72" s="8"/>
      <c r="N72" s="8"/>
      <c r="O72" s="8"/>
      <c r="P72" s="8"/>
      <c r="Q72" s="8"/>
      <c r="R72" s="8"/>
    </row>
    <row r="73" spans="1:18" x14ac:dyDescent="0.25">
      <c r="A73" s="8"/>
      <c r="B73" s="8"/>
      <c r="C73" s="8"/>
      <c r="D73" s="8"/>
      <c r="E73" s="8"/>
      <c r="F73" s="8"/>
      <c r="G73" s="8"/>
      <c r="H73" s="8"/>
      <c r="I73" s="8"/>
      <c r="J73" s="8"/>
      <c r="K73" s="8"/>
      <c r="L73" s="8"/>
      <c r="M73" s="8"/>
      <c r="N73" s="8"/>
      <c r="O73" s="8"/>
      <c r="P73" s="8"/>
      <c r="Q73" s="8"/>
      <c r="R73" s="8"/>
    </row>
    <row r="74" spans="1:18" x14ac:dyDescent="0.25">
      <c r="A74" s="8"/>
      <c r="B74" s="8"/>
      <c r="C74" s="8"/>
      <c r="D74" s="8"/>
      <c r="E74" s="8"/>
      <c r="F74" s="8"/>
      <c r="G74" s="8"/>
      <c r="H74" s="8"/>
      <c r="I74" s="8"/>
      <c r="J74" s="8"/>
      <c r="K74" s="8"/>
      <c r="L74" s="8"/>
      <c r="M74" s="8"/>
      <c r="N74" s="8"/>
      <c r="O74" s="8"/>
      <c r="P74" s="8"/>
      <c r="Q74" s="8"/>
      <c r="R74" s="8"/>
    </row>
    <row r="75" spans="1:18" x14ac:dyDescent="0.25">
      <c r="A75" s="8"/>
      <c r="B75" s="8"/>
      <c r="C75" s="8"/>
      <c r="D75" s="8"/>
      <c r="E75" s="8"/>
      <c r="F75" s="8"/>
      <c r="G75" s="8"/>
      <c r="H75" s="8"/>
      <c r="I75" s="8"/>
      <c r="J75" s="8"/>
      <c r="K75" s="8"/>
      <c r="L75" s="8"/>
      <c r="M75" s="8"/>
      <c r="N75" s="8"/>
      <c r="O75" s="8"/>
      <c r="P75" s="8"/>
      <c r="Q75" s="8"/>
      <c r="R75" s="8"/>
    </row>
    <row r="76" spans="1:18" x14ac:dyDescent="0.25">
      <c r="A76" s="8"/>
      <c r="B76" s="8"/>
      <c r="C76" s="8"/>
      <c r="D76" s="8"/>
      <c r="E76" s="8"/>
      <c r="F76" s="8"/>
      <c r="G76" s="8"/>
      <c r="H76" s="8"/>
      <c r="I76" s="8"/>
      <c r="J76" s="8"/>
      <c r="K76" s="8"/>
      <c r="L76" s="8"/>
      <c r="M76" s="8"/>
      <c r="N76" s="8"/>
      <c r="O76" s="8"/>
      <c r="P76" s="8"/>
      <c r="Q76" s="8"/>
      <c r="R76" s="8"/>
    </row>
    <row r="77" spans="1:18" x14ac:dyDescent="0.25">
      <c r="A77" s="8"/>
      <c r="B77" s="8"/>
      <c r="C77" s="8"/>
      <c r="D77" s="8"/>
      <c r="E77" s="8"/>
      <c r="F77" s="8"/>
      <c r="G77" s="8"/>
      <c r="H77" s="8"/>
      <c r="I77" s="8"/>
      <c r="J77" s="8"/>
      <c r="K77" s="8"/>
      <c r="L77" s="8"/>
      <c r="M77" s="8"/>
      <c r="N77" s="8"/>
      <c r="O77" s="8"/>
      <c r="P77" s="8"/>
      <c r="Q77" s="8"/>
      <c r="R77" s="8"/>
    </row>
    <row r="78" spans="1:18" x14ac:dyDescent="0.25">
      <c r="A78" s="8"/>
      <c r="B78" s="8"/>
      <c r="C78" s="8"/>
      <c r="D78" s="8"/>
      <c r="E78" s="8"/>
      <c r="F78" s="8"/>
      <c r="G78" s="8"/>
      <c r="H78" s="8"/>
      <c r="I78" s="8"/>
      <c r="J78" s="8"/>
      <c r="K78" s="8"/>
      <c r="L78" s="8"/>
      <c r="M78" s="8"/>
      <c r="N78" s="8"/>
      <c r="O78" s="8"/>
      <c r="P78" s="8"/>
      <c r="Q78" s="8"/>
      <c r="R78" s="8"/>
    </row>
    <row r="79" spans="1:18" x14ac:dyDescent="0.25">
      <c r="A79" s="8"/>
      <c r="B79" s="8"/>
      <c r="C79" s="8"/>
      <c r="D79" s="8"/>
      <c r="E79" s="8"/>
      <c r="F79" s="8"/>
      <c r="G79" s="8"/>
      <c r="H79" s="8"/>
      <c r="I79" s="8"/>
      <c r="J79" s="8"/>
      <c r="K79" s="8"/>
      <c r="L79" s="8"/>
      <c r="M79" s="8"/>
      <c r="N79" s="8"/>
      <c r="O79" s="8"/>
      <c r="P79" s="8"/>
      <c r="Q79" s="8"/>
      <c r="R79" s="8"/>
    </row>
    <row r="80" spans="1:18" x14ac:dyDescent="0.25">
      <c r="A80" s="8"/>
      <c r="B80" s="8"/>
      <c r="C80" s="8"/>
      <c r="D80" s="8"/>
      <c r="E80" s="8"/>
      <c r="F80" s="8"/>
      <c r="G80" s="8"/>
      <c r="H80" s="8"/>
      <c r="I80" s="8"/>
      <c r="J80" s="8"/>
      <c r="K80" s="8"/>
      <c r="L80" s="8"/>
      <c r="M80" s="8"/>
      <c r="N80" s="8"/>
      <c r="O80" s="8"/>
      <c r="P80" s="8"/>
      <c r="Q80" s="8"/>
      <c r="R80" s="8"/>
    </row>
    <row r="81" spans="1:18" x14ac:dyDescent="0.25">
      <c r="A81" s="8"/>
      <c r="B81" s="8"/>
      <c r="C81" s="8"/>
      <c r="D81" s="8"/>
      <c r="E81" s="8"/>
      <c r="F81" s="8"/>
      <c r="G81" s="8"/>
      <c r="H81" s="8"/>
      <c r="I81" s="8"/>
      <c r="J81" s="8"/>
      <c r="K81" s="8"/>
      <c r="L81" s="8"/>
      <c r="M81" s="8"/>
      <c r="N81" s="8"/>
      <c r="O81" s="8"/>
      <c r="P81" s="8"/>
      <c r="Q81" s="8"/>
      <c r="R81" s="8"/>
    </row>
    <row r="82" spans="1:18" x14ac:dyDescent="0.25">
      <c r="A82" s="8"/>
      <c r="B82" s="8"/>
      <c r="C82" s="8"/>
      <c r="D82" s="8"/>
      <c r="E82" s="8"/>
      <c r="F82" s="8"/>
      <c r="G82" s="8"/>
      <c r="H82" s="8"/>
      <c r="I82" s="8"/>
      <c r="J82" s="8"/>
      <c r="K82" s="8"/>
      <c r="L82" s="8"/>
      <c r="M82" s="8"/>
      <c r="N82" s="8"/>
      <c r="O82" s="8"/>
      <c r="P82" s="8"/>
      <c r="Q82" s="8"/>
      <c r="R82" s="8"/>
    </row>
    <row r="83" spans="1:18" x14ac:dyDescent="0.25">
      <c r="A83" s="8"/>
      <c r="B83" s="8"/>
      <c r="C83" s="8"/>
      <c r="D83" s="8"/>
      <c r="E83" s="8"/>
      <c r="F83" s="8"/>
      <c r="G83" s="8"/>
      <c r="H83" s="8"/>
      <c r="I83" s="8"/>
      <c r="J83" s="8"/>
      <c r="K83" s="8"/>
      <c r="L83" s="8"/>
      <c r="M83" s="8"/>
      <c r="N83" s="8"/>
      <c r="O83" s="8"/>
      <c r="P83" s="8"/>
      <c r="Q83" s="8"/>
      <c r="R83" s="8"/>
    </row>
    <row r="84" spans="1:18" x14ac:dyDescent="0.25">
      <c r="A84" s="8"/>
      <c r="B84" s="8"/>
      <c r="C84" s="8"/>
      <c r="D84" s="8"/>
      <c r="E84" s="8"/>
      <c r="F84" s="8"/>
      <c r="G84" s="8"/>
      <c r="H84" s="8"/>
      <c r="I84" s="8"/>
      <c r="J84" s="8"/>
      <c r="K84" s="8"/>
      <c r="L84" s="8"/>
      <c r="M84" s="8"/>
      <c r="N84" s="8"/>
      <c r="O84" s="8"/>
      <c r="P84" s="8"/>
      <c r="Q84" s="8"/>
      <c r="R84" s="8"/>
    </row>
    <row r="85" spans="1:18" x14ac:dyDescent="0.25">
      <c r="A85" s="8"/>
      <c r="B85" s="8"/>
      <c r="C85" s="8"/>
      <c r="D85" s="8"/>
      <c r="E85" s="8"/>
      <c r="F85" s="8"/>
      <c r="G85" s="8"/>
      <c r="H85" s="8"/>
      <c r="I85" s="8"/>
      <c r="J85" s="8"/>
      <c r="K85" s="8"/>
      <c r="L85" s="8"/>
      <c r="M85" s="8"/>
      <c r="N85" s="8"/>
      <c r="O85" s="8"/>
      <c r="P85" s="8"/>
      <c r="Q85" s="8"/>
      <c r="R85" s="8"/>
    </row>
    <row r="86" spans="1:18" x14ac:dyDescent="0.25">
      <c r="A86" s="8"/>
      <c r="B86" s="8"/>
      <c r="C86" s="8"/>
      <c r="D86" s="8"/>
      <c r="E86" s="8"/>
      <c r="F86" s="8"/>
      <c r="G86" s="8"/>
      <c r="H86" s="8"/>
      <c r="I86" s="8"/>
      <c r="J86" s="8"/>
      <c r="K86" s="8"/>
      <c r="L86" s="8"/>
      <c r="M86" s="8"/>
      <c r="N86" s="8"/>
      <c r="O86" s="8"/>
      <c r="P86" s="8"/>
      <c r="Q86" s="8"/>
      <c r="R86" s="8"/>
    </row>
    <row r="87" spans="1:18" x14ac:dyDescent="0.25">
      <c r="A87" s="8"/>
      <c r="B87" s="8"/>
      <c r="C87" s="8"/>
      <c r="D87" s="8"/>
      <c r="E87" s="8"/>
      <c r="F87" s="8"/>
      <c r="G87" s="8"/>
      <c r="H87" s="8"/>
      <c r="I87" s="8"/>
      <c r="J87" s="8"/>
      <c r="K87" s="8"/>
      <c r="L87" s="8"/>
      <c r="M87" s="8"/>
      <c r="N87" s="8"/>
      <c r="O87" s="8"/>
      <c r="P87" s="8"/>
      <c r="Q87" s="8"/>
      <c r="R87" s="8"/>
    </row>
  </sheetData>
  <pageMargins left="0.7" right="0.7" top="0.75" bottom="0.75" header="0.3" footer="0.3"/>
  <pageSetup scale="5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pivottable</vt:lpstr>
      <vt:lpstr>onlinedataset</vt:lpstr>
      <vt:lpstr>online retaildashboard</vt:lpstr>
      <vt:lpstr>'online retaildashboard'!Print_Area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2026-06-12T04:04:15Z</dcterms:created>
  <dcterms:modified xsi:type="dcterms:W3CDTF">2026-06-23T06:57:43Z</dcterms:modified>
</cp:coreProperties>
</file>